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EstaPastaDeTrabalho" hidePivotFieldList="1"/>
  <bookViews>
    <workbookView windowWidth="20490" windowHeight="8835" activeTab="1"/>
  </bookViews>
  <sheets>
    <sheet name="Dados" sheetId="1" r:id="rId1"/>
    <sheet name="Consolidação" sheetId="6" r:id="rId2"/>
    <sheet name="Cálculo de Estoque" sheetId="5" r:id="rId3"/>
    <sheet name="Configurações" sheetId="4" r:id="rId4"/>
  </sheets>
  <definedNames>
    <definedName name="_xlnm._FilterDatabase" localSheetId="1" hidden="1">Consolidação!$B$4:$Q$122</definedName>
    <definedName name="_Valores">OFFSET('Cálculo de Estoque'!$F$8,,,COUNTA('Cálculo de Estoque'!$F$8:$F$1048576))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<sst xmlns="http://schemas.openxmlformats.org/spreadsheetml/2006/main" count="14123" uniqueCount="276">
  <si>
    <t>Produto</t>
  </si>
  <si>
    <t>Descrição</t>
  </si>
  <si>
    <t>Data</t>
  </si>
  <si>
    <t>Saída / Demanda</t>
  </si>
  <si>
    <t>00650B</t>
  </si>
  <si>
    <t>PERFIL US 45X17X2,00</t>
  </si>
  <si>
    <t>00650K</t>
  </si>
  <si>
    <t>PERFIL US 45X17X1,95 GALV</t>
  </si>
  <si>
    <t>00651B</t>
  </si>
  <si>
    <t>PERFIL US 50X25X2,00</t>
  </si>
  <si>
    <t>00652K</t>
  </si>
  <si>
    <t>PERFIL US 68X30X1,95 GALV</t>
  </si>
  <si>
    <t>00653B</t>
  </si>
  <si>
    <t>PERFIL US 75X40X2,00</t>
  </si>
  <si>
    <t>00653K</t>
  </si>
  <si>
    <t>PERFIL US 75X40X1,95 GALV</t>
  </si>
  <si>
    <t>00664B</t>
  </si>
  <si>
    <t>PERFIL US 150X50X2,00</t>
  </si>
  <si>
    <t>00664K</t>
  </si>
  <si>
    <t>PERFIL US 150X50X1,95 GALV</t>
  </si>
  <si>
    <t>00668B</t>
  </si>
  <si>
    <t>PERFIL UE 50X25X10X2,00</t>
  </si>
  <si>
    <t>00668K</t>
  </si>
  <si>
    <t>PERFIL UE 50X25X10X1,95 GALV</t>
  </si>
  <si>
    <t>00670B</t>
  </si>
  <si>
    <t>PERFIL UE 75X40X15X2,00</t>
  </si>
  <si>
    <t>00670K</t>
  </si>
  <si>
    <t>PERFIL UE 75X40X15X1,95 GALV</t>
  </si>
  <si>
    <t>00671K</t>
  </si>
  <si>
    <t>PERFIL UE 100X40X17X1,95 GALV</t>
  </si>
  <si>
    <t>01805</t>
  </si>
  <si>
    <t>CHAPA ARTICULADA RAIADA 0,50MM GALV</t>
  </si>
  <si>
    <t>02025C</t>
  </si>
  <si>
    <t>PERFIL LAMBRI BZ 0,75 2400X1000MM</t>
  </si>
  <si>
    <t>02027A</t>
  </si>
  <si>
    <t>PERFIL LAMBRI BZ 0,90 2000X1000MM</t>
  </si>
  <si>
    <t>02028A</t>
  </si>
  <si>
    <t>PERFIL LAMBRI BF 0,90 2000X1000MM</t>
  </si>
  <si>
    <t>02029A</t>
  </si>
  <si>
    <t>PERFIL VENEZIANA BZ 0,75 75X22X3000MM</t>
  </si>
  <si>
    <t>00644</t>
  </si>
  <si>
    <t>PERF DEGRAU PISO BQ 250X25X1000X3,00MM</t>
  </si>
  <si>
    <t>00650A</t>
  </si>
  <si>
    <t>PERFIL US 45X17X1,80</t>
  </si>
  <si>
    <t>00651K</t>
  </si>
  <si>
    <t>PERFIL US 50X25X1,95 GALV</t>
  </si>
  <si>
    <t>00652B</t>
  </si>
  <si>
    <t>PERFIL US 68X30X2,00</t>
  </si>
  <si>
    <t>00653I</t>
  </si>
  <si>
    <t>PERFIL US 75X40X4,75</t>
  </si>
  <si>
    <t>00654B</t>
  </si>
  <si>
    <t>PERFIL US 92X30X2,00</t>
  </si>
  <si>
    <t>00655</t>
  </si>
  <si>
    <t>PERFIL US 100X40X3,00</t>
  </si>
  <si>
    <t>00656</t>
  </si>
  <si>
    <t>PERFIL US 100X50X3,00</t>
  </si>
  <si>
    <t>00656B</t>
  </si>
  <si>
    <t>PERFIL US 100X50X2,00</t>
  </si>
  <si>
    <t>00670C</t>
  </si>
  <si>
    <t>PERFIL UE 75X40X15X2,25</t>
  </si>
  <si>
    <t>00671B</t>
  </si>
  <si>
    <t>PERFIL UE 100X40X17X2,00</t>
  </si>
  <si>
    <t>00672B</t>
  </si>
  <si>
    <t>PERFIL UE 100X50X17X2,00</t>
  </si>
  <si>
    <t>00672K</t>
  </si>
  <si>
    <t>PERFIL UE 100X50X17X1,95 GALV</t>
  </si>
  <si>
    <t>00676B</t>
  </si>
  <si>
    <t>PERFIL UE 150X60X20X2,00</t>
  </si>
  <si>
    <t>00678B</t>
  </si>
  <si>
    <t>PERFIL UE 200X75X25X2,00</t>
  </si>
  <si>
    <t>00682J</t>
  </si>
  <si>
    <t>PERFIL U PORTA 25X32X1,55 GALV</t>
  </si>
  <si>
    <t>00652A</t>
  </si>
  <si>
    <t>PERFIL US 68X30X1,80</t>
  </si>
  <si>
    <t>00653A</t>
  </si>
  <si>
    <t>PERFIL US 75X40X1,80</t>
  </si>
  <si>
    <t>00656K</t>
  </si>
  <si>
    <t>PERFIL US 100X50X1,95 GALV</t>
  </si>
  <si>
    <t>00668A</t>
  </si>
  <si>
    <t>PERFIL UE 50X25X10X1,80</t>
  </si>
  <si>
    <t>00670A</t>
  </si>
  <si>
    <t>PERFIL UE 75X40X15X1,80</t>
  </si>
  <si>
    <t>00672A</t>
  </si>
  <si>
    <t>PERFIL UE 100X50X17X1,80</t>
  </si>
  <si>
    <t>00676A</t>
  </si>
  <si>
    <t>PERFIL UE 150X60X20X1,80</t>
  </si>
  <si>
    <t>00645</t>
  </si>
  <si>
    <t>PERF DEGRAU PISO BQ 250X25X1200X3,00MM</t>
  </si>
  <si>
    <t>00661B</t>
  </si>
  <si>
    <t>PERFIL US 140X40X2,00</t>
  </si>
  <si>
    <t>00672D</t>
  </si>
  <si>
    <t>PERFIL UE 100X50X17X2,65</t>
  </si>
  <si>
    <t>00676D</t>
  </si>
  <si>
    <t>PERFIL UE 150X60X20X2,65</t>
  </si>
  <si>
    <t>00678D</t>
  </si>
  <si>
    <t>PERFIL UE 200X75X25X2,65</t>
  </si>
  <si>
    <t>02025A</t>
  </si>
  <si>
    <t>PERFIL LAMBRI BZ 0,75 2000X1000MM</t>
  </si>
  <si>
    <t>02025F</t>
  </si>
  <si>
    <t>PERFIL LAMBRI BZ 0,75 3000X1100MM</t>
  </si>
  <si>
    <t>00640</t>
  </si>
  <si>
    <t>PERF DEGRAU PISO BQ 250X25X600X3,00MM</t>
  </si>
  <si>
    <t>00641</t>
  </si>
  <si>
    <t>PERF DEGRAU PISO BQ 250X25X700X3,00MM</t>
  </si>
  <si>
    <t>00642</t>
  </si>
  <si>
    <t>PERF DEGRAU PISO BQ 250X25X800X3,00MM</t>
  </si>
  <si>
    <t>00682B</t>
  </si>
  <si>
    <t>PERFIL U PORTA 25X32X2,00</t>
  </si>
  <si>
    <t>00653C</t>
  </si>
  <si>
    <t>PERFIL US 75X40X2,25</t>
  </si>
  <si>
    <t>00671A</t>
  </si>
  <si>
    <t>PERFIL UE 100X40X17X1,80</t>
  </si>
  <si>
    <t>00674D</t>
  </si>
  <si>
    <t>PERFIL UE 127X50X17X2,65</t>
  </si>
  <si>
    <t>00654K</t>
  </si>
  <si>
    <t>PERFIL US 92X30X1,95 GALV</t>
  </si>
  <si>
    <t>00656A</t>
  </si>
  <si>
    <t>PERFIL US 100X50X1,80</t>
  </si>
  <si>
    <t>00660</t>
  </si>
  <si>
    <t>PERFIL US 127X50X3,00</t>
  </si>
  <si>
    <t>00668J</t>
  </si>
  <si>
    <t>PERFIL UE 50X25X10X1,55 GALV</t>
  </si>
  <si>
    <t>00672</t>
  </si>
  <si>
    <t>PERFIL UE 100X50X17X3,00</t>
  </si>
  <si>
    <t>00678C</t>
  </si>
  <si>
    <t>PERFIL UE 200X75X25X2,25</t>
  </si>
  <si>
    <t>00656D</t>
  </si>
  <si>
    <t>PERFIL US 100X50X2,65</t>
  </si>
  <si>
    <t>00664D</t>
  </si>
  <si>
    <t>PERFIL US 150X50X2,65</t>
  </si>
  <si>
    <t>00664I</t>
  </si>
  <si>
    <t>PERFIL US 150X50X4,75</t>
  </si>
  <si>
    <t>00676C</t>
  </si>
  <si>
    <t>PERFIL UE 150X60X20X2,25</t>
  </si>
  <si>
    <t>00654A</t>
  </si>
  <si>
    <t>PERFIL US 92X30X1,80</t>
  </si>
  <si>
    <t>00655A</t>
  </si>
  <si>
    <t>PERFIL US 100X40X1,80</t>
  </si>
  <si>
    <t>00655K</t>
  </si>
  <si>
    <t>PERFIL US 100X40X1,95 GALV</t>
  </si>
  <si>
    <t>00670</t>
  </si>
  <si>
    <t>PERFIL UE 75X40X15X3,00</t>
  </si>
  <si>
    <t>01803</t>
  </si>
  <si>
    <t>CHAPA ARTICULADA RAIADA 0,65MM GALV</t>
  </si>
  <si>
    <t>00655B</t>
  </si>
  <si>
    <t>PERFIL US 100X40X2,00</t>
  </si>
  <si>
    <t>00666</t>
  </si>
  <si>
    <t>PERFIL US 200X50X3,00</t>
  </si>
  <si>
    <t>00672C</t>
  </si>
  <si>
    <t>PERFIL UE 100X50X17X2,25</t>
  </si>
  <si>
    <t>00676K</t>
  </si>
  <si>
    <t>PERFIL UE 150X60X20X1,95 GALV</t>
  </si>
  <si>
    <t>00660I</t>
  </si>
  <si>
    <t>PERFIL US 127X50X4,75</t>
  </si>
  <si>
    <t>00643</t>
  </si>
  <si>
    <t>PERF DEGRAU PISO BQ 250X25X900X3,00MM</t>
  </si>
  <si>
    <t>00651A</t>
  </si>
  <si>
    <t>PERFIL US 50X25X1,80</t>
  </si>
  <si>
    <t>00664C</t>
  </si>
  <si>
    <t>PERFIL US 150X50X2,25</t>
  </si>
  <si>
    <t>02025H</t>
  </si>
  <si>
    <t>PERFIL LAMBRI RET BZ 0,75 3000X1000MM</t>
  </si>
  <si>
    <t>00656C</t>
  </si>
  <si>
    <t>PERFIL US 100X50X2,25</t>
  </si>
  <si>
    <t>00674</t>
  </si>
  <si>
    <t>PERFIL UE 127X50X17X3,00</t>
  </si>
  <si>
    <t>00674C</t>
  </si>
  <si>
    <t>PERFIL UE 127X50X17X2,25</t>
  </si>
  <si>
    <t>00660K</t>
  </si>
  <si>
    <t>PERFIL US 127X50X1,95 GALV</t>
  </si>
  <si>
    <t>02027H</t>
  </si>
  <si>
    <t>PERFIL LAMBRI RET BZ 0,90 3000X1000MM</t>
  </si>
  <si>
    <t>00674K</t>
  </si>
  <si>
    <t>PERFIL UE 127X50X17X1,95 GALV</t>
  </si>
  <si>
    <t>00678</t>
  </si>
  <si>
    <t>PERFIL UE 200X75X25X3,00</t>
  </si>
  <si>
    <t>00656I</t>
  </si>
  <si>
    <t>PERFIL US 100X50X4,75</t>
  </si>
  <si>
    <t>00653D</t>
  </si>
  <si>
    <t>PERFIL US 75X40X2,65</t>
  </si>
  <si>
    <t>00664</t>
  </si>
  <si>
    <t>PERFIL US 150X50X3,00</t>
  </si>
  <si>
    <t>00655D</t>
  </si>
  <si>
    <t>PERFIL US 100X40X2,65</t>
  </si>
  <si>
    <t>00671D</t>
  </si>
  <si>
    <t>PERFIL UE 100X40X17X2,65</t>
  </si>
  <si>
    <t>00676</t>
  </si>
  <si>
    <t>PERFIL UE 150X60X20X3,00</t>
  </si>
  <si>
    <t>00660C</t>
  </si>
  <si>
    <t>PERFIL US 127X50X2,25</t>
  </si>
  <si>
    <t>00660D</t>
  </si>
  <si>
    <t>PERFIL US 127X50X2,65</t>
  </si>
  <si>
    <t>00666C</t>
  </si>
  <si>
    <t>PERFIL US 200X50X2,25</t>
  </si>
  <si>
    <t>00671C</t>
  </si>
  <si>
    <t>PERFIL UE 100X40X17X2,25</t>
  </si>
  <si>
    <t>02025</t>
  </si>
  <si>
    <t>PERFIL LAMBRI BZ 0,75 3000X1000MM</t>
  </si>
  <si>
    <t>00674B</t>
  </si>
  <si>
    <t>PERFIL UE 127X50X17X2,00</t>
  </si>
  <si>
    <t>00666B</t>
  </si>
  <si>
    <t>PERFIL US 200X50X2,00</t>
  </si>
  <si>
    <t>00655C</t>
  </si>
  <si>
    <t>PERFIL US 100X40X2,25</t>
  </si>
  <si>
    <t>00659B</t>
  </si>
  <si>
    <t>PERFIL US 127X40X2,00</t>
  </si>
  <si>
    <t>00653</t>
  </si>
  <si>
    <t>PERFIL US 75X40X3,00</t>
  </si>
  <si>
    <t>00678K</t>
  </si>
  <si>
    <t>PERFIL UE 200X75X25X1,95 GALV</t>
  </si>
  <si>
    <t>00670D</t>
  </si>
  <si>
    <t>PERFIL UE 75X40X15X2,65</t>
  </si>
  <si>
    <t>00630</t>
  </si>
  <si>
    <t>PERF UJ 29X16X3000MM GALV 1,55</t>
  </si>
  <si>
    <t>00631</t>
  </si>
  <si>
    <t>PERF UJ 30X17,5X3000MM GALV 1,55</t>
  </si>
  <si>
    <t>00632</t>
  </si>
  <si>
    <t>PERF UJ 35X27,5X17X13,5X3000MM GALV 1,55</t>
  </si>
  <si>
    <t>00633</t>
  </si>
  <si>
    <t>PERF UJ 28X21X3000MM GALV 1,55</t>
  </si>
  <si>
    <t>00634</t>
  </si>
  <si>
    <t>PERF UJ 35X20X3000MM GALV 1,55</t>
  </si>
  <si>
    <t>00670L</t>
  </si>
  <si>
    <t>PERFIL UE 75X40X15X2,30 GALV</t>
  </si>
  <si>
    <t>02025B</t>
  </si>
  <si>
    <t>PERFIL LAMBRI BZ 0,75 2000X1100MM</t>
  </si>
  <si>
    <t>02025D</t>
  </si>
  <si>
    <t>PERFIL LAMBRI BZ 0,75 2400X1100MM</t>
  </si>
  <si>
    <t>00672L</t>
  </si>
  <si>
    <t>PERFIL UE 100X50X17X2,30 GALV</t>
  </si>
  <si>
    <t>00653L</t>
  </si>
  <si>
    <t>PERFIL US 75X40X2,30 GALV</t>
  </si>
  <si>
    <t>02027B</t>
  </si>
  <si>
    <t>PERFIL LAMBRI BZ 0,90 2000X1100MM</t>
  </si>
  <si>
    <t>00660B</t>
  </si>
  <si>
    <t>PERFIL US 127X50X2,00</t>
  </si>
  <si>
    <t>00666I</t>
  </si>
  <si>
    <t>PERFIL US 200X50X4,75</t>
  </si>
  <si>
    <t>00675B</t>
  </si>
  <si>
    <t>PERFIL UE 150X50X17X2,00</t>
  </si>
  <si>
    <t>A</t>
  </si>
  <si>
    <t>B</t>
  </si>
  <si>
    <t>C</t>
  </si>
  <si>
    <t>Descrição do produto</t>
  </si>
  <si>
    <t xml:space="preserve">Quantidade </t>
  </si>
  <si>
    <t>%</t>
  </si>
  <si>
    <t>Acumulado</t>
  </si>
  <si>
    <t>ABC</t>
  </si>
  <si>
    <t>Diário (kg)</t>
  </si>
  <si>
    <t>Mensal</t>
  </si>
  <si>
    <t>Média</t>
  </si>
  <si>
    <t>Desv. Padrão</t>
  </si>
  <si>
    <t>% Desv.padrão</t>
  </si>
  <si>
    <t>Lead Time</t>
  </si>
  <si>
    <t>Nível de Segurança</t>
  </si>
  <si>
    <t>Estoque de Segurança</t>
  </si>
  <si>
    <t>Ponto de Ressuprimento</t>
  </si>
  <si>
    <t>Estoque Máximo</t>
  </si>
  <si>
    <t/>
  </si>
  <si>
    <t>pedido</t>
  </si>
  <si>
    <t>MÉDIA</t>
  </si>
  <si>
    <t xml:space="preserve">Data </t>
  </si>
  <si>
    <t>Saída</t>
  </si>
  <si>
    <t>Entrada</t>
  </si>
  <si>
    <t>Estoque</t>
  </si>
  <si>
    <t>Previsão</t>
  </si>
  <si>
    <t>Recebimento</t>
  </si>
  <si>
    <t>DESVIO PADRÃO</t>
  </si>
  <si>
    <t>LEAD TIME</t>
  </si>
  <si>
    <t>NÍVEL DE SEGURANÇA</t>
  </si>
  <si>
    <t>ESTOQUE DE SEGURANÇA</t>
  </si>
  <si>
    <t>PONTO DE RESSUPRIMENTO</t>
  </si>
  <si>
    <t>ESTOQUE MÁXIMO</t>
  </si>
  <si>
    <t>ESTOQUE INICIAL</t>
  </si>
  <si>
    <t>Nível de Serviço</t>
  </si>
  <si>
    <t>Fator de Serviço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</si>
</sst>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-* #,##0.0000_-;\-* #,##0.0000_-;_-* &quot;-&quot;??_-;_-@_-"/>
    <numFmt numFmtId="181" formatCode="dd/mm/yy;@"/>
    <numFmt numFmtId="182" formatCode="_-* #,##0_-;\-* #,##0_-;_-* &quot;-&quot;??_-;_-@_-"/>
    <numFmt numFmtId="183" formatCode=";;;"/>
  </numFmts>
  <fonts count="28">
    <font>
      <sz val="11"/>
      <color theme="1"/>
      <name val="Calibri"/>
      <charset val="134"/>
      <scheme val="minor"/>
    </font>
    <font>
      <sz val="24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6" tint="-0.249977111117893"/>
      <name val="Calibri"/>
      <charset val="134"/>
      <scheme val="minor"/>
    </font>
    <font>
      <sz val="12"/>
      <color theme="0"/>
      <name val="Calibri"/>
      <charset val="134"/>
      <scheme val="minor"/>
    </font>
    <font>
      <sz val="8"/>
      <color theme="0"/>
      <name val="Calibri"/>
      <charset val="134"/>
      <scheme val="minor"/>
    </font>
    <font>
      <b/>
      <sz val="9"/>
      <color theme="1"/>
      <name val="Calibri"/>
      <charset val="134"/>
    </font>
    <font>
      <sz val="9"/>
      <color theme="1"/>
      <name val="Calibri"/>
      <charset val="134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/>
      <diagonal/>
    </border>
    <border>
      <left style="thin">
        <color theme="0" tint="-0.14996795556505"/>
      </left>
      <right style="thin">
        <color theme="0" tint="-0.14996795556505"/>
      </right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1" applyNumberFormat="0" applyAlignment="0" applyProtection="0"/>
    <xf numFmtId="0" fontId="20" fillId="8" borderId="12" applyNumberFormat="0" applyAlignment="0" applyProtection="0"/>
    <xf numFmtId="0" fontId="21" fillId="8" borderId="11" applyNumberFormat="0" applyAlignment="0" applyProtection="0"/>
    <xf numFmtId="0" fontId="22" fillId="9" borderId="13" applyNumberFormat="0" applyAlignment="0" applyProtection="0"/>
    <xf numFmtId="0" fontId="23" fillId="0" borderId="14" applyNumberFormat="0" applyFill="0" applyAlignment="0" applyProtection="0"/>
    <xf numFmtId="0" fontId="3" fillId="0" borderId="15" applyNumberFormat="0" applyFill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7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</cellStyleXfs>
  <cellXfs count="4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9" fontId="0" fillId="0" borderId="0" xfId="3" applyFont="1" applyFill="1" applyBorder="1"/>
    <xf numFmtId="180" fontId="0" fillId="0" borderId="0" xfId="1" applyNumberFormat="1" applyFont="1" applyFill="1" applyBorder="1"/>
    <xf numFmtId="9" fontId="3" fillId="0" borderId="0" xfId="3" applyFont="1" applyFill="1" applyBorder="1"/>
    <xf numFmtId="180" fontId="3" fillId="0" borderId="0" xfId="1" applyNumberFormat="1" applyFont="1" applyFill="1" applyBorder="1"/>
    <xf numFmtId="10" fontId="0" fillId="0" borderId="0" xfId="3" applyNumberFormat="1" applyFont="1" applyFill="1" applyBorder="1"/>
    <xf numFmtId="181" fontId="0" fillId="0" borderId="0" xfId="0" applyNumberFormat="1"/>
    <xf numFmtId="4" fontId="0" fillId="0" borderId="0" xfId="0" applyNumberFormat="1"/>
    <xf numFmtId="182" fontId="0" fillId="0" borderId="0" xfId="1" applyNumberFormat="1" applyFont="1"/>
    <xf numFmtId="58" fontId="0" fillId="0" borderId="0" xfId="0" applyNumberFormat="1"/>
    <xf numFmtId="4" fontId="1" fillId="2" borderId="0" xfId="0" applyNumberFormat="1" applyFont="1" applyFill="1" applyAlignment="1">
      <alignment horizontal="left" vertical="center"/>
    </xf>
    <xf numFmtId="182" fontId="1" fillId="2" borderId="0" xfId="1" applyNumberFormat="1" applyFont="1" applyFill="1" applyAlignment="1">
      <alignment horizontal="left" vertical="center"/>
    </xf>
    <xf numFmtId="0" fontId="4" fillId="0" borderId="2" xfId="0" applyFont="1" applyBorder="1"/>
    <xf numFmtId="0" fontId="0" fillId="3" borderId="3" xfId="0" applyFill="1" applyBorder="1"/>
    <xf numFmtId="4" fontId="0" fillId="0" borderId="3" xfId="1" applyNumberFormat="1" applyFont="1" applyBorder="1"/>
    <xf numFmtId="0" fontId="3" fillId="4" borderId="0" xfId="0" applyFont="1" applyFill="1"/>
    <xf numFmtId="182" fontId="3" fillId="4" borderId="4" xfId="1" applyNumberFormat="1" applyFont="1" applyFill="1" applyBorder="1"/>
    <xf numFmtId="0" fontId="3" fillId="4" borderId="4" xfId="0" applyFont="1" applyFill="1" applyBorder="1"/>
    <xf numFmtId="181" fontId="0" fillId="0" borderId="0" xfId="0" applyNumberFormat="1" applyAlignment="1">
      <alignment horizontal="left"/>
    </xf>
    <xf numFmtId="182" fontId="0" fillId="0" borderId="5" xfId="1" applyNumberFormat="1" applyFont="1" applyBorder="1"/>
    <xf numFmtId="182" fontId="0" fillId="0" borderId="5" xfId="0" applyNumberFormat="1" applyBorder="1"/>
    <xf numFmtId="4" fontId="0" fillId="0" borderId="3" xfId="3" applyNumberFormat="1" applyFont="1" applyBorder="1"/>
    <xf numFmtId="58" fontId="1" fillId="2" borderId="0" xfId="0" applyNumberFormat="1" applyFont="1" applyFill="1" applyAlignment="1">
      <alignment horizontal="left" vertical="center"/>
    </xf>
    <xf numFmtId="58" fontId="0" fillId="3" borderId="0" xfId="0" applyNumberFormat="1" applyFill="1"/>
    <xf numFmtId="182" fontId="0" fillId="3" borderId="0" xfId="1" applyNumberFormat="1" applyFont="1" applyFill="1"/>
    <xf numFmtId="58" fontId="3" fillId="4" borderId="4" xfId="0" applyNumberFormat="1" applyFont="1" applyFill="1" applyBorder="1"/>
    <xf numFmtId="58" fontId="0" fillId="0" borderId="5" xfId="0" applyNumberFormat="1" applyBorder="1"/>
    <xf numFmtId="0" fontId="5" fillId="2" borderId="0" xfId="0" applyFont="1" applyFill="1" applyAlignment="1">
      <alignment horizontal="center" vertical="center"/>
    </xf>
    <xf numFmtId="4" fontId="6" fillId="2" borderId="0" xfId="0" applyNumberFormat="1" applyFont="1" applyFill="1" applyAlignment="1">
      <alignment horizontal="left" vertical="center"/>
    </xf>
    <xf numFmtId="183" fontId="1" fillId="2" borderId="0" xfId="0" applyNumberFormat="1" applyFont="1" applyFill="1" applyAlignment="1">
      <alignment horizontal="left" vertical="center"/>
    </xf>
    <xf numFmtId="0" fontId="7" fillId="5" borderId="6" xfId="0" applyFont="1" applyFill="1" applyBorder="1"/>
    <xf numFmtId="0" fontId="8" fillId="0" borderId="0" xfId="0" applyFont="1"/>
    <xf numFmtId="4" fontId="8" fillId="0" borderId="0" xfId="0" applyNumberFormat="1" applyFont="1"/>
    <xf numFmtId="9" fontId="8" fillId="0" borderId="0" xfId="0" applyNumberFormat="1" applyFont="1"/>
    <xf numFmtId="0" fontId="6" fillId="2" borderId="0" xfId="0" applyFont="1" applyFill="1" applyAlignment="1">
      <alignment horizontal="left" vertical="center"/>
    </xf>
    <xf numFmtId="9" fontId="6" fillId="2" borderId="0" xfId="0" applyNumberFormat="1" applyFont="1" applyFill="1" applyAlignment="1">
      <alignment horizontal="left" vertical="center"/>
    </xf>
    <xf numFmtId="4" fontId="7" fillId="5" borderId="6" xfId="0" applyNumberFormat="1" applyFont="1" applyFill="1" applyBorder="1"/>
    <xf numFmtId="0" fontId="9" fillId="3" borderId="0" xfId="0" applyFont="1" applyFill="1"/>
    <xf numFmtId="181" fontId="9" fillId="3" borderId="0" xfId="0" applyNumberFormat="1" applyFont="1" applyFill="1"/>
    <xf numFmtId="0" fontId="9" fillId="3" borderId="0" xfId="0" applyFont="1" applyFill="1" applyAlignment="1">
      <alignment horizontal="center"/>
    </xf>
    <xf numFmtId="0" fontId="10" fillId="0" borderId="0" xfId="0" applyFont="1" applyFill="1" applyAlignment="1">
      <alignment vertical="center"/>
    </xf>
    <xf numFmtId="58" fontId="10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0" fontId="0" fillId="0" borderId="0" xfId="0" quotePrefix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9">
    <dxf>
      <font>
        <b val="1"/>
      </font>
      <fill>
        <patternFill patternType="solid">
          <fgColor theme="0" tint="-0.149998474074526"/>
          <bgColor theme="0" tint="-0.149998474074526"/>
        </patternFill>
      </fill>
    </dxf>
    <dxf>
      <font>
        <b val="1"/>
      </font>
      <fill>
        <patternFill patternType="solid">
          <fgColor theme="0" tint="-0.149998474074526"/>
          <bgColor theme="0" tint="-0.149998474074526"/>
        </patternFill>
      </fill>
    </dxf>
    <dxf>
      <numFmt numFmtId="4" formatCode="#,##0.00"/>
    </dxf>
    <dxf>
      <numFmt numFmtId="4" formatCode="#,##0.00"/>
    </dxf>
    <dxf>
      <numFmt numFmtId="49" formatCode="@"/>
    </dxf>
    <dxf>
      <numFmt numFmtId="58" formatCode="dd/mm/yyyy"/>
    </dxf>
    <dxf>
      <numFmt numFmtId="4" formatCode="#,##0.00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0" formatCode="_-* #,##0.0000_-;\-* #,##0.0000_-;_-* &quot;-&quot;??_-;_-@_-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228600</xdr:colOff>
      <xdr:row>0</xdr:row>
      <xdr:rowOff>85725</xdr:rowOff>
    </xdr:from>
    <xdr:to>
      <xdr:col>4</xdr:col>
      <xdr:colOff>401759</xdr:colOff>
      <xdr:row>1</xdr:row>
      <xdr:rowOff>217254</xdr:rowOff>
    </xdr:to>
    <xdr:sp>
      <xdr:nvSpPr>
        <xdr:cNvPr id="2" name="CaixaDeTexto 1"/>
        <xdr:cNvSpPr txBox="1"/>
      </xdr:nvSpPr>
      <xdr:spPr>
        <a:xfrm>
          <a:off x="228600" y="85725"/>
          <a:ext cx="4001770" cy="5314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</a:rPr>
            <a:t>Histórico</a:t>
          </a:r>
          <a:r>
            <a:rPr lang="pt-BR" sz="2800" baseline="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</a:rPr>
            <a:t> Faturamento</a:t>
          </a:r>
          <a:endParaRPr lang="pt-BR" sz="2800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66675</xdr:colOff>
      <xdr:row>0</xdr:row>
      <xdr:rowOff>209550</xdr:rowOff>
    </xdr:from>
    <xdr:to>
      <xdr:col>5</xdr:col>
      <xdr:colOff>271871</xdr:colOff>
      <xdr:row>2</xdr:row>
      <xdr:rowOff>67900</xdr:rowOff>
    </xdr:to>
    <xdr:sp>
      <xdr:nvSpPr>
        <xdr:cNvPr id="2" name="CaixaDeTexto 1"/>
        <xdr:cNvSpPr txBox="1"/>
      </xdr:nvSpPr>
      <xdr:spPr>
        <a:xfrm>
          <a:off x="66675" y="209550"/>
          <a:ext cx="3357880" cy="657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360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</a:rPr>
            <a:t>Consolidação</a:t>
          </a:r>
          <a:endParaRPr lang="pt-BR" sz="3600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228600</xdr:colOff>
      <xdr:row>0</xdr:row>
      <xdr:rowOff>85725</xdr:rowOff>
    </xdr:from>
    <xdr:to>
      <xdr:col>1</xdr:col>
      <xdr:colOff>1360822</xdr:colOff>
      <xdr:row>1</xdr:row>
      <xdr:rowOff>218257</xdr:rowOff>
    </xdr:to>
    <xdr:sp>
      <xdr:nvSpPr>
        <xdr:cNvPr id="2" name="CaixaDeTexto 1"/>
        <xdr:cNvSpPr txBox="1"/>
      </xdr:nvSpPr>
      <xdr:spPr>
        <a:xfrm>
          <a:off x="228600" y="85725"/>
          <a:ext cx="1551305" cy="532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</a:rPr>
            <a:t>Cálculo</a:t>
          </a:r>
          <a:endParaRPr lang="pt-BR" sz="2800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0</xdr:col>
      <xdr:colOff>307732</xdr:colOff>
      <xdr:row>14</xdr:row>
      <xdr:rowOff>168520</xdr:rowOff>
    </xdr:from>
    <xdr:to>
      <xdr:col>2</xdr:col>
      <xdr:colOff>820615</xdr:colOff>
      <xdr:row>23</xdr:row>
      <xdr:rowOff>6682</xdr:rowOff>
    </xdr:to>
    <xdr:pic>
      <xdr:nvPicPr>
        <xdr:cNvPr id="4" name="Imagem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7340" y="3254375"/>
          <a:ext cx="3027680" cy="15525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219075</xdr:colOff>
      <xdr:row>0</xdr:row>
      <xdr:rowOff>104775</xdr:rowOff>
    </xdr:from>
    <xdr:to>
      <xdr:col>3</xdr:col>
      <xdr:colOff>25378</xdr:colOff>
      <xdr:row>1</xdr:row>
      <xdr:rowOff>237307</xdr:rowOff>
    </xdr:to>
    <xdr:sp>
      <xdr:nvSpPr>
        <xdr:cNvPr id="2" name="CaixaDeTexto 1"/>
        <xdr:cNvSpPr txBox="1"/>
      </xdr:nvSpPr>
      <xdr:spPr>
        <a:xfrm>
          <a:off x="219075" y="104775"/>
          <a:ext cx="2758440" cy="532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</a:rPr>
            <a:t>Configurações</a:t>
          </a:r>
          <a:endParaRPr lang="pt-BR" sz="2800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020.6544212963" refreshedBy="coordpcp" recordCount="6922">
  <cacheSource type="worksheet">
    <worksheetSource name="tSaida"/>
  </cacheSource>
  <cacheFields count="4">
    <cacheField name="Produto" numFmtId="0">
      <sharedItems count="1075">
        <s v="00650B"/>
        <s v="00650K"/>
        <s v="00651B"/>
        <s v="00652K"/>
        <s v="00653B"/>
        <s v="00653K"/>
        <s v="00664B"/>
        <s v="00664K"/>
        <s v="00668B"/>
        <s v="00668K"/>
        <s v="00670B"/>
        <s v="00670K"/>
        <s v="00671K"/>
        <s v="01805"/>
        <s v="02025C"/>
        <s v="02027A"/>
        <s v="02028A"/>
        <s v="02029A"/>
        <s v="00644"/>
        <s v="00650A"/>
        <s v="00651K"/>
        <s v="00652B"/>
        <s v="00653I"/>
        <s v="00654B"/>
        <s v="00655"/>
        <s v="00656"/>
        <s v="00656B"/>
        <s v="00670C"/>
        <s v="00671B"/>
        <s v="00672B"/>
        <s v="00672K"/>
        <s v="00676B"/>
        <s v="00678B"/>
        <s v="00682J"/>
        <s v="00652A"/>
        <s v="00653A"/>
        <s v="00656K"/>
        <s v="00668A"/>
        <s v="00670A"/>
        <s v="00672A"/>
        <s v="00676A"/>
        <s v="00645"/>
        <s v="00661B"/>
        <s v="00672D"/>
        <s v="00676D"/>
        <s v="00678D"/>
        <s v="02025A"/>
        <s v="02025F"/>
        <s v="00640"/>
        <s v="00641"/>
        <s v="00642"/>
        <s v="00682B"/>
        <s v="00653C"/>
        <s v="00671A"/>
        <s v="00674D"/>
        <s v="00654K"/>
        <s v="00656A"/>
        <s v="00660"/>
        <s v="00668J"/>
        <s v="00672"/>
        <s v="00678C"/>
        <s v="00656D"/>
        <s v="00664D"/>
        <s v="00664I"/>
        <s v="00676C"/>
        <s v="00654A"/>
        <s v="00655A"/>
        <s v="00655K"/>
        <s v="00670"/>
        <s v="01803"/>
        <s v="00655B"/>
        <s v="00666"/>
        <s v="00672C"/>
        <s v="00676K"/>
        <s v="00660I"/>
        <s v="00643"/>
        <s v="00651A"/>
        <s v="00664C"/>
        <s v="02025H"/>
        <s v="00656C"/>
        <s v="00674"/>
        <s v="00674C"/>
        <s v="00660K"/>
        <s v="02027H"/>
        <s v="00674K"/>
        <s v="00678"/>
        <s v="00656I"/>
        <s v="00653D"/>
        <s v="00664"/>
        <s v="00655D"/>
        <s v="00671D"/>
        <s v="00676"/>
        <s v="00660C"/>
        <s v="00660D"/>
        <s v="00666C"/>
        <s v="00671C"/>
        <s v="02025"/>
        <s v="00674B"/>
        <s v="00666B"/>
        <s v="00655C"/>
        <s v="00659B"/>
        <s v="00653"/>
        <s v="00678K"/>
        <s v="00670D"/>
        <s v="00630"/>
        <s v="00631"/>
        <s v="00632"/>
        <s v="00633"/>
        <s v="00634"/>
        <s v="00670L"/>
        <s v="02025B"/>
        <s v="02025D"/>
        <s v="00672L"/>
        <s v="00653L"/>
        <s v="02027B"/>
        <s v="00660B"/>
        <s v="00666I"/>
        <s v="00675B"/>
        <s v="00676E" u="1"/>
        <s v="00666E" u="1"/>
        <s v="01514" u="1"/>
        <s v="00670E" u="1"/>
        <s v="00653E" u="1"/>
        <s v="01517" u="1"/>
        <s v="00655E" u="1"/>
        <s v="00660E" u="1"/>
        <s v="01501" u="1"/>
        <s v="01506" u="1"/>
        <s v="00672E" u="1"/>
        <s v="00664E" u="1"/>
        <s v="01507" u="1"/>
        <s v="00656E" u="1"/>
        <s v="00678E" u="1"/>
        <s v="00674E" u="1"/>
        <s v="03002" u="1"/>
        <s v="05116" u="1"/>
        <s v="10419" u="1"/>
        <s v="01396" u="1"/>
        <s v="10236" u="1"/>
        <s v="01398" u="1"/>
        <s v="01394" u="1"/>
        <s v="82250" u="1"/>
        <s v="10646" u="1"/>
        <s v="01391" u="1"/>
        <s v="02501" u="1"/>
        <s v="01393" u="1"/>
        <s v="01394A" u="1"/>
        <s v="00147" u="1"/>
        <s v="01390" u="1"/>
        <s v="10022" u="1"/>
        <s v="10018" u="1"/>
        <s v="02000" u="1"/>
        <s v="01380C" u="1"/>
        <s v="82280C" u="1"/>
        <s v="01382C" u="1"/>
        <s v="00722E" u="1"/>
        <s v="00809" u="1"/>
        <s v="01371C" u="1"/>
        <s v="01115I" u="1"/>
        <s v="01382A" u="1"/>
        <s v="00901" u="1"/>
        <s v="02404A" u="1"/>
        <s v="01113" u="1"/>
        <s v="01108I" u="1"/>
        <s v="01371A" u="1"/>
        <s v="04750A" u="1"/>
        <s v="00140E" u="1"/>
        <s v="05123" u="1"/>
        <s v="02511" u="1"/>
        <s v="00140" u="1"/>
        <s v="05124" u="1"/>
        <s v="00147E" u="1"/>
        <s v="00281C" u="1"/>
        <s v="02053H" u="1"/>
        <s v="10948" u="1"/>
        <s v="10949" u="1"/>
        <s v="09020B" u="1"/>
        <s v="00694" u="1"/>
        <s v="00691" u="1"/>
        <s v="01101" u="1"/>
        <s v="02522" u="1"/>
        <s v="01395" u="1"/>
        <s v="82253" u="1"/>
        <s v="10020" u="1"/>
        <s v="00285C" u="1"/>
        <s v="01395A" u="1"/>
        <s v="00148" u="1"/>
        <s v="01371G" u="1"/>
        <s v="09091" u="1"/>
        <s v="82257" u="1"/>
        <s v="00365E" u="1"/>
        <s v="00720E" u="1"/>
        <s v="01380A" u="1"/>
        <s v="01393A" u="1"/>
        <s v="01103I" u="1"/>
        <s v="02401A" u="1"/>
        <s v="01051" u="1"/>
        <s v="00281A" u="1"/>
        <s v="01382D" u="1"/>
        <s v="01379K" u="1"/>
        <s v="01392" u="1"/>
        <s v="01053" u="1"/>
        <s v="00166" u="1"/>
        <s v="C02620" u="1"/>
        <s v="02620" u="1"/>
        <s v="01382I" u="1"/>
        <s v="01101I" u="1"/>
        <s v="00150" u="1"/>
        <s v="01377K" u="1"/>
        <s v="02503" u="1"/>
        <s v="02006" u="1"/>
        <s v="01332E" u="1"/>
        <s v="09020D" u="1"/>
        <s v="82280A" u="1"/>
        <s v="00286C" u="1"/>
        <s v="00693" u="1"/>
        <s v="01109I" u="1"/>
        <s v="01373C" u="1"/>
        <s v="10636" u="1"/>
        <s v="01106" u="1"/>
        <s v="04751A" u="1"/>
        <s v="01108" u="1"/>
        <s v="00690" u="1"/>
        <s v="01378K" u="1"/>
        <s v="82252" u="1"/>
        <s v="02506" u="1"/>
        <s v="02010" u="1"/>
        <s v="01334E" u="1"/>
        <s v="00902" u="1"/>
        <s v="03003" u="1"/>
        <s v="82280E" u="1"/>
        <s v="45534" u="1"/>
        <s v="01335D" u="1"/>
        <s v="01374D" u="1"/>
        <s v="01371I" u="1"/>
        <s v="00692" u="1"/>
        <s v="01380I" u="1"/>
        <s v="01103" u="1"/>
        <s v="01385K" u="1"/>
        <s v="03503" u="1"/>
        <s v="02621" u="1"/>
        <s v="C02621" u="1"/>
        <s v="01382K" u="1"/>
        <s v="00695" u="1"/>
        <s v="01371B" u="1"/>
        <s v="02005" u="1"/>
        <s v="00770" u="1"/>
        <s v="00782" u="1"/>
        <s v="00365" u="1"/>
        <s v="00111" u="1"/>
        <s v="01400" u="1"/>
        <s v="01381C" u="1"/>
        <s v="00805" u="1"/>
        <s v="04902" u="1"/>
        <s v="01375C" u="1"/>
        <s v="09092" u="1"/>
        <s v="00284" u="1"/>
        <s v="01387K" u="1"/>
        <s v="05109" u="1"/>
        <s v="01388E" u="1"/>
        <s v="01384C" u="1"/>
        <s v="00140F" u="1"/>
        <s v="00111E" u="1"/>
        <s v="00154E" u="1"/>
        <s v="04903" u="1"/>
        <s v="01384K" u="1"/>
        <s v="01335E" u="1"/>
        <s v="01118" u="1"/>
        <s v="02004" u="1"/>
        <s v="01370A" u="1"/>
        <s v="01337C" u="1"/>
        <s v="01334C" u="1"/>
        <s v="82280D" u="1"/>
        <s v="01383D" u="1"/>
        <s v="01113I" u="1"/>
        <s v="01380D" u="1"/>
        <s v="01116" u="1"/>
        <s v="01379E" u="1"/>
        <s v="02410" u="1"/>
        <s v="01337E" u="1"/>
        <s v="01385D" u="1"/>
        <s v="00722ERF" u="1"/>
        <s v="01376K" u="1"/>
        <s v="01102" u="1"/>
        <s v="00154" u="1"/>
        <s v="04904" u="1"/>
        <s v="01334K" u="1"/>
        <s v="01332D" u="1"/>
        <s v="01384I" u="1"/>
        <s v="06016" u="1"/>
        <s v="00123E" u="1"/>
        <s v="01370C" u="1"/>
        <s v="00905I" u="1"/>
        <s v="01388K" u="1"/>
        <s v="00166E" u="1"/>
        <s v="04901" u="1"/>
        <s v="01380B" u="1"/>
        <s v="01107I" u="1"/>
        <s v="00904" u="1"/>
        <s v="01384E" u="1"/>
        <s v="01335K" u="1"/>
        <s v="01375D" u="1"/>
        <s v="01382E" u="1"/>
        <s v="01378D" u="1"/>
        <s v="00810" u="1"/>
        <s v="00174" u="1"/>
        <s v="00386" u="1"/>
        <s v="01338E" u="1"/>
        <s v="00283" u="1"/>
        <s v="04211" u="1"/>
        <s v="09053B" u="1"/>
        <s v="00771" u="1"/>
        <s v="00136" u="1"/>
        <s v="01333C" u="1"/>
        <s v="01378E" u="1"/>
        <s v="01373D" u="1"/>
        <s v="02007" u="1"/>
        <s v="00289" u="1"/>
        <s v="01331E" u="1"/>
        <s v="01114" u="1"/>
        <s v="01071" u="1"/>
        <s v="01384D" u="1"/>
        <s v="00804" u="1"/>
        <s v="01332G" u="1"/>
        <s v="00120A" u="1"/>
        <s v="00148L" u="1"/>
        <s v="30011" u="1"/>
        <s v="01382B" u="1"/>
        <s v="09090" u="1"/>
        <s v="01104" u="1"/>
        <s v="01380G" u="1"/>
        <s v="01106I" u="1"/>
        <s v="00903" u="1"/>
        <s v="00721E" u="1"/>
        <s v="00905" u="1"/>
        <s v="04750" u="1"/>
        <s v="01334D" u="1"/>
        <s v="01377D" u="1"/>
        <s v="00774" u="1"/>
        <s v="01383E" u="1"/>
        <s v="01123" u="1"/>
        <s v="06051" u="1"/>
        <s v="01373I" u="1"/>
        <s v="01332C" u="1"/>
        <s v="01371D" u="1"/>
        <s v="04753A" u="1"/>
        <s v="01372A" u="1"/>
        <s v="00168E" u="1"/>
        <s v="01333E" u="1"/>
        <s v="04050" u="1"/>
        <s v="04212" u="1"/>
        <s v="01335C" u="1"/>
        <s v="01070" u="1"/>
        <s v="00809I" u="1"/>
        <s v="82281A" u="1"/>
        <s v="C02655" u="1"/>
        <s v="02420" u="1"/>
        <s v="01382G" u="1"/>
        <s v="00813" u="1"/>
        <s v="00821" u="1"/>
        <s v="45535" u="1"/>
        <s v="00604" u="1"/>
        <s v="01333D" u="1"/>
        <s v="02003" u="1"/>
        <s v="00385" u="1"/>
        <s v="01115" u="1"/>
        <s v="10037" u="1"/>
        <s v="02016" u="1"/>
        <s v="01376D" u="1"/>
        <s v="02020" u="1"/>
        <s v="00811" u="1"/>
        <s v="04756" u="1"/>
        <s v="01111" u="1"/>
        <s v="01337D" u="1"/>
        <s v="09022B" u="1"/>
        <s v="01339E" u="1"/>
        <s v="09230A" u="1"/>
        <s v="01120" u="1"/>
        <s v="00801" u="1"/>
        <s v="00906" u="1"/>
        <s v="01052" u="1"/>
        <s v="00778" u="1"/>
        <s v="C01111" u="1"/>
        <s v="01107" u="1"/>
        <s v="02053A" u="1"/>
        <s v="00907" u="1"/>
        <s v="01332A" u="1"/>
        <s v="00904I" u="1"/>
        <s v="01337K" u="1"/>
        <s v="00802" u="1"/>
        <s v="01380K" u="1"/>
        <s v="04101" u="1"/>
        <s v="C01117" u="1"/>
        <s v="06017" u="1"/>
        <s v="05016A" u="1"/>
        <s v="00387TE" u="1"/>
        <s v="09111C" u="1"/>
        <s v="01372C" u="1"/>
        <s v="01331C" u="1"/>
        <s v="00168" u="1"/>
        <s v="01382J" u="1"/>
        <s v="01388D" u="1"/>
        <s v="00824" u="1"/>
        <s v="01055" u="1"/>
        <s v="01334I" u="1"/>
        <s v="30053" u="1"/>
        <s v="01331I" u="1"/>
        <s v="01102I" u="1"/>
        <s v="03004" u="1"/>
        <s v="00385E" u="1"/>
        <s v="01374I" u="1"/>
        <s v="01056" u="1"/>
        <s v="00819" u="1"/>
        <s v="82281E" u="1"/>
        <s v="01373A" u="1"/>
        <s v="00808" u="1"/>
        <s v="02421" u="1"/>
        <s v="09093" u="1"/>
        <s v="00822" u="1"/>
        <s v="04751" u="1"/>
        <s v="00816" u="1"/>
        <s v="01054" u="1"/>
        <s v="C00805" u="1"/>
        <s v="03009" u="1"/>
        <s v="01381D" u="1"/>
        <s v="01105" u="1"/>
        <s v="03012" u="1"/>
        <s v="01389K" u="1"/>
        <s v="01332B" u="1"/>
        <s v="01110" u="1"/>
        <s v="C00809" u="1"/>
        <s v="00818I" u="1"/>
        <s v="01374E" u="1"/>
        <s v="04905" u="1"/>
        <s v="00141" u="1"/>
        <s v="01122" u="1"/>
        <s v="C00906" u="1"/>
        <s v="00410A" u="1"/>
        <s v="01330I" u="1"/>
        <s v="00388" u="1"/>
        <s v="01060" u="1"/>
        <s v="01381I" u="1"/>
        <s v="01379D" u="1"/>
        <s v="00605" u="1"/>
        <s v="00696" u="1"/>
        <s v="00162" u="1"/>
        <s v="00806" u="1"/>
        <s v="01375K" u="1"/>
        <s v="00803" u="1"/>
        <s v="00812" u="1"/>
        <s v="02017" u="1"/>
        <s v="01384J" u="1"/>
        <s v="02008" u="1"/>
        <s v="01333K" u="1"/>
        <s v="00961" u="1"/>
        <s v="02508" u="1"/>
        <s v="03319" u="1"/>
        <s v="00834" u="1"/>
        <s v="09240" u="1"/>
        <s v="03324" u="1"/>
        <s v="82281D" u="1"/>
        <s v="05001" u="1"/>
        <s v="02053I" u="1"/>
        <s v="45300" u="1"/>
        <s v="01105I" u="1"/>
        <s v="01375I" u="1"/>
        <s v="01002" u="1"/>
        <s v="02014" u="1"/>
        <s v="01372I" u="1"/>
        <s v="00112E" u="1"/>
        <s v="00385EV" u="1"/>
        <s v="00820" u="1"/>
        <s v="01373G" u="1"/>
        <s v="04752A" u="1"/>
        <s v="05017A" u="1"/>
        <s v="02405A" u="1"/>
        <s v="00139E" u="1"/>
        <s v="04752" u="1"/>
        <s v="01335I" u="1"/>
        <s v="01331G" u="1"/>
        <s v="00829" u="1"/>
        <s v="01381G" u="1"/>
        <s v="00825" u="1"/>
        <s v="01332I" u="1"/>
        <s v="02015" u="1"/>
        <s v="00807" u="1"/>
        <s v="01381A" u="1"/>
        <s v="05007" u="1"/>
        <s v="01330C" u="1"/>
        <s v="00901I" u="1"/>
        <s v="02504" u="1"/>
        <s v="02013" u="1"/>
        <s v="01380J" u="1"/>
        <s v="00822I" u="1"/>
        <s v="03502" u="1"/>
        <s v="04781" u="1"/>
        <s v="00818" u="1"/>
        <s v="01338C" u="1"/>
        <s v="00837" u="1"/>
        <s v="01370D" u="1"/>
        <s v="02403A" u="1"/>
        <s v="05013A" u="1"/>
        <s v="00175" u="1"/>
        <s v="01050" u="1"/>
        <s v="00721EAF" u="1"/>
        <s v="01375J" u="1"/>
        <s v="09022C" u="1"/>
        <s v="01117" u="1"/>
        <s v="30085" u="1"/>
        <s v="00409A" u="1"/>
        <s v="00123" u="1"/>
        <s v="05008" u="1"/>
        <s v="05014A" u="1"/>
        <s v="09028" u="1"/>
        <s v="04224" u="1"/>
        <s v="00381" u="1"/>
        <s v="06042" u="1"/>
        <s v="00811I" u="1"/>
        <s v="09133" u="1"/>
        <s v="01338D" u="1"/>
        <s v="09226" u="1"/>
        <s v="01001" u="1"/>
        <s v="00701" u="1"/>
        <s v="06102" u="1"/>
        <s v="01370I" u="1"/>
        <s v="02072A" u="1"/>
        <s v="02053K" u="1"/>
        <s v="00780" u="1"/>
        <s v="04913" u="1"/>
        <s v="01070A" u="1"/>
        <s v="00126" u="1"/>
        <s v="02071A" u="1"/>
        <s v="00139EV" u="1"/>
        <s v="00112" u="1"/>
        <s v="30022" u="1"/>
        <s v="02411" u="1"/>
        <s v="00722EA" u="1"/>
        <s v="00833" u="1"/>
        <s v="00814" u="1"/>
        <s v="01374K" u="1"/>
        <s v="01339D" u="1"/>
        <s v="00965" u="1"/>
        <s v="01980I" u="1"/>
        <s v="04223" u="1"/>
        <s v="00170" u="1"/>
        <s v="02031" u="1"/>
        <s v="00832" u="1"/>
        <s v="09222" u="1"/>
        <s v="05009" u="1"/>
        <s v="06261" u="1"/>
        <s v="00903I" u="1"/>
        <s v="01124" u="1"/>
        <s v="01330A" u="1"/>
        <s v="01337I" u="1"/>
        <s v="01332K" u="1"/>
        <s v="04753" u="1"/>
        <s v="00387" u="1"/>
        <s v="00962" u="1"/>
        <s v="02673" u="1"/>
        <s v="02018" u="1"/>
        <s v="09026" u="1"/>
        <s v="02070C" u="1"/>
        <s v="01119" u="1"/>
        <s v="00813I" u="1"/>
        <s v="05012A" u="1"/>
        <s v="01334J" u="1"/>
        <s v="01333I" u="1"/>
        <s v="04054" u="1"/>
        <s v="00150E" u="1"/>
        <s v="01337A" u="1"/>
        <s v="01383K" u="1"/>
        <s v="02412" u="1"/>
        <s v="01335J" u="1"/>
        <s v="05002" u="1"/>
        <s v="00810I" u="1"/>
        <s v="02070B" u="1"/>
        <s v="09547D" u="1"/>
        <s v="01001I" u="1"/>
        <s v="02415" u="1"/>
        <s v="01339K" u="1"/>
        <s v="06010" u="1"/>
        <s v="09241" u="1"/>
        <s v="00705" u="1"/>
        <s v="09021B" u="1"/>
        <s v="00550" u="1"/>
        <s v="00823" u="1"/>
        <s v="00817" u="1"/>
        <s v="04236" u="1"/>
        <s v="03323" u="1"/>
        <s v="02073C" u="1"/>
        <s v="00721EF" u="1"/>
        <s v="00365F" u="1"/>
        <s v="00162F" u="1"/>
        <s v="00150F" u="1"/>
        <s v="00154F" u="1"/>
        <s v="00147L" u="1"/>
        <s v="00910" u="1"/>
        <s v="09231" u="1"/>
        <s v="04780" u="1"/>
        <s v="01370G" u="1"/>
        <s v="00831" u="1"/>
        <s v="09071" u="1"/>
        <s v="06009" u="1"/>
        <s v="30129" u="1"/>
        <s v="05005" u="1"/>
        <s v="05003" u="1"/>
        <s v="09060" u="1"/>
        <s v="00501" u="1"/>
        <s v="04757" u="1"/>
        <s v="03142I" u="1"/>
        <s v="01002I" u="1"/>
        <s v="00771C" u="1"/>
        <s v="10822" u="1"/>
        <s v="C01101" u="1"/>
        <s v="02071C" u="1"/>
        <s v="01374J" u="1"/>
        <s v="01333J" u="1"/>
        <s v="04264I" u="1"/>
        <s v="45528" u="1"/>
        <s v="06019" u="1"/>
        <s v="01374G" u="1"/>
        <s v="04059" u="1"/>
        <s v="03223" u="1"/>
        <s v="03193I" u="1"/>
        <s v="10951" u="1"/>
        <s v="09039" u="1"/>
        <s v="00909" u="1"/>
        <s v="00828" u="1"/>
        <s v="06045" u="1"/>
        <s v="03504" u="1"/>
        <s v="03198I" u="1"/>
        <s v="00704" u="1"/>
        <s v="00220" u="1"/>
        <s v="10569" u="1"/>
        <s v="02076A" u="1"/>
        <s v="02025E" u="1"/>
        <s v="00139" u="1"/>
        <s v="09132" u="1"/>
        <s v="06260" u="1"/>
        <s v="00538" u="1"/>
        <s v="09506D" u="1"/>
        <s v="00176" u="1"/>
        <s v="01333A" u="1"/>
        <s v="01337J" u="1"/>
        <s v="03008" u="1"/>
        <s v="06815" u="1"/>
        <s v="03001" u="1"/>
        <s v="10618" u="1"/>
        <s v="00720EA" u="1"/>
        <s v="00967" u="1"/>
        <s v="09111E" u="1"/>
        <s v="02554" u="1"/>
        <s v="00964" u="1"/>
        <s v="09243" u="1"/>
        <s v="02616" u="1"/>
        <s v="45324" u="1"/>
        <s v="00714" u="1"/>
        <s v="00721EA" u="1"/>
        <s v="09034" u="1"/>
        <s v="02071D" u="1"/>
        <s v="02614" u="1"/>
        <s v="02525" u="1"/>
        <s v="00697" u="1"/>
        <s v="00225" u="1"/>
        <s v="03801" u="1"/>
        <s v="01331D" u="1"/>
        <s v="06262" u="1"/>
        <s v="00284E" u="1"/>
        <s v="03320" u="1"/>
        <s v="09113B" u="1"/>
        <s v="04060" u="1"/>
        <s v="04053" u="1"/>
        <s v="01372D" u="1"/>
        <s v="02578" u="1"/>
        <s v="01339C" u="1"/>
        <s v="06107" u="1"/>
        <s v="11152" u="1"/>
        <s v="01334A" u="1"/>
        <s v="02057A" u="1"/>
        <s v="02060A" u="1"/>
        <s v="00408A" u="1"/>
        <s v="02548A" u="1"/>
        <s v="00286" u="1"/>
        <s v="04262I" u="1"/>
        <s v="04051" u="1"/>
        <s v="02076C" u="1"/>
        <s v="09060I" u="1"/>
        <s v="02072C" u="1"/>
        <s v="02665" u="1"/>
        <s v="00121" u="1"/>
        <s v="00503" u="1"/>
        <s v="04263" u="1"/>
        <s v="30021" u="1"/>
        <s v="03153I" u="1"/>
        <s v="09151" u="1"/>
        <s v="09050B" u="1"/>
        <s v="02509A" u="1"/>
        <s v="03197I" u="1"/>
        <s v="02074A" u="1"/>
        <s v="45304" u="1"/>
        <s v="06640" u="1"/>
        <s v="06037" u="1"/>
        <s v="02030" u="1"/>
        <s v="03010" u="1"/>
        <s v="02485" u="1"/>
        <s v="00838" u="1"/>
        <s v="03152I" u="1"/>
        <s v="02041A" u="1"/>
        <s v="01109" u="1"/>
        <s v="01059" u="1"/>
        <s v="01058" u="1"/>
        <s v="01057" u="1"/>
        <s v="00770C" u="1"/>
        <s v="00400" u="1"/>
        <s v="01330G" u="1"/>
        <s v="06038" u="1"/>
        <s v="45099" u="1"/>
        <s v="02544" u="1"/>
        <s v="06025" u="1"/>
        <s v="04056" u="1"/>
        <s v="02556A" u="1"/>
        <s v="03122I" u="1"/>
        <s v="06861" u="1"/>
        <s v="03144I" u="1"/>
        <s v="02583" u="1"/>
        <s v="02032" u="1"/>
        <s v="09040" u="1"/>
        <s v="06108" u="1"/>
        <s v="02064A" u="1"/>
        <s v="02070A" u="1"/>
        <s v="00137" u="1"/>
        <s v="00830" u="1"/>
        <s v="00706" u="1"/>
        <s v="06111" u="1"/>
        <s v="05015A" u="1"/>
        <s v="01331J" u="1"/>
        <s v="09070B" u="1"/>
        <s v="00826" u="1"/>
        <s v="01114I" u="1"/>
        <s v="02078C" u="1"/>
        <s v="05011A" u="1"/>
        <s v="45302" u="1"/>
        <s v="04102" u="1"/>
        <s v="02067C" u="1"/>
        <s v="02064C" u="1"/>
        <s v="09209" u="1"/>
        <s v="09507D" u="1"/>
        <s v="03501" u="1"/>
        <s v="06018" u="1"/>
        <s v="02036A" u="1"/>
        <s v="02070D" u="1"/>
        <s v="02041" u="1"/>
        <s v="00775" u="1"/>
        <s v="05117" u="1"/>
        <s v="02022" u="1"/>
        <s v="06805" u="1"/>
        <s v="02076F" u="1"/>
        <s v="00720ERF" u="1"/>
        <s v="00607A" u="1"/>
        <s v="03222" u="1"/>
        <s v="02580A" u="1"/>
        <s v="09134" u="1"/>
        <s v="00154RF" u="1"/>
        <s v="00835" u="1"/>
        <s v="06860" u="1"/>
        <s v="05704A" u="1"/>
        <s v="03137I" u="1"/>
        <s v="00285" u="1"/>
        <s v="06015" u="1"/>
        <s v="03121I" u="1"/>
        <s v="00505" u="1"/>
        <s v="01121" u="1"/>
        <s v="03338" u="1"/>
        <s v="04061" u="1"/>
        <s v="09229" u="1"/>
        <s v="00830I" u="1"/>
        <s v="04235" u="1"/>
        <s v="01364I" u="1"/>
        <s v="02661" u="1"/>
        <s v="90007" u="1"/>
        <s v="01338K" u="1"/>
        <s v="45325I" u="1"/>
        <s v="00409" u="1"/>
        <s v="45601I" u="1"/>
        <s v="45603I" u="1"/>
        <s v="03506" u="1"/>
        <s v="03138I" u="1"/>
        <s v="09214" u="1"/>
        <s v="09154" u="1"/>
        <s v="05119" u="1"/>
        <s v="02610" u="1"/>
        <s v="02073F" u="1"/>
        <s v="00778C" u="1"/>
        <s v="00698" u="1"/>
        <s v="02078A" u="1"/>
        <s v="00721ERF" u="1"/>
        <s v="02074C" u="1"/>
        <s v="00162E" u="1"/>
        <s v="02519" u="1"/>
        <s v="02556" u="1"/>
        <s v="09227" u="1"/>
        <s v="09070A" u="1"/>
        <s v="03321" u="1"/>
        <s v="02076D" u="1"/>
        <s v="02074D" u="1"/>
        <s v="90006" u="1"/>
        <s v="00187" u="1"/>
        <s v="00156" u="1"/>
        <s v="45526" u="1"/>
        <s v="05701A" u="1"/>
        <s v="03140I" u="1"/>
        <s v="09153" u="1"/>
        <s v="02037A" u="1"/>
        <s v="02072D" u="1"/>
        <s v="45319" u="1"/>
        <s v="09022A" u="1"/>
        <s v="06103" u="1"/>
        <s v="09072" u="1"/>
        <s v="01388L" u="1"/>
        <s v="30001" u="1"/>
        <s v="00902I" u="1"/>
        <s v="02485F" u="1"/>
        <s v="00702" u="1"/>
        <s v="45703" u="1"/>
        <s v="09200" u="1"/>
        <s v="02079A" u="1"/>
        <s v="06109" u="1"/>
        <s v="03343" u="1"/>
        <s v="03339" u="1"/>
        <s v="02055C" u="1"/>
        <s v="02042A" u="1"/>
        <s v="03005" u="1"/>
        <s v="01371" u="1"/>
        <s v="01374C" u="1"/>
        <s v="45300A" u="1"/>
        <s v="06011" u="1"/>
        <s v="09400" u="1"/>
        <s v="00152" u="1"/>
        <s v="30032" u="1"/>
        <s v="45301" u="1"/>
        <s v="02682" u="1"/>
        <s v="05702A" u="1"/>
        <s v="03224" u="1"/>
        <s v="09051C" u="1"/>
        <s v="02040" u="1"/>
        <s v="01332J" u="1"/>
        <s v="09217" u="1"/>
        <s v="00963" u="1"/>
        <s v="00221" u="1"/>
        <s v="04303" u="1"/>
        <s v="06043" u="1"/>
        <s v="00960" u="1"/>
        <s v="00770B" u="1"/>
        <s v="00778B" u="1"/>
        <s v="00782B" u="1"/>
        <s v="01362I" u="1"/>
        <s v="00141E" u="1"/>
        <s v="00162RF" u="1"/>
        <s v="06823" u="1"/>
        <s v="02079C" u="1"/>
        <s v="02548" u="1"/>
        <s v="02070F" u="1"/>
        <s v="01365I" u="1"/>
        <s v="C00804" u="1"/>
        <s v="02580" u="1"/>
        <s v="00566" u="1"/>
        <s v="03199I" u="1"/>
        <s v="06806" u="1"/>
        <s v="03322" u="1"/>
        <s v="05703A" u="1"/>
        <s v="03334" u="1"/>
        <s v="02623" u="1"/>
        <s v="02064F" u="1"/>
        <s v="02509" u="1"/>
        <s v="04052" u="1"/>
        <s v="04220" u="1"/>
        <s v="02071F" u="1"/>
        <s v="01363I" u="1"/>
        <s v="02057C" u="1"/>
        <s v="00563" u="1"/>
        <s v="00186" u="1"/>
        <s v="01368I" u="1"/>
        <s v="00709" u="1"/>
        <s v="01366I" u="1"/>
        <s v="45007" u="1"/>
        <s v="05901" u="1"/>
        <s v="00821I" u="1"/>
        <s v="45303" u="1"/>
        <s v="00185" u="1"/>
        <s v="03209I" u="1"/>
        <s v="06003" u="1"/>
        <s v="09224" u="1"/>
        <s v="03154I" u="1"/>
        <s v="03141I" u="1"/>
        <s v="01367I" u="1"/>
        <s v="00712" u="1"/>
        <s v="06014" u="1"/>
        <s v="03333" u="1"/>
        <s v="00782C" u="1"/>
        <s v="04305" u="1"/>
        <s v="03301" u="1"/>
        <s v="09223" u="1"/>
        <s v="09225" u="1"/>
        <s v="45600I" u="1"/>
        <s v="03302" u="1"/>
        <s v="02073B" u="1"/>
        <s v="02575" u="1"/>
        <s v="00188" u="1"/>
        <s v="03238" u="1"/>
        <s v="03143I" u="1"/>
        <s v="02060C" u="1"/>
        <s v="01154" u="1"/>
        <s v="01153" u="1"/>
        <s v="01155" u="1"/>
        <s v="04209" u="1"/>
        <s v="04262" u="1"/>
        <s v="05122" u="1"/>
        <s v="03342" u="1"/>
        <s v="02668" u="1"/>
        <s v="03194I" u="1"/>
        <s v="02078D" u="1"/>
        <s v="02079F" u="1"/>
        <s v="02661F" u="1"/>
        <s v="02074F" u="1"/>
        <s v="00281" u="1"/>
        <s v="00366" u="1"/>
        <s v="00568" u="1"/>
        <s v="09214A" u="1"/>
        <s v="02078F" u="1"/>
        <s v="01152" u="1"/>
        <s v="00562" u="1"/>
        <s v="03221I" u="1"/>
        <s v="06123" u="1"/>
        <s v="02044A" u="1"/>
        <s v="03191I" u="1"/>
        <s v="01373" u="1"/>
        <s v="09216I" u="1"/>
        <s v="09208" u="1"/>
        <s v="06111A" u="1"/>
        <s v="03318" u="1"/>
        <s v="09523D" u="1"/>
        <s v="03306" u="1"/>
        <s v="30019" u="1"/>
        <s v="09024B" u="1"/>
        <s v="03317" u="1"/>
        <s v="02517" u="1"/>
        <s v="01360I" u="1"/>
        <s v="09101B" u="1"/>
        <s v="04104" u="1"/>
        <s v="02574" u="1"/>
        <s v="00172" u="1"/>
        <s v="00126E" u="1"/>
        <s v="06101" u="1"/>
        <s v="09211" u="1"/>
        <s v="02073E" u="1"/>
        <s v="05015" u="1"/>
        <s v="01817" u="1"/>
        <s v="09222I" u="1"/>
        <s v="03305" u="1"/>
        <s v="02043A" u="1"/>
        <s v="01156" u="1"/>
        <s v="00800A" u="1"/>
        <s v="45701" u="1"/>
        <s v="00572" u="1"/>
        <s v="00565" u="1"/>
        <s v="45006" u="1"/>
        <s v="03307" u="1"/>
        <s v="03505" u="1"/>
        <s v="00381E" u="1"/>
        <s v="09541D" u="1"/>
        <s v="04001" u="1"/>
        <s v="45602I" u="1"/>
        <s v="03325" u="1"/>
        <s v="09216" u="1"/>
        <s v="03192I" u="1"/>
        <s v="02560" u="1"/>
        <s v="02067F" u="1"/>
        <s v="02060D" u="1"/>
        <s v="02042" u="1"/>
        <s v="02583A" u="1"/>
        <s v="02609" u="1"/>
        <s v="00966" u="1"/>
        <s v="09210" u="1"/>
        <s v="09060E" u="1"/>
        <s v="09216A" u="1"/>
        <s v="03340" u="1"/>
        <s v="06121" u="1"/>
        <s v="02057F" u="1"/>
        <s v="00170E" u="1"/>
        <s v="00560" u="1"/>
        <s v="00189" u="1"/>
        <s v="04057" u="1"/>
        <s v="03200I" u="1"/>
        <s v="04055" u="1"/>
        <s v="04213" u="1"/>
        <s v="03311" u="1"/>
        <s v="09021A" u="1"/>
        <s v="03237" u="1"/>
        <s v="03335" u="1"/>
        <s v="03341" u="1"/>
        <s v="09555D" u="1"/>
        <s v="02045A" u="1"/>
        <s v="02069A" u="1"/>
        <s v="02072F" u="1"/>
        <s v="02057D" u="1"/>
        <s v="02059C" u="1"/>
        <s v="00710" u="1"/>
        <s v="00571" u="1"/>
        <s v="00223" u="1"/>
        <s v="00567" u="1"/>
        <s v="00570" u="1"/>
        <s v="00564" u="1"/>
        <s v="90488" u="1"/>
        <s v="06110" u="1"/>
        <s v="06125" u="1"/>
        <s v="06002" u="1"/>
        <s v="09550D" u="1"/>
        <s v="09215" u="1"/>
        <s v="03225" u="1"/>
        <s v="06122" u="1"/>
        <s v="01919" u="1"/>
        <s v="02613" u="1"/>
        <s v="03139I" u="1"/>
        <s v="02586" u="1"/>
        <s v="02046A" u="1"/>
        <s v="30078" u="1"/>
        <s v="90010" u="1"/>
        <s v="09221" u="1"/>
        <s v="09120B" u="1"/>
        <s v="03326" u="1"/>
        <s v="09218" u="1"/>
        <s v="03310" u="1"/>
        <s v="09220A" u="1"/>
        <s v="06111B" u="1"/>
        <s v="03103" u="1"/>
        <s v="02066A" u="1"/>
        <s v="02059F" u="1"/>
        <s v="02577" u="1"/>
        <s v="01921" u="1"/>
        <s v="00172E" u="1"/>
        <s v="45702" u="1"/>
        <s v="00550A" u="1"/>
        <s v="00224" u="1"/>
        <s v="00138E" u="1"/>
        <s v="06124" u="1"/>
        <s v="06120" u="1"/>
        <s v="09215A" u="1"/>
        <s v="06102B" u="1"/>
        <s v="09203" u="1"/>
        <s v="02617" u="1"/>
        <s v="03127" u="1"/>
        <s v="02035A" u="1"/>
        <s v="02583I" u="1"/>
        <s v="02064D" u="1"/>
        <s v="01246" u="1"/>
        <s v="01359I" u="1"/>
        <s v="01307" u="1"/>
        <s v="01311" u="1"/>
        <s v="01306" u="1"/>
        <s v="01308" u="1"/>
        <s v="30057" u="1"/>
        <s v="90419" u="1"/>
        <s v="90026" u="1"/>
        <s v="00366E" u="1"/>
        <s v="45156" u="1"/>
        <s v="80707" u="1"/>
        <s v="90420" u="1"/>
        <s v="80768" u="1"/>
        <s v="80054" u="1"/>
        <s v="45700" u="1"/>
        <s v="80290" u="1"/>
        <s v="05801" u="1"/>
        <s v="PRODUTO A" u="1"/>
        <s v="PRODUTO B" u="1"/>
        <s v="PRODUTO C" u="1"/>
      </sharedItems>
    </cacheField>
    <cacheField name="Descrição" numFmtId="0">
      <sharedItems count="118">
        <s v="PERFIL US 45X17X2,00"/>
        <s v="PERFIL US 45X17X1,95 GALV"/>
        <s v="PERFIL US 50X25X2,00"/>
        <s v="PERFIL US 68X30X1,95 GALV"/>
        <s v="PERFIL US 75X40X2,00"/>
        <s v="PERFIL US 75X40X1,95 GALV"/>
        <s v="PERFIL US 150X50X2,00"/>
        <s v="PERFIL US 150X50X1,95 GALV"/>
        <s v="PERFIL UE 50X25X10X2,00"/>
        <s v="PERFIL UE 50X25X10X1,95 GALV"/>
        <s v="PERFIL UE 75X40X15X2,00"/>
        <s v="PERFIL UE 75X40X15X1,95 GALV"/>
        <s v="PERFIL UE 100X40X17X1,95 GALV"/>
        <s v="CHAPA ARTICULADA RAIADA 0,50MM GALV"/>
        <s v="PERFIL LAMBRI BZ 0,75 2400X1000MM"/>
        <s v="PERFIL LAMBRI BZ 0,90 2000X1000MM"/>
        <s v="PERFIL LAMBRI BF 0,90 2000X1000MM"/>
        <s v="PERFIL VENEZIANA BZ 0,75 75X22X3000MM"/>
        <s v="PERF DEGRAU PISO BQ 250X25X1000X3,00MM"/>
        <s v="PERFIL US 45X17X1,80"/>
        <s v="PERFIL US 50X25X1,95 GALV"/>
        <s v="PERFIL US 68X30X2,00"/>
        <s v="PERFIL US 75X40X4,75"/>
        <s v="PERFIL US 92X30X2,00"/>
        <s v="PERFIL US 100X40X3,00"/>
        <s v="PERFIL US 100X50X3,00"/>
        <s v="PERFIL US 100X50X2,00"/>
        <s v="PERFIL UE 75X40X15X2,25"/>
        <s v="PERFIL UE 100X40X17X2,00"/>
        <s v="PERFIL UE 100X50X17X2,00"/>
        <s v="PERFIL UE 100X50X17X1,95 GALV"/>
        <s v="PERFIL UE 150X60X20X2,00"/>
        <s v="PERFIL UE 200X75X25X2,00"/>
        <s v="PERFIL U PORTA 25X32X1,55 GALV"/>
        <s v="PERFIL US 68X30X1,80"/>
        <s v="PERFIL US 75X40X1,80"/>
        <s v="PERFIL US 100X50X1,95 GALV"/>
        <s v="PERFIL UE 50X25X10X1,80"/>
        <s v="PERFIL UE 75X40X15X1,80"/>
        <s v="PERFIL UE 100X50X17X1,80"/>
        <s v="PERFIL UE 150X60X20X1,80"/>
        <s v="PERF DEGRAU PISO BQ 250X25X1200X3,00MM"/>
        <s v="PERFIL US 140X40X2,00"/>
        <s v="PERFIL UE 100X50X17X2,65"/>
        <s v="PERFIL UE 150X60X20X2,65"/>
        <s v="PERFIL UE 200X75X25X2,65"/>
        <s v="PERFIL LAMBRI BZ 0,75 2000X1000MM"/>
        <s v="PERFIL LAMBRI BZ 0,75 3000X1100MM"/>
        <s v="PERF DEGRAU PISO BQ 250X25X600X3,00MM"/>
        <s v="PERF DEGRAU PISO BQ 250X25X700X3,00MM"/>
        <s v="PERF DEGRAU PISO BQ 250X25X800X3,00MM"/>
        <s v="PERFIL U PORTA 25X32X2,00"/>
        <s v="PERFIL US 75X40X2,25"/>
        <s v="PERFIL UE 100X40X17X1,80"/>
        <s v="PERFIL UE 127X50X17X2,65"/>
        <s v="PERFIL US 92X30X1,95 GALV"/>
        <s v="PERFIL US 100X50X1,80"/>
        <s v="PERFIL US 127X50X3,00"/>
        <s v="PERFIL UE 50X25X10X1,55 GALV"/>
        <s v="PERFIL UE 100X50X17X3,00"/>
        <s v="PERFIL UE 200X75X25X2,25"/>
        <s v="PERFIL US 100X50X2,65"/>
        <s v="PERFIL US 150X50X2,65"/>
        <s v="PERFIL US 150X50X4,75"/>
        <s v="PERFIL UE 150X60X20X2,25"/>
        <s v="PERFIL US 92X30X1,80"/>
        <s v="PERFIL US 100X40X1,80"/>
        <s v="PERFIL US 100X40X1,95 GALV"/>
        <s v="PERFIL UE 75X40X15X3,00"/>
        <s v="CHAPA ARTICULADA RAIADA 0,65MM GALV"/>
        <s v="PERFIL US 100X40X2,00"/>
        <s v="PERFIL US 200X50X3,00"/>
        <s v="PERFIL UE 100X50X17X2,25"/>
        <s v="PERFIL UE 150X60X20X1,95 GALV"/>
        <s v="PERFIL US 127X50X4,75"/>
        <s v="PERF DEGRAU PISO BQ 250X25X900X3,00MM"/>
        <s v="PERFIL US 50X25X1,80"/>
        <s v="PERFIL US 150X50X2,25"/>
        <s v="PERFIL LAMBRI RET BZ 0,75 3000X1000MM"/>
        <s v="PERFIL US 100X50X2,25"/>
        <s v="PERFIL UE 127X50X17X3,00"/>
        <s v="PERFIL UE 127X50X17X2,25"/>
        <s v="PERFIL US 127X50X1,95 GALV"/>
        <s v="PERFIL LAMBRI RET BZ 0,90 3000X1000MM"/>
        <s v="PERFIL UE 127X50X17X1,95 GALV"/>
        <s v="PERFIL UE 200X75X25X3,00"/>
        <s v="PERFIL US 100X50X4,75"/>
        <s v="PERFIL US 75X40X2,65"/>
        <s v="PERFIL US 150X50X3,00"/>
        <s v="PERFIL US 100X40X2,65"/>
        <s v="PERFIL UE 100X40X17X2,65"/>
        <s v="PERFIL UE 150X60X20X3,00"/>
        <s v="PERFIL US 127X50X2,25"/>
        <s v="PERFIL US 127X50X2,65"/>
        <s v="PERFIL US 200X50X2,25"/>
        <s v="PERFIL UE 100X40X17X2,25"/>
        <s v="PERFIL LAMBRI BZ 0,75 3000X1000MM"/>
        <s v="PERFIL UE 127X50X17X2,00"/>
        <s v="PERFIL US 200X50X2,00"/>
        <s v="PERFIL US 100X40X2,25"/>
        <s v="PERFIL US 127X40X2,00"/>
        <s v="PERFIL US 75X40X3,00"/>
        <s v="PERFIL UE 200X75X25X1,95 GALV"/>
        <s v="PERFIL UE 75X40X15X2,65"/>
        <s v="PERF UJ 29X16X3000MM GALV 1,55"/>
        <s v="PERF UJ 30X17,5X3000MM GALV 1,55"/>
        <s v="PERF UJ 35X27,5X17X13,5X3000MM GALV 1,55"/>
        <s v="PERF UJ 28X21X3000MM GALV 1,55"/>
        <s v="PERF UJ 35X20X3000MM GALV 1,55"/>
        <s v="PERFIL UE 75X40X15X2,30 GALV"/>
        <s v="PERFIL LAMBRI BZ 0,75 2000X1100MM"/>
        <s v="PERFIL LAMBRI BZ 0,75 2400X1100MM"/>
        <s v="PERFIL UE 100X50X17X2,30 GALV"/>
        <s v="PERFIL US 75X40X2,30 GALV"/>
        <s v="PERFIL LAMBRI BZ 0,90 2000X1100MM"/>
        <s v="PERFIL US 127X50X2,00"/>
        <s v="PERFIL US 200X50X4,75"/>
        <s v="PERFIL UE 150X50X17X2,00"/>
      </sharedItems>
    </cacheField>
    <cacheField name="Data" numFmtId="58">
      <sharedItems containsSemiMixedTypes="0" containsString="0" containsNonDate="0" containsDate="1" minDate="2023-07-29T00:00:00" maxDate="2025-12-23T00:00:00" count="361"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3T00:00:00"/>
        <d v="2025-04-24T00:00:00"/>
        <d v="2025-04-25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3-07-29T00:00:00" u="1"/>
        <d v="2023-07-30T00:00:00" u="1"/>
        <d v="2023-07-31T00:00:00" u="1"/>
        <d v="2023-08-01T00:00:00" u="1"/>
        <d v="2023-08-02T00:00:00" u="1"/>
        <d v="2023-08-03T00:00:00" u="1"/>
        <d v="2023-08-04T00:00:00" u="1"/>
        <d v="2023-08-05T00:00:00" u="1"/>
        <d v="2023-08-06T00:00:00" u="1"/>
        <d v="2023-08-07T00:00:00" u="1"/>
        <d v="2023-08-08T00:00:00" u="1"/>
        <d v="2023-08-09T00:00:00" u="1"/>
        <d v="2023-08-10T00:00:00" u="1"/>
        <d v="2023-08-11T00:00:00" u="1"/>
        <d v="2023-08-12T00:00:00" u="1"/>
        <d v="2023-08-13T00:00:00" u="1"/>
        <d v="2023-08-14T00:00:00" u="1"/>
        <d v="2023-08-15T00:00:00" u="1"/>
        <d v="2023-08-16T00:00:00" u="1"/>
        <d v="2023-08-17T00:00:00" u="1"/>
        <d v="2023-08-18T00:00:00" u="1"/>
        <d v="2023-08-19T00:00:00" u="1"/>
        <d v="2023-08-20T00:00:00" u="1"/>
        <d v="2023-08-21T00:00:00" u="1"/>
        <d v="2023-08-22T00:00:00" u="1"/>
        <d v="2023-08-23T00:00:00" u="1"/>
        <d v="2023-08-24T00:00:00" u="1"/>
        <d v="2023-08-25T00:00:00" u="1"/>
        <d v="2023-08-26T00:00:00" u="1"/>
        <d v="2023-08-27T00:00:00" u="1"/>
        <d v="2023-08-28T00:00:00" u="1"/>
        <d v="2023-08-29T00:00:00" u="1"/>
        <d v="2023-08-30T00:00:00" u="1"/>
        <d v="2023-08-31T00:00:00" u="1"/>
        <d v="2023-09-01T00:00:00" u="1"/>
        <d v="2023-09-02T00:00:00" u="1"/>
        <d v="2023-09-03T00:00:00" u="1"/>
        <d v="2023-09-04T00:00:00" u="1"/>
        <d v="2023-09-05T00:00:00" u="1"/>
        <d v="2023-09-06T00:00:00" u="1"/>
        <d v="2023-09-07T00:00:00" u="1"/>
        <d v="2023-09-08T00:00:00" u="1"/>
        <d v="2023-09-09T00:00:00" u="1"/>
        <d v="2023-09-10T00:00:00" u="1"/>
        <d v="2023-09-11T00:00:00" u="1"/>
        <d v="2023-09-12T00:00:00" u="1"/>
        <d v="2023-09-13T00:00:00" u="1"/>
        <d v="2023-09-14T00:00:00" u="1"/>
        <d v="2023-09-15T00:00:00" u="1"/>
        <d v="2023-09-16T00:00:00" u="1"/>
        <d v="2023-09-17T00:00:00" u="1"/>
        <d v="2023-09-18T00:00:00" u="1"/>
        <d v="2023-09-19T00:00:00" u="1"/>
        <d v="2023-09-20T00:00:00" u="1"/>
        <d v="2023-09-21T00:00:00" u="1"/>
        <d v="2023-09-22T00:00:00" u="1"/>
        <d v="2023-09-23T00:00:00" u="1"/>
        <d v="2023-09-24T00:00:00" u="1"/>
        <d v="2023-09-25T00:00:00" u="1"/>
        <d v="2023-09-26T00:00:00" u="1"/>
        <d v="2023-09-27T00:00:00" u="1"/>
        <d v="2023-09-28T00:00:00" u="1"/>
        <d v="2023-09-29T00:00:00" u="1"/>
        <d v="2023-09-30T00:00:00" u="1"/>
        <d v="2023-10-01T00:00:00" u="1"/>
        <d v="2023-10-02T00:00:00" u="1"/>
        <d v="2023-10-03T00:00:00" u="1"/>
        <d v="2023-10-04T00:00:00" u="1"/>
        <d v="2023-10-05T00:00:00" u="1"/>
        <d v="2023-10-06T00:00:00" u="1"/>
        <d v="2023-10-07T00:00:00" u="1"/>
        <d v="2023-10-08T00:00:00" u="1"/>
        <d v="2023-10-09T00:00:00" u="1"/>
        <d v="2023-10-10T00:00:00" u="1"/>
        <d v="2023-10-11T00:00:00" u="1"/>
        <d v="2023-10-12T00:00:00" u="1"/>
        <d v="2023-10-13T00:00:00" u="1"/>
        <d v="2023-10-14T00:00:00" u="1"/>
        <d v="2023-10-15T00:00:00" u="1"/>
        <d v="2023-10-16T00:00:00" u="1"/>
        <d v="2023-10-17T00:00:00" u="1"/>
        <d v="2023-10-18T00:00:00" u="1"/>
        <d v="2023-10-19T00:00:00" u="1"/>
        <d v="2023-10-20T00:00:00" u="1"/>
        <d v="2023-10-21T00:00:00" u="1"/>
        <d v="2023-10-22T00:00:00" u="1"/>
        <d v="2023-10-23T00:00:00" u="1"/>
        <d v="2023-10-24T00:00:00" u="1"/>
        <d v="2023-10-25T00:00:00" u="1"/>
        <d v="2023-10-26T00:00:00" u="1"/>
        <d v="2023-10-27T00:00:00" u="1"/>
        <d v="2023-10-28T00:00:00" u="1"/>
        <d v="2023-10-29T00:00:00" u="1"/>
        <d v="2023-10-30T00:00:00" u="1"/>
        <d v="2023-10-31T00:00:00" u="1"/>
        <d v="2023-11-01T00:00:00" u="1"/>
        <d v="2023-11-02T00:00:00" u="1"/>
        <d v="2023-11-03T00:00:00" u="1"/>
        <d v="2023-11-04T00:00:00" u="1"/>
        <d v="2023-11-05T00:00:00" u="1"/>
        <d v="2023-11-06T00:00:00" u="1"/>
        <d v="2023-11-07T00:00:00" u="1"/>
        <d v="2023-11-08T00:00:00" u="1"/>
        <d v="2023-11-09T00:00:00" u="1"/>
        <d v="2023-11-10T00:00:00" u="1"/>
        <d v="2023-11-11T00:00:00" u="1"/>
        <d v="2023-11-12T00:00:00" u="1"/>
        <d v="2023-11-13T00:00:00" u="1"/>
        <d v="2023-11-14T00:00:00" u="1"/>
        <d v="2023-11-15T00:00:00" u="1"/>
        <d v="2023-11-16T00:00:00" u="1"/>
        <d v="2023-11-17T00:00:00" u="1"/>
      </sharedItems>
    </cacheField>
    <cacheField name="Saída / Demanda" numFmtId="3">
      <sharedItems containsSemiMixedTypes="0" containsString="0" containsNumber="1" minValue="1" maxValue="7282.2" count="2263">
        <n v="100.5"/>
        <n v="19.65"/>
        <n v="147.9"/>
        <n v="99.45"/>
        <n v="13.8"/>
        <n v="27"/>
        <n v="45.6"/>
        <n v="44.5"/>
        <n v="225.4"/>
        <n v="19.2"/>
        <n v="1749"/>
        <n v="295.45"/>
        <n v="53.7"/>
        <n v="30"/>
        <n v="10"/>
        <n v="15"/>
        <n v="6"/>
        <n v="60"/>
        <n v="14"/>
        <n v="36.3"/>
        <n v="80.4"/>
        <n v="113.1"/>
        <n v="25.5"/>
        <n v="700.6"/>
        <n v="1131.6"/>
        <n v="30.4"/>
        <n v="1781.6"/>
        <n v="47.4"/>
        <n v="133"/>
        <n v="1810"/>
        <n v="29.4"/>
        <n v="1574.1"/>
        <n v="177"/>
        <n v="388.75"/>
        <n v="183"/>
        <n v="1722"/>
        <n v="240"/>
        <n v="110.8"/>
        <n v="71.8"/>
        <n v="23.2"/>
        <n v="4"/>
        <n v="243.2"/>
        <n v="10.2"/>
        <n v="158.2"/>
        <n v="66.3"/>
        <n v="12.45"/>
        <n v="414"/>
        <n v="2106"/>
        <n v="353"/>
        <n v="35.4"/>
        <n v="9.8"/>
        <n v="163.2"/>
        <n v="2396.45"/>
        <n v="969.9"/>
        <n v="653.1"/>
        <n v="107.4"/>
        <n v="55.35"/>
        <n v="984"/>
        <n v="120"/>
        <n v="49.9"/>
        <n v="166.2"/>
        <n v="5.8"/>
        <n v="2"/>
        <n v="17"/>
        <n v="181.5"/>
        <n v="8.5"/>
        <n v="406.8"/>
        <n v="634.8"/>
        <n v="522.6"/>
        <n v="456"/>
        <n v="17.7"/>
        <n v="258.3"/>
        <n v="1113"/>
        <n v="248.8"/>
        <n v="71.6"/>
        <n v="963.5"/>
        <n v="133.5"/>
        <n v="140"/>
        <n v="498.6"/>
        <n v="108.3"/>
        <n v="46.9"/>
        <n v="17.4"/>
        <n v="3"/>
        <n v="19"/>
        <n v="28"/>
        <n v="12"/>
        <n v="78.3"/>
        <n v="135.6"/>
        <n v="607.2"/>
        <n v="72.4"/>
        <n v="91.2"/>
        <n v="8.85"/>
        <n v="382.2"/>
        <n v="444.85"/>
        <n v="683.7"/>
        <n v="886.35"/>
        <n v="7.7"/>
        <n v="37"/>
        <n v="7"/>
        <n v="127.05"/>
        <n v="295.8"/>
        <n v="81.6"/>
        <n v="271.2"/>
        <n v="621"/>
        <n v="93"/>
        <n v="2273.7"/>
        <n v="171.05"/>
        <n v="660"/>
        <n v="3669.5"/>
        <n v="574"/>
        <n v="210"/>
        <n v="1"/>
        <n v="235.8"/>
        <n v="43.5"/>
        <n v="248.6"/>
        <n v="88.4"/>
        <n v="552"/>
        <n v="31"/>
        <n v="68"/>
        <n v="345.8"/>
        <n v="163"/>
        <n v="458.9"/>
        <n v="155.75"/>
        <n v="22.8"/>
        <n v="186.55"/>
        <n v="730.85"/>
        <n v="1467.8"/>
        <n v="120.8"/>
        <n v="1660"/>
        <n v="304.7"/>
        <n v="649.8"/>
        <n v="120.9"/>
        <n v="75.4"/>
        <n v="26"/>
        <n v="26.2"/>
        <n v="428.4"/>
        <n v="791"/>
        <n v="1669.8"/>
        <n v="1958.4"/>
        <n v="146.3"/>
        <n v="1330"/>
        <n v="398.2"/>
        <n v="590"/>
        <n v="317.7"/>
        <n v="501.6"/>
        <n v="149"/>
        <n v="517"/>
        <n v="49"/>
        <n v="28.8"/>
        <n v="1234.1"/>
        <n v="1717.2"/>
        <n v="1079.7"/>
        <n v="3296.6"/>
        <n v="1435"/>
        <n v="1100"/>
        <n v="247.2"/>
        <n v="322.4"/>
        <n v="562.8"/>
        <n v="380"/>
        <n v="32"/>
        <n v="5"/>
        <n v="40"/>
        <n v="22"/>
        <n v="459.8"/>
        <n v="174.2"/>
        <n v="65.5"/>
        <n v="841.8"/>
        <n v="40.8"/>
        <n v="305.05"/>
        <n v="77.35"/>
        <n v="498"/>
        <n v="303.6"/>
        <n v="12.25"/>
        <n v="598.4"/>
        <n v="66.5"/>
        <n v="219"/>
        <n v="142.65"/>
        <n v="424.8"/>
        <n v="61.95"/>
        <n v="124.8"/>
        <n v="92.8"/>
        <n v="1592.85"/>
        <n v="2273.65"/>
        <n v="948.55"/>
        <n v="247.5"/>
        <n v="91.5"/>
        <n v="787.6"/>
        <n v="4776.5"/>
        <n v="130.5"/>
        <n v="20.4"/>
        <n v="55.25"/>
        <n v="1035"/>
        <n v="122.4"/>
        <n v="48.6"/>
        <n v="26.6"/>
        <n v="162.9"/>
        <n v="244.2"/>
        <n v="303.8"/>
        <n v="547.2"/>
        <n v="1764.9"/>
        <n v="2332.5"/>
        <n v="1299.3"/>
        <n v="304.3"/>
        <n v="2398.5"/>
        <n v="687"/>
        <n v="6381.3"/>
        <n v="840"/>
        <n v="54.1"/>
        <n v="25"/>
        <n v="9"/>
        <n v="13"/>
        <n v="455.6"/>
        <n v="739.5"/>
        <n v="757.1"/>
        <n v="1145.4"/>
        <n v="124"/>
        <n v="680.4"/>
        <n v="217.2"/>
        <n v="48"/>
        <n v="69.6"/>
        <n v="100.45"/>
        <n v="4118.1"/>
        <n v="53.1"/>
        <n v="979.65"/>
        <n v="366"/>
        <n v="161.1"/>
        <n v="73.8"/>
        <n v="102.5"/>
        <n v="332.4"/>
        <n v="161.2"/>
        <n v="8"/>
        <n v="26.1"/>
        <n v="90.4"/>
        <n v="165.75"/>
        <n v="138"/>
        <n v="152"/>
        <n v="79.8"/>
        <n v="232.5"/>
        <n v="107.8"/>
        <n v="200.9"/>
        <n v="508.8"/>
        <n v="1555"/>
        <n v="82"/>
        <n v="1400"/>
        <n v="831"/>
        <n v="18"/>
        <n v="27.6"/>
        <n v="624.75"/>
        <n v="63.4"/>
        <n v="86.4"/>
        <n v="1128.9"/>
        <n v="2923.4"/>
        <n v="825"/>
        <n v="164.7"/>
        <n v="758.5"/>
        <n v="91.6"/>
        <n v="1300"/>
        <n v="722"/>
        <n v="356.95"/>
        <n v="475.8"/>
        <n v="478.5"/>
        <n v="142.8"/>
        <n v="361.6"/>
        <n v="199.2"/>
        <n v="786.6"/>
        <n v="243"/>
        <n v="24.5"/>
        <n v="97.8"/>
        <n v="362"/>
        <n v="306"/>
        <n v="323.4"/>
        <n v="883.2"/>
        <n v="1348.9"/>
        <n v="2003.4"/>
        <n v="497.6"/>
        <n v="823.4"/>
        <n v="211.4"/>
        <n v="184.5"/>
        <n v="500"/>
        <n v="443.2"/>
        <n v="350.3"/>
        <n v="524.4"/>
        <n v="571.2"/>
        <n v="651.6"/>
        <n v="176.5"/>
        <n v="139.5"/>
        <n v="714"/>
        <n v="1240.8"/>
        <n v="58.8"/>
        <n v="67.2"/>
        <n v="2734.8"/>
        <n v="870.8"/>
        <n v="73.2"/>
        <n v="143.5"/>
        <n v="100"/>
        <n v="27.7"/>
        <n v="216.6"/>
        <n v="502.6"/>
        <n v="80.6"/>
        <n v="65"/>
        <n v="50"/>
        <n v="15.6"/>
        <n v="79.1"/>
        <n v="220.8"/>
        <n v="620"/>
        <n v="136"/>
        <n v="80.8"/>
        <n v="159.6"/>
        <n v="81.4"/>
        <n v="208.8"/>
        <n v="1558.2"/>
        <n v="93.3"/>
        <n v="2196"/>
        <n v="554.9"/>
        <n v="123"/>
        <n v="366.4"/>
        <n v="920"/>
        <n v="169.5"/>
        <n v="38"/>
        <n v="53"/>
        <n v="102"/>
        <n v="339"/>
        <n v="814.2"/>
        <n v="73.5"/>
        <n v="186.2"/>
        <n v="289.6"/>
        <n v="94.4"/>
        <n v="105.9"/>
        <n v="254.8"/>
        <n v="633.6"/>
        <n v="43.05"/>
        <n v="3545.7"/>
        <n v="2145.9"/>
        <n v="128.1"/>
        <n v="389.3"/>
        <n v="2840"/>
        <n v="249.3"/>
        <n v="123.6"/>
        <n v="107.7"/>
        <n v="21"/>
        <n v="67"/>
        <n v="374.1"/>
        <n v="59.5"/>
        <n v="2406.9"/>
        <n v="11.05"/>
        <n v="149.4"/>
        <n v="3670.8"/>
        <n v="13.5"/>
        <n v="435.2"/>
        <n v="53.2"/>
        <n v="453.6"/>
        <n v="88.5"/>
        <n v="211.2"/>
        <n v="344.4"/>
        <n v="7282.2"/>
        <n v="4634.25"/>
        <n v="948.7"/>
        <n v="266.5"/>
        <n v="2193"/>
        <n v="775.6"/>
        <n v="29"/>
        <n v="60.9"/>
        <n v="372.9"/>
        <n v="483"/>
        <n v="186"/>
        <n v="544"/>
        <n v="13.3"/>
        <n v="1172.9"/>
        <n v="798"/>
        <n v="108.6"/>
        <n v="103.4"/>
        <n v="3100.5"/>
        <n v="531"/>
        <n v="77.75"/>
        <n v="358"/>
        <n v="1025"/>
        <n v="23"/>
        <n v="227.8"/>
        <n v="62.4"/>
        <n v="556.8"/>
        <n v="994.4"/>
        <n v="320.45"/>
        <n v="124.5"/>
        <n v="1642.2"/>
        <n v="1215"/>
        <n v="380.8"/>
        <n v="603"/>
        <n v="9.6"/>
        <n v="3482.1"/>
        <n v="3054.5"/>
        <n v="22.9"/>
        <n v="277"/>
        <n v="105"/>
        <n v="592.9"/>
        <n v="26.8"/>
        <n v="826.8"/>
        <n v="87"/>
        <n v="497.2"/>
        <n v="62.25"/>
        <n v="276"/>
        <n v="175.5"/>
        <n v="718.2"/>
        <n v="855.9"/>
        <n v="46.5"/>
        <n v="20.1"/>
        <n v="22.25"/>
        <n v="70.8"/>
        <n v="156.8"/>
        <n v="96"/>
        <n v="3487.05"/>
        <n v="938.1"/>
        <n v="62.2"/>
        <n v="36.6"/>
        <n v="1020.3"/>
        <n v="41"/>
        <n v="13.1"/>
        <n v="34.8"/>
        <n v="34"/>
        <n v="61.2"/>
        <n v="113"/>
        <n v="663"/>
        <n v="155"/>
        <n v="297"/>
        <n v="282.4"/>
        <n v="51.7"/>
        <n v="928"/>
        <n v="3402.6"/>
        <n v="1415.05"/>
        <n v="603.9"/>
        <n v="196.9"/>
        <n v="307.5"/>
        <n v="880"/>
        <n v="886.4"/>
        <n v="973.8"/>
        <n v="1077"/>
        <n v="51"/>
        <n v="339.3"/>
        <n v="327.7"/>
        <n v="622.5"/>
        <n v="530.4"/>
        <n v="47.55"/>
        <n v="579.2"/>
        <n v="442.5"/>
        <n v="38.4"/>
        <n v="1004.5"/>
        <n v="31.1"/>
        <n v="820"/>
        <n v="84"/>
        <n v="260.15"/>
        <n v="226.2"/>
        <n v="287.1"/>
        <n v="237.3"/>
        <n v="475.15"/>
        <n v="323.7"/>
        <n v="234.6"/>
        <n v="499.5"/>
        <n v="441.25"/>
        <n v="141.6"/>
        <n v="229.6"/>
        <n v="1717.14"/>
        <n v="106.2"/>
        <n v="2876.75"/>
        <n v="1449.9"/>
        <n v="369"/>
        <n v="300"/>
        <n v="24.95"/>
        <n v="154.5"/>
        <n v="143.6"/>
        <n v="46"/>
        <n v="39"/>
        <n v="140.7"/>
        <n v="174"/>
        <n v="689.3"/>
        <n v="207"/>
        <n v="67.5"/>
        <n v="503.2"/>
        <n v="873.2"/>
        <n v="264.75"/>
        <n v="127.4"/>
        <n v="7.6"/>
        <n v="477"/>
        <n v="1632.75"/>
        <n v="16.5"/>
        <n v="35.8"/>
        <n v="1066"/>
        <n v="760"/>
        <n v="83.1"/>
        <n v="35.9"/>
        <n v="93.8"/>
        <n v="261"/>
        <n v="711.9"/>
        <n v="286.35"/>
        <n v="194.4"/>
        <n v="237.75"/>
        <n v="54.3"/>
        <n v="17.65"/>
        <n v="1892.1"/>
        <n v="389.4"/>
        <n v="824.15"/>
        <n v="1886"/>
        <n v="20"/>
        <n v="22.55"/>
        <n v="110.69"/>
        <n v="30.9"/>
        <n v="432.8"/>
        <n v="1486.8"/>
        <n v="359"/>
        <n v="11"/>
        <n v="8.7"/>
        <n v="293.8"/>
        <n v="60.8"/>
        <n v="333.2"/>
        <n v="1351.5"/>
        <n v="54.9"/>
        <n v="225.5"/>
        <n v="577.6"/>
        <n v="134"/>
        <n v="22.6"/>
        <n v="221"/>
        <n v="55.2"/>
        <n v="270"/>
        <n v="226.1"/>
        <n v="317"/>
        <n v="121.5"/>
        <n v="176.4"/>
        <n v="115.2"/>
        <n v="1971.6"/>
        <n v="761.95"/>
        <n v="608.6"/>
        <n v="779"/>
        <n v="1281.6"/>
        <n v="101.7"/>
        <n v="77"/>
        <n v="16"/>
        <n v="234"/>
        <n v="52.2"/>
        <n v="153"/>
        <n v="1118.7"/>
        <n v="44.2"/>
        <n v="186.75"/>
        <n v="1021.2"/>
        <n v="198"/>
        <n v="980"/>
        <n v="285.6"/>
        <n v="532"/>
        <n v="32.4"/>
        <n v="824.6"/>
        <n v="325.8"/>
        <n v="161.6"/>
        <n v="405"/>
        <n v="235.2"/>
        <n v="147"/>
        <n v="3450.3"/>
        <n v="371.7"/>
        <n v="1819.35"/>
        <n v="132"/>
        <n v="1107"/>
        <n v="2260.00002"/>
        <n v="1677"/>
        <n v="252.7"/>
        <n v="59"/>
        <n v="23.4"/>
        <n v="49.8"/>
        <n v="353.6"/>
        <n v="377.6"/>
        <n v="202.5"/>
        <n v="274.4"/>
        <n v="3688.8"/>
        <n v="1710.5"/>
        <n v="378"/>
        <n v="72.6"/>
        <n v="163.8"/>
        <n v="110.5"/>
        <n v="33.9"/>
        <n v="174.3"/>
        <n v="63.3"/>
        <n v="158.5"/>
        <n v="40.5"/>
        <n v="40.2"/>
        <n v="267"/>
        <n v="528"/>
        <n v="401.8"/>
        <n v="1272"/>
        <n v="4369.55"/>
        <n v="1342.5"/>
        <n v="479.7"/>
        <n v="320"/>
        <n v="432.6"/>
        <n v="46.8"/>
        <n v="386.4"/>
        <n v="456.4"/>
        <n v="28.7"/>
        <n v="858.6"/>
        <n v="1757.15"/>
        <n v="497.7"/>
        <n v="2070.5"/>
        <n v="203.4"/>
        <n v="732.6"/>
        <n v="56.5"/>
        <n v="519.35"/>
        <n v="551.25"/>
        <n v="760.2"/>
        <n v="516.6"/>
        <n v="779.1"/>
        <n v="1306.2"/>
        <n v="6.05"/>
        <n v="553.5"/>
        <n v="46.2"/>
        <n v="222.5"/>
        <n v="617.4"/>
        <n v="604.8"/>
        <n v="57.4"/>
        <n v="1041.85"/>
        <n v="520"/>
        <n v="324.6"/>
        <n v="110"/>
        <n v="121.8"/>
        <n v="226"/>
        <n v="345"/>
        <n v="584.8"/>
        <n v="79.25"/>
        <n v="202"/>
        <n v="564.8"/>
        <n v="352.8"/>
        <n v="1148"/>
        <n v="4976.7"/>
        <n v="2192.55"/>
        <n v="537"/>
        <n v="840.5"/>
        <n v="549.6"/>
        <n v="360"/>
        <n v="51.6"/>
        <n v="525.3"/>
        <n v="27.05"/>
        <n v="31.2"/>
        <n v="550.8"/>
        <n v="74.7"/>
        <n v="759"/>
        <n v="1951.6"/>
        <n v="1256.1"/>
        <n v="3685.35"/>
        <n v="330"/>
        <n v="387"/>
        <n v="135.25"/>
        <n v="310"/>
        <n v="24.2"/>
        <n v="13.4"/>
        <n v="395.5"/>
        <n v="1381.25"/>
        <n v="1255.8"/>
        <n v="918"/>
        <n v="13.6"/>
        <n v="178.5"/>
        <n v="66.75"/>
        <n v="2766.6"/>
        <n v="411.7"/>
        <n v="205"/>
        <n v="160"/>
        <n v="113.9"/>
        <n v="510"/>
        <n v="408.85"/>
        <n v="634.95"/>
        <n v="441.6"/>
        <n v="182.4"/>
        <n v="279"/>
        <n v="44.25"/>
        <n v="117.6"/>
        <n v="162.4"/>
        <n v="373.1"/>
        <n v="2591.7"/>
        <n v="1352.85"/>
        <n v="258"/>
        <n v="370.8"/>
        <n v="23.1"/>
        <n v="313.2"/>
        <n v="452"/>
        <n v="952.2"/>
        <n v="1047.2"/>
        <n v="213.3"/>
        <n v="1616"/>
        <n v="238.4"/>
        <n v="80.85"/>
        <n v="342.1"/>
        <n v="2290"/>
        <n v="2240"/>
        <n v="25.8"/>
        <n v="265"/>
        <n v="7.8"/>
        <n v="496.8"/>
        <n v="612"/>
        <n v="734.7"/>
        <n v="64.8"/>
        <n v="52.95"/>
        <n v="68.6"/>
        <n v="1296"/>
        <n v="645.75"/>
        <n v="2464.5"/>
        <n v="1368.4"/>
        <n v="18.3"/>
        <n v="20.5"/>
        <n v="3340"/>
        <n v="229.9"/>
        <n v="265.2"/>
        <n v="95.7"/>
        <n v="485.9"/>
        <n v="132.6"/>
        <n v="99.6"/>
        <n v="1183.2"/>
        <n v="141.2"/>
        <n v="127.5"/>
        <n v="245"/>
        <n v="480"/>
        <n v="1463.7"/>
        <n v="2385"/>
        <n v="1679.4"/>
        <n v="214.8"/>
        <n v="2357.5"/>
        <n v="42"/>
        <n v="75"/>
        <n v="254.15"/>
        <n v="307.7"/>
        <n v="216"/>
        <n v="1449.6"/>
        <n v="86.1"/>
        <n v="174.65"/>
        <n v="80"/>
        <n v="156"/>
        <n v="892.7"/>
        <n v="2583"/>
        <n v="2703"/>
        <n v="513.15"/>
        <n v="439.2"/>
        <n v="5607"/>
        <n v="110.4"/>
        <n v="31.7"/>
        <n v="178"/>
        <n v="98"/>
        <n v="238.5"/>
        <n v="233.25"/>
        <n v="640"/>
        <n v="58"/>
        <n v="22.1"/>
        <n v="96.6"/>
        <n v="337.5"/>
        <n v="27.2"/>
        <n v="35.3"/>
        <n v="39.2"/>
        <n v="172.8"/>
        <n v="774.9"/>
        <n v="1726.05"/>
        <n v="2603.5"/>
        <n v="248.05"/>
        <n v="33.5"/>
        <n v="764.4"/>
        <n v="234.9"/>
        <n v="263.5"/>
        <n v="259.9"/>
        <n v="331.5"/>
        <n v="2152.8"/>
        <n v="1410"/>
        <n v="1188"/>
        <n v="36.75"/>
        <n v="372.6"/>
        <n v="1055"/>
        <n v="930"/>
        <n v="1555.5"/>
        <n v="1034"/>
        <n v="954.8"/>
        <n v="932.75"/>
        <n v="3657"/>
        <n v="901.9"/>
        <n v="1023"/>
        <n v="375.9"/>
        <n v="1230"/>
        <n v="801.5"/>
        <n v="309"/>
        <n v="228"/>
        <n v="262.2"/>
        <n v="472.5"/>
        <n v="22.2"/>
        <n v="413.4"/>
        <n v="247.8"/>
        <n v="1088.5"/>
        <n v="519.1"/>
        <n v="348.5"/>
        <n v="297.7"/>
        <n v="534"/>
        <n v="720"/>
        <n v="77.4"/>
        <n v="282.1"/>
        <n v="273.9"/>
        <n v="289.8"/>
        <n v="121.6"/>
        <n v="148.5"/>
        <n v="326.4"/>
        <n v="97.2"/>
        <n v="81"/>
        <n v="33.6"/>
        <n v="1085.7"/>
        <n v="19.6"/>
        <n v="1955.7"/>
        <n v="1539.45"/>
        <n v="420.9"/>
        <n v="125.3"/>
        <n v="246"/>
        <n v="1082"/>
        <n v="430.8"/>
        <n v="15.4"/>
        <n v="107"/>
        <n v="165.3"/>
        <n v="418.5"/>
        <n v="313.6"/>
        <n v="985.8"/>
        <n v="499"/>
        <n v="74"/>
        <n v="301"/>
        <n v="176.8"/>
        <n v="211.65"/>
        <n v="395.2"/>
        <n v="15.85"/>
        <n v="206.8"/>
        <n v="264.6"/>
        <n v="407.1"/>
        <n v="2488"/>
        <n v="1522.5"/>
        <n v="1160"/>
        <n v="45"/>
        <n v="254.99"/>
        <n v="192.1"/>
        <n v="348.6"/>
        <n v="778.3"/>
        <n v="431.2"/>
        <n v="297.6"/>
        <n v="530.95"/>
        <n v="15.9"/>
        <n v="575.35"/>
        <n v="492"/>
        <n v="886.6"/>
        <n v="320.31"/>
        <n v="121.2"/>
        <n v="459.2"/>
        <n v="747.3"/>
        <n v="559.8"/>
        <n v="626.5"/>
        <n v="831.9"/>
        <n v="1834.9"/>
        <n v="1189"/>
        <n v="80.5"/>
        <n v="231.2"/>
        <n v="851.2"/>
        <n v="105.6"/>
        <n v="717.5"/>
        <n v="79.5"/>
        <n v="336.3"/>
        <n v="2021.5"/>
        <n v="1074"/>
        <n v="943"/>
        <n v="2100"/>
        <n v="91"/>
        <n v="390"/>
        <n v="139.2"/>
        <n v="784.55"/>
        <n v="36"/>
        <n v="476"/>
        <n v="18.1"/>
        <n v="70.6"/>
        <n v="69.3"/>
        <n v="499.8"/>
        <n v="430.5"/>
        <n v="892"/>
        <n v="513.3"/>
        <n v="143.2"/>
        <n v="410"/>
        <n v="540"/>
        <n v="55.4"/>
        <n v="57"/>
        <n v="72"/>
        <n v="576.3"/>
        <n v="121.55"/>
        <n v="690"/>
        <n v="816"/>
        <n v="707"/>
        <n v="778.75"/>
        <n v="488.4"/>
        <n v="1780.8"/>
        <n v="1646.1"/>
        <n v="146.4"/>
        <n v="635.5"/>
        <n v="1030.5"/>
        <n v="474.6"/>
        <n v="74.85"/>
        <n v="162.3"/>
        <n v="102.85"/>
        <n v="24.9"/>
        <n v="761.6"/>
        <n v="972"/>
        <n v="78.4"/>
        <n v="846.65"/>
        <n v="212.4"/>
        <n v="2705.7"/>
        <n v="1324.6"/>
        <n v="400"/>
        <n v="182.7"/>
        <n v="510.6"/>
        <n v="54"/>
        <n v="222.6"/>
        <n v="584.1"/>
        <n v="164"/>
        <n v="150.65"/>
        <n v="243.6"/>
        <n v="82.8"/>
        <n v="211"/>
        <n v="119.2"/>
        <n v="529.2"/>
        <n v="288"/>
        <n v="172.2"/>
        <n v="1065.3"/>
        <n v="619.5"/>
        <n v="839.7"/>
        <n v="697"/>
        <n v="146.9"/>
        <n v="244.8"/>
        <n v="20.2"/>
        <n v="1637.7"/>
        <n v="165"/>
        <n v="60.4"/>
        <n v="427.2"/>
        <n v="78.6"/>
        <n v="67.8"/>
        <n v="37.35"/>
        <n v="279.3"/>
        <n v="348.7"/>
        <n v="181"/>
        <n v="194.15"/>
        <n v="89"/>
        <n v="808.6"/>
        <n v="966.6"/>
        <n v="640.8"/>
        <n v="338.25"/>
        <n v="6995.76"/>
        <n v="582.9"/>
        <n v="42.5"/>
        <n v="745.8"/>
        <n v="1559.4"/>
        <n v="775"/>
        <n v="90"/>
        <n v="543"/>
        <n v="40.7"/>
        <n v="1239"/>
        <n v="447.5"/>
        <n v="1558"/>
        <n v="135.3"/>
        <n v="731.4"/>
        <n v="135"/>
        <n v="190.2"/>
        <n v="874.5"/>
        <n v="123.9"/>
        <n v="590.9"/>
        <n v="287"/>
        <n v="412.2"/>
        <n v="563.75"/>
        <n v="193.9"/>
        <n v="461.1"/>
        <n v="193.2"/>
        <n v="608"/>
        <n v="59.6"/>
        <n v="1197.35"/>
        <n v="170"/>
        <n v="381.15"/>
        <n v="538.2"/>
        <n v="45.2"/>
        <n v="275"/>
        <n v="201.6"/>
        <n v="510.4"/>
        <n v="1420.65"/>
        <n v="810.9"/>
        <n v="347"/>
        <n v="358.8"/>
        <n v="324"/>
        <n v="217.6"/>
        <n v="168.8"/>
        <n v="3275.4"/>
        <n v="1321.75"/>
        <n v="343.5"/>
        <n v="347.1"/>
        <n v="200"/>
        <n v="144.4"/>
        <n v="53.6"/>
        <n v="871.5"/>
        <n v="272"/>
        <n v="39.9"/>
        <n v="95.1"/>
        <n v="416.3"/>
        <n v="40.4"/>
        <n v="1542.3"/>
        <n v="340"/>
        <n v="24"/>
        <n v="33.9041"/>
        <n v="122.5"/>
        <n v="284.9"/>
        <n v="2899.2"/>
        <n v="1693.3"/>
        <n v="667.8"/>
        <n v="1897.4"/>
        <n v="119"/>
        <n v="217.5"/>
        <n v="373.5"/>
        <n v="706"/>
        <n v="27.5"/>
        <n v="1001.7"/>
        <n v="631.4"/>
        <n v="495.9"/>
        <n v="1028.3"/>
        <n v="966"/>
        <n v="266"/>
        <n v="291.6"/>
        <n v="26.55"/>
        <n v="88.2"/>
        <n v="1860.3"/>
        <n v="2740"/>
        <n v="486.9"/>
        <n v="15.5"/>
        <n v="21.1"/>
        <n v="2194.2"/>
        <n v="577.5"/>
        <n v="278.1"/>
        <n v="78"/>
        <n v="173.4"/>
        <n v="448.2"/>
        <n v="15.55"/>
        <n v="36.2"/>
        <n v="247.1"/>
        <n v="254.1"/>
        <n v="205.8"/>
        <n v="760.55"/>
        <n v="1605.9"/>
        <n v="1337.3"/>
        <n v="572.8"/>
        <n v="36.9"/>
        <n v="106.8"/>
        <n v="67.65"/>
        <n v="124.75"/>
        <n v="2184"/>
        <n v="397.8"/>
        <n v="165.6"/>
        <n v="310.5"/>
        <n v="144.8"/>
        <n v="404"/>
        <n v="2150.0686"/>
        <n v="1156.4"/>
        <n v="556.5"/>
        <n v="933"/>
        <n v="393.8"/>
        <n v="180"/>
        <n v="249.5"/>
        <n v="138.5"/>
        <n v="103"/>
        <n v="157.3"/>
        <n v="314.4"/>
        <n v="327.6"/>
        <n v="926.6"/>
        <n v="136.95"/>
        <n v="745.2"/>
        <n v="505.4"/>
        <n v="90.5"/>
        <n v="794.25"/>
        <n v="889.7"/>
        <n v="636"/>
        <n v="690.3"/>
        <n v="3405.45"/>
        <n v="201.3"/>
        <n v="501.2"/>
        <n v="2050"/>
        <n v="160.2"/>
        <n v="1560"/>
        <n v="159.3"/>
        <n v="35"/>
        <n v="364.5"/>
        <n v="388.8"/>
        <n v="2162.4"/>
        <n v="622.15"/>
        <n v="247.9"/>
        <n v="377.4"/>
        <n v="305.1"/>
        <n v="33.15"/>
        <n v="460.65"/>
        <n v="116"/>
        <n v="2750.7"/>
        <n v="777.5"/>
        <n v="82.5"/>
        <n v="549"/>
        <n v="277.2"/>
        <n v="531.1"/>
        <n v="675"/>
        <n v="253.6"/>
        <n v="1287.9"/>
        <n v="1640"/>
        <n v="92.7"/>
        <n v="331.2"/>
        <n v="236"/>
        <n v="255"/>
        <n v="469.2"/>
        <n v="162"/>
        <n v="1367.4"/>
        <n v="2721.25"/>
        <n v="1000"/>
        <n v="112.75"/>
        <n v="326.7"/>
        <n v="301.3"/>
        <n v="364.8"/>
        <n v="259.2"/>
        <n v="32.6"/>
        <n v="41.2"/>
        <n v="268.8"/>
        <n v="674.45"/>
        <n v="4276.25"/>
        <n v="33"/>
        <n v="85"/>
        <n v="651.95"/>
        <n v="1407.6"/>
        <n v="402"/>
        <n v="134.4"/>
        <n v="1009"/>
        <n v="2098.8"/>
        <n v="1601.65"/>
        <n v="757.4"/>
        <n v="6.55"/>
        <n v="1564"/>
        <n v="1425.6"/>
        <n v="633.5"/>
        <n v="4054.5"/>
        <n v="495.6"/>
        <n v="108.85"/>
        <n v="220"/>
        <n v="1016.4"/>
        <n v="281.4"/>
        <n v="400.2"/>
        <n v="161.5"/>
        <n v="282.5"/>
        <n v="367.2"/>
        <n v="16.2"/>
        <n v="452.5"/>
        <n v="3370.8"/>
        <n v="265.5"/>
        <n v="2985.6"/>
        <n v="533"/>
        <n v="315.7"/>
        <n v="765"/>
        <n v="215.25"/>
        <n v="333.9"/>
        <n v="566.4"/>
        <n v="964.1"/>
        <n v="1253"/>
        <n v="260"/>
        <n v="115.5"/>
        <n v="304.5"/>
        <n v="399.5"/>
        <n v="136.8"/>
        <n v="742.4"/>
        <n v="416.15"/>
        <n v="492.9"/>
        <n v="250.6"/>
        <n v="1500"/>
        <n v="92.4"/>
        <n v="90.2"/>
        <n v="1247.5"/>
        <n v="1261.5"/>
        <n v="204"/>
        <n v="249"/>
        <n v="702"/>
        <n v="60.3"/>
        <n v="76.8"/>
        <n v="3227.7"/>
        <n v="1477.25"/>
        <n v="97"/>
        <n v="83"/>
        <n v="214.7"/>
        <n v="179.4"/>
        <n v="526.5"/>
        <n v="545.3"/>
        <n v="715.5"/>
        <n v="279.9"/>
        <n v="1830"/>
        <n v="340.1"/>
        <n v="3120"/>
        <n v="440.7"/>
        <n v="415.8"/>
        <n v="55"/>
        <n v="187.55"/>
        <n v="87.1"/>
        <n v="248.4"/>
        <n v="453.25"/>
        <n v="106.4"/>
        <n v="832.6"/>
        <n v="531.3"/>
        <n v="1061.9"/>
        <n v="1049.4"/>
        <n v="4711.65"/>
        <n v="70.2"/>
        <n v="41.4"/>
        <n v="856.8"/>
        <n v="524.9"/>
        <n v="1557.6"/>
        <n v="2655.3"/>
        <n v="1244.4"/>
        <n v="107.2"/>
        <n v="269.7"/>
        <n v="199.1"/>
        <n v="330.4"/>
        <n v="1381.8"/>
        <n v="768.6"/>
        <n v="179"/>
        <n v="61.5"/>
        <n v="81.15"/>
        <n v="66"/>
        <n v="201"/>
        <n v="154.7"/>
        <n v="428.75"/>
        <n v="119.7"/>
        <n v="126.7"/>
        <n v="842.7"/>
        <n v="326.55"/>
        <n v="1245"/>
        <n v="625.6"/>
        <n v="292.6"/>
        <n v="1049.8"/>
        <n v="229.45"/>
        <n v="168"/>
        <n v="1590"/>
        <n v="2475"/>
        <n v="2340"/>
        <n v="1155"/>
        <n v="44"/>
        <n v="140.4"/>
        <n v="418.1"/>
        <n v="14.6"/>
        <n v="57.6"/>
        <n v="129.15"/>
        <n v="572.4"/>
        <n v="104.4"/>
        <n v="276.25"/>
        <n v="1339.4"/>
        <n v="300.05"/>
        <n v="1510.5"/>
        <n v="1292.1"/>
        <n v="3078.9"/>
        <n v="940"/>
        <n v="297.55"/>
        <n v="212"/>
        <n v="52.4"/>
        <n v="101.4"/>
        <n v="93.5"/>
        <n v="723.2"/>
        <n v="855.6"/>
        <n v="273.6"/>
        <n v="108.8"/>
        <n v="113.4"/>
        <n v="904.05"/>
        <n v="922.2"/>
        <n v="1275.1"/>
        <n v="664.1"/>
        <n v="221.6"/>
        <n v="38.5"/>
        <n v="405.6"/>
        <n v="277.29"/>
        <n v="151.8"/>
        <n v="199.5"/>
        <n v="118"/>
        <n v="114"/>
        <n v="402.6"/>
        <n v="668.65"/>
        <n v="89.5"/>
        <n v="2178"/>
        <n v="3088.8"/>
        <n v="11.3"/>
        <n v="47.2"/>
        <n v="68.4"/>
        <n v="4592"/>
        <n v="264.35"/>
        <n v="2152.5"/>
        <n v="45.1"/>
        <n v="162.8"/>
        <n v="470.9"/>
        <n v="1415.1"/>
        <n v="231"/>
        <n v="519.8"/>
        <n v="243.1"/>
        <n v="126"/>
        <n v="351"/>
        <n v="492.8"/>
        <n v="784"/>
        <n v="1923.9"/>
        <n v="2177"/>
        <n v="512.5"/>
        <n v="154.1"/>
        <n v="252.3"/>
        <n v="744.6"/>
        <n v="565"/>
        <n v="910.8"/>
        <n v="607.5"/>
        <n v="408"/>
        <n v="486"/>
        <n v="126.8"/>
        <n v="400.5"/>
        <n v="421.4"/>
        <n v="278.4"/>
        <n v="3513.9"/>
        <n v="3421"/>
        <n v="268.5"/>
        <n v="1045.5"/>
        <n v="1848"/>
        <n v="1150.05"/>
        <n v="189.35"/>
        <n v="248"/>
        <n v="463.3"/>
        <n v="419.9"/>
        <n v="676.2"/>
        <n v="1080"/>
        <n v="60.6"/>
        <n v="341.7"/>
        <n v="2241.9"/>
        <n v="435.4"/>
        <n v="72.2"/>
        <n v="223.85"/>
        <n v="426.9"/>
        <n v="369.6"/>
        <n v="432"/>
        <n v="593.4"/>
        <n v="877.5"/>
        <n v="195.6"/>
        <n v="311.5"/>
        <n v="46.4"/>
        <n v="349.8"/>
        <n v="676.25"/>
        <n v="542.8"/>
        <n v="29.8"/>
        <n v="2305.5"/>
        <n v="544.25"/>
        <n v="458"/>
        <n v="1140"/>
        <n v="2032.8"/>
        <n v="281"/>
        <n v="610.2"/>
        <n v="869.4"/>
        <n v="881.6"/>
        <n v="404.3"/>
        <n v="713.7"/>
        <n v="180.4"/>
        <n v="1383.8"/>
        <n v="797.3"/>
        <n v="60.5"/>
        <n v="191.4"/>
        <n v="1242"/>
        <n v="907.8"/>
        <n v="187.6"/>
        <n v="287.3"/>
        <n v="108.5"/>
        <n v="124.2"/>
        <n v="203.5"/>
        <n v="960"/>
        <n v="174.9"/>
        <n v="2301.4"/>
        <n v="732"/>
        <n v="160.3"/>
        <n v="4587.25"/>
        <n v="274.8"/>
        <n v="76.5"/>
        <n v="472"/>
        <n v="153.6"/>
        <n v="795"/>
        <n v="4944.9"/>
        <n v="924"/>
        <n v="700"/>
        <n v="160.8"/>
        <n v="30.6"/>
        <n v="190.4"/>
        <n v="226.8"/>
        <n v="1653.6"/>
        <n v="328"/>
        <n v="184.8"/>
        <n v="933.4"/>
        <n v="266.2"/>
        <n v="631.8"/>
        <n v="156.4"/>
        <n v="429.4"/>
        <n v="393.6"/>
        <n v="358.75"/>
        <n v="2348.05"/>
        <n v="1650.05"/>
        <n v="420"/>
        <n v="1102.6656"/>
        <n v="1319.7"/>
        <n v="342.6"/>
        <n v="900"/>
        <n v="1268"/>
        <n v="1908"/>
        <n v="237"/>
        <n v="1547.7"/>
        <n v="525"/>
        <n v="229.5"/>
        <n v="5644.5"/>
        <n v="124.4"/>
        <n v="128.45"/>
        <n v="1145"/>
        <n v="157.85"/>
        <n v="108"/>
        <n v="1335.6"/>
        <n v="220.2"/>
        <n v="180.5"/>
        <n v="96.8"/>
        <n v="627.6"/>
        <n v="312.8"/>
        <n v="796.4"/>
        <n v="166.6"/>
        <n v="875.35"/>
        <n v="906.3"/>
        <n v="1120"/>
        <n v="574.4"/>
        <n v="221.1"/>
        <n v="1574.7"/>
        <n v="881.4"/>
        <n v="1393.8"/>
        <n v="437.4"/>
        <n v="243.95"/>
        <n v="1431"/>
        <n v="295.2"/>
        <n v="902"/>
        <n v="1380"/>
        <n v="1404.3"/>
        <n v="2013.4"/>
        <n v="459.85"/>
        <n v="3442.7"/>
        <n v="2011.3"/>
        <n v="348.4"/>
        <n v="452.4"/>
        <n v="594"/>
        <n v="95.2"/>
        <n v="3415.3"/>
        <n v="349.3"/>
        <n v="71.4"/>
        <n v="1058.25"/>
        <n v="480.5"/>
        <n v="459"/>
        <n v="1134"/>
        <n v="567"/>
        <n v="392"/>
        <n v="1462.8"/>
        <n v="955.8"/>
        <n v="46.65"/>
        <n v="1648.8"/>
        <n v="26.7"/>
        <n v="460"/>
        <n v="109"/>
        <n v="751.8"/>
        <n v="435"/>
        <n v="587.6"/>
        <n v="666.6"/>
        <n v="600"/>
        <n v="398.4"/>
        <n v="121.5189"/>
        <n v="175.45"/>
        <n v="3736.5"/>
        <n v="412.5"/>
        <n v="740"/>
        <n v="169"/>
        <n v="85.8"/>
        <n v="232.05"/>
        <n v="159.5"/>
        <n v="2208.1"/>
        <n v="513.8"/>
        <n v="80.1"/>
        <n v="780"/>
        <n v="70"/>
        <n v="76"/>
        <n v="1828.5"/>
        <n v="2083.7"/>
        <n v="185.85"/>
        <n v="186.6"/>
        <n v="1274.2"/>
        <n v="824.9"/>
        <n v="490"/>
        <n v="2067"/>
        <n v="451"/>
        <n v="1031.8"/>
        <n v="117"/>
        <n v="1073.5"/>
        <n v="209.95"/>
        <n v="1173"/>
        <n v="303.05"/>
        <n v="1101.6"/>
        <n v="137.5"/>
        <n v="318.6"/>
        <n v="528.7"/>
        <n v="881.5"/>
        <n v="2880"/>
        <n v="407"/>
        <n v="90.75"/>
        <n v="524.7"/>
        <n v="1373.5"/>
        <n v="1320"/>
        <n v="149.7"/>
        <n v="303"/>
        <n v="1094.4"/>
        <n v="612.5"/>
        <n v="511.5"/>
        <n v="1044"/>
        <n v="861"/>
        <n v="1181.8"/>
        <n v="990"/>
        <n v="108.2"/>
        <n v="1060.8"/>
        <n v="465"/>
        <n v="724"/>
        <n v="283.2"/>
        <n v="1928.2"/>
        <n v="711"/>
        <n v="302.1"/>
        <n v="61.8"/>
        <n v="120.6"/>
        <n v="548.1"/>
        <n v="709.65"/>
        <n v="660.1"/>
        <n v="3466.2"/>
        <n v="805.2"/>
        <n v="693"/>
        <n v="1024.9"/>
        <n v="373"/>
        <n v="56"/>
        <n v="792.55"/>
        <n v="241.8"/>
        <n v="113.1358"/>
        <n v="648.6"/>
        <n v="143.55"/>
        <n v="1220"/>
        <n v="375.2"/>
        <n v="539.4"/>
        <n v="1197.8"/>
        <n v="1504.2"/>
        <n v="2973.3"/>
        <n v="232.7"/>
        <n v="319.2"/>
        <n v="635.4"/>
        <n v="545.4"/>
        <n v="3456"/>
        <n v="6.7"/>
        <n v="445.5"/>
        <n v="249.6"/>
        <n v="1212.9"/>
        <n v="590.7"/>
        <n v="676.5"/>
        <n v="581.7"/>
        <n v="43"/>
        <n v="86"/>
        <n v="148.2"/>
        <n v="384.2"/>
        <n v="309.4"/>
        <n v="382.8"/>
        <n v="81.5"/>
        <n v="1008"/>
        <n v="2210.1"/>
        <n v="1166.25"/>
        <n v="532.15"/>
        <n v="585.6"/>
        <n v="829.5"/>
        <n v="610.3"/>
        <n v="52"/>
        <n v="489.6"/>
        <n v="896.4"/>
        <n v="399"/>
        <n v="529.5"/>
        <n v="2289.6"/>
        <n v="2659.05"/>
        <n v="716"/>
        <n v="1068"/>
        <n v="99.8"/>
        <n v="54.4"/>
        <n v="250.8"/>
        <n v="777.6"/>
        <n v="1399.2"/>
        <n v="1119.6"/>
        <n v="609"/>
        <n v="646.8"/>
        <n v="307"/>
        <n v="795.6"/>
        <n v="508.3"/>
        <n v="834.15"/>
        <n v="1525.5"/>
        <n v="212.8"/>
        <n v="126.6"/>
        <n v="832.3"/>
        <n v="1760"/>
        <n v="814"/>
        <n v="111"/>
        <n v="251.3"/>
        <n v="542.5"/>
        <n v="260.8"/>
        <n v="144"/>
        <n v="1494.6"/>
        <n v="1990.4"/>
        <n v="256.2"/>
        <n v="983.1"/>
        <n v="1824"/>
        <n v="276.75"/>
        <n v="69"/>
        <n v="802.4"/>
        <n v="3036.9"/>
        <n v="1599"/>
        <n v="122.1"/>
        <n v="257.4"/>
        <n v="1047.55"/>
        <n v="347.7"/>
        <n v="254.3"/>
        <n v="124.3"/>
        <n v="211.9"/>
        <n v="470.6"/>
        <n v="896.7"/>
        <n v="2132"/>
        <n v="360.1"/>
        <n v="328.3"/>
        <n v="423.5"/>
        <n v="546"/>
        <n v="394.7"/>
        <n v="427.8"/>
        <n v="48.9"/>
        <n v="1391.95"/>
        <n v="1586.1"/>
        <n v="667.5"/>
        <n v="927"/>
        <n v="789.8"/>
        <n v="71"/>
        <n v="508.5"/>
        <n v="63.8"/>
        <n v="199.7"/>
        <n v="429.6"/>
        <n v="604"/>
        <n v="1876.2"/>
        <n v="1168.5"/>
        <n v="556.2"/>
        <n v="77.5"/>
        <n v="513"/>
        <n v="344.1"/>
        <n v="511.75"/>
        <n v="480.2"/>
        <n v="138.6"/>
        <n v="207.7"/>
        <n v="469.8"/>
        <n v="1254.3"/>
        <n v="472.7"/>
        <n v="155.1"/>
        <n v="464"/>
        <n v="2124.7"/>
        <n v="457.5"/>
        <n v="1125.6"/>
        <n v="348"/>
        <n v="971.8"/>
        <n v="224.1"/>
        <n v="1336.5"/>
        <n v="648"/>
        <n v="506.8"/>
        <n v="84.75"/>
        <n v="533.6"/>
        <n v="703.15"/>
        <n v="3529.8"/>
        <n v="912.9"/>
        <n v="389.5"/>
        <n v="1260"/>
        <n v="718"/>
        <n v="800.4"/>
        <n v="2632.5"/>
        <n v="547.15"/>
        <n v="502.5"/>
        <n v="1526.4"/>
        <n v="824.4"/>
        <n v="288.1"/>
        <n v="639.2"/>
        <n v="444.4"/>
        <n v="1621.8"/>
        <n v="3032.25"/>
        <n v="185.4"/>
        <n v="215.4"/>
        <n v="151.25"/>
        <n v="304.2"/>
        <n v="565.8"/>
        <n v="516.8"/>
        <n v="568.7"/>
        <n v="192"/>
        <n v="1224.3"/>
        <n v="1741.6"/>
        <n v="30.2"/>
        <n v="680"/>
        <n v="569.8"/>
        <n v="988.8"/>
        <n v="678"/>
        <n v="579.6"/>
        <n v="1468.8"/>
        <n v="1013.6"/>
        <n v="3879.6"/>
        <n v="3498.75"/>
        <n v="868.6"/>
        <n v="405.95"/>
        <n v="451.2"/>
        <n v="1912.65"/>
        <n v="483.3"/>
        <n v="440"/>
        <n v="1866"/>
        <n v="1700.5"/>
        <n v="554"/>
        <n v="1136.1"/>
        <n v="330.6"/>
        <n v="282.8"/>
        <n v="23.6"/>
        <n v="229"/>
        <n v="938"/>
        <n v="206.05"/>
        <n v="215.6"/>
        <n v="3116.4"/>
        <n v="855.25"/>
        <n v="695.4"/>
        <n v="387.8"/>
        <n v="811.5"/>
        <n v="30.8"/>
        <n v="101"/>
        <n v="467.5"/>
        <n v="1800"/>
        <n v="911.2"/>
        <n v="356.4"/>
        <n v="343.9"/>
        <n v="343.4"/>
        <n v="1132.8"/>
        <n v="1076.25"/>
        <n v="1446.9"/>
        <n v="622"/>
        <n v="1209.5"/>
        <n v="4291.4"/>
        <n v="195"/>
        <n v="810"/>
        <n v="208.6"/>
        <n v="61.6"/>
        <n v="309.75"/>
        <n v="196"/>
        <n v="330.05"/>
        <n v="2082.9"/>
        <n v="405.75"/>
        <n v="64"/>
        <n v="717.6"/>
        <n v="1685.4"/>
        <n v="1663.85"/>
        <n v="287.2"/>
        <n v="30.25"/>
        <n v="384.1765"/>
        <n v="674.05"/>
        <n v="756"/>
        <n v="62"/>
        <n v="600.25"/>
        <n v="307.8"/>
        <n v="565.6"/>
        <n v="844"/>
        <n v="354"/>
        <n v="604.2"/>
        <n v="357.65"/>
        <n v="682.1"/>
        <n v="746.6694"/>
        <n v="821.7"/>
        <n v="306.8"/>
        <n v="3959.1"/>
        <n v="1508.35"/>
        <n v="109.2"/>
        <n v="19.8986"/>
        <n v="734.5"/>
        <n v="1159.2"/>
        <n v="283.5"/>
        <n v="423.6"/>
        <n v="2051.1"/>
        <n v="1172.6"/>
        <n v="104"/>
        <n v="66.15"/>
        <n v="2534.65"/>
        <n v="703.39"/>
        <n v="131"/>
        <n v="542.4"/>
        <n v="182.2762"/>
        <n v="1255.5"/>
        <n v="301.5"/>
        <n v="559.65"/>
        <n v="2877.9"/>
        <n v="2519.1"/>
        <n v="151"/>
        <n v="1906.5"/>
        <n v="272.25"/>
        <n v="592.8"/>
        <n v="768.4"/>
        <n v="647.4"/>
        <n v="121.8049"/>
        <n v="71.75"/>
        <n v="3418.5"/>
        <n v="573.294"/>
        <n v="415.5"/>
        <n v="466.8"/>
        <n v="327.7464"/>
        <n v="563.55"/>
        <n v="423.3"/>
        <n v="850.5"/>
        <n v="88.25"/>
        <n v="142.1"/>
        <n v="444.6"/>
        <n v="1954.8"/>
        <n v="1577.6"/>
        <n v="109.8"/>
        <n v="1360"/>
        <n v="447.7"/>
        <n v="585.2"/>
        <n v="79.65"/>
        <n v="2441.35"/>
        <n v="345.1"/>
        <n v="286.4"/>
        <n v="1520"/>
        <n v="61"/>
        <n v="322"/>
        <n v="1186.8"/>
        <n v="558.6"/>
        <n v="363.6"/>
        <n v="1733.1"/>
        <n v="483.2"/>
        <n v="615"/>
        <n v="1440"/>
        <n v="828"/>
        <n v="478.8"/>
        <n v="342"/>
        <n v="3638.7"/>
        <n v="799.5"/>
        <n v="851.4"/>
        <n v="520.3"/>
        <n v="697.2"/>
        <n v="455.4"/>
        <n v="505"/>
        <n v="511.85"/>
        <n v="1678.95"/>
        <n v="1446.15"/>
        <n v="371.2"/>
        <n v="800"/>
        <n v="1169.6"/>
        <n v="146"/>
        <n v="597.3"/>
        <n v="65.2"/>
        <n v="211.8"/>
        <n v="486.4"/>
        <n v="1075.2"/>
        <n v="194.7"/>
        <n v="185.6"/>
        <n v="2496.3"/>
        <n v="99"/>
        <n v="17.9"/>
        <n v="724.8"/>
        <n v="1152.6"/>
        <n v="133.1"/>
        <n v="342.55"/>
        <n v="2438.4"/>
        <n v="1666.8"/>
        <n v="1460"/>
        <n v="182"/>
        <n v="2480.4"/>
        <n v="2037.05"/>
        <n v="656"/>
        <n v="308.1"/>
        <n v="114.8"/>
        <n v="1669.5"/>
        <n v="866.4"/>
        <n v="1639.5"/>
        <n v="1097.1"/>
        <n v="1492.8"/>
        <n v="1040"/>
        <n v="1021.7"/>
        <n v="1431.75"/>
        <n v="1324.8"/>
        <n v="2108"/>
        <n v="379.2"/>
        <n v="1086"/>
        <n v="123.55"/>
        <n v="5453.7"/>
        <n v="2674.6"/>
        <n v="349.5"/>
        <n v="360.8"/>
        <n v="2714.6"/>
        <n v="63"/>
        <n v="746.4"/>
        <n v="960.5"/>
        <n v="143.65"/>
        <n v="256.5"/>
        <n v="518.4"/>
        <n v="2575.8"/>
        <n v="4167.4"/>
        <n v="428.45"/>
        <n v="1588.4"/>
        <n v="216.4"/>
        <n v="411.4"/>
        <n v="73.7"/>
        <n v="569.4"/>
        <n v="141.4"/>
        <n v="31.5"/>
        <n v="924.8"/>
        <n v="1409.8"/>
        <n v="206"/>
        <n v="1320.2"/>
        <n v="2623.5"/>
        <n v="1787.7"/>
        <n v="1987.5"/>
        <n v="220.5"/>
        <n v="471.5"/>
        <n v="1913.3"/>
        <n v="1251.2"/>
        <n v="1455.9"/>
        <n v="626.2"/>
        <n v="2581.3"/>
        <n v="1903.2"/>
        <n v="541.5"/>
        <n v="1190.2"/>
        <n v="4658.7"/>
        <n v="114.95"/>
        <n v="368.5"/>
        <n v="600.3"/>
        <n v="1423.856"/>
        <n v="410.85"/>
        <n v="1766.4"/>
        <n v="1219.75"/>
        <n v="4149.9"/>
        <n v="1414.5"/>
        <n v="274.45"/>
        <n v="187.85"/>
        <n v="754.8"/>
        <n v="487.9"/>
        <n v="4483.8"/>
        <n v="2346.55"/>
        <n v="951.6"/>
        <n v="679.8"/>
        <n v="847.5"/>
        <n v="1632"/>
        <n v="606"/>
        <n v="422.4"/>
        <n v="817.95"/>
        <n v="3577.5"/>
        <n v="1008.9"/>
        <n v="3125.55"/>
        <n v="462"/>
        <n v="356.7"/>
        <n v="1849.2"/>
        <n v="189"/>
        <n v="1809"/>
        <n v="325.5"/>
        <n v="3784.2"/>
        <n v="1727.55"/>
        <n v="878.4"/>
        <n v="913.5"/>
        <n v="1455.5"/>
        <n v="2335.8"/>
        <n v="2297.6"/>
        <n v="400.4"/>
        <n v="115"/>
        <n v="93.6"/>
        <n v="1005.7"/>
        <n v="1200.6"/>
        <n v="941.2"/>
        <n v="460.6"/>
        <n v="5247"/>
        <n v="108.9"/>
        <n v="112.05"/>
        <n v="938.4"/>
        <n v="1357.5"/>
        <n v="746.2"/>
        <n v="3234.4"/>
        <n v="270.5"/>
        <n v="142.2"/>
        <n v="1939.8"/>
        <n v="127.3"/>
        <n v="2957.4"/>
        <n v="1057.4"/>
        <n v="1086.5"/>
        <n v="2280"/>
        <n v="321.9"/>
        <n v="386.75"/>
        <n v="560"/>
        <n v="831.6"/>
        <n v="595.1"/>
        <n v="769.5"/>
        <n v="232"/>
        <n v="2114.8"/>
        <n v="1061.4"/>
        <n v="280"/>
        <n v="325.6"/>
        <n v="323.2"/>
        <n v="258.4"/>
        <n v="388.3"/>
        <n v="907.2"/>
        <n v="1248.45"/>
        <n v="885"/>
        <n v="3949.7"/>
        <n v="362.4"/>
        <n v="1419.8"/>
        <n v="53.4"/>
        <n v="94.5"/>
        <n v="665"/>
        <n v="110.95"/>
        <n v="2468.2"/>
        <n v="5898.9"/>
        <n v="1628.9"/>
        <n v="2400"/>
        <n v="919.7"/>
        <n v="3017.1"/>
        <n v="2801.4"/>
        <n v="1570.55"/>
        <n v="329.4"/>
        <n v="241.6"/>
        <n v="1327.5"/>
        <n v="94"/>
        <n v="672.3"/>
        <n v="2081.5"/>
        <n v="1091.7"/>
        <n v="3887.5"/>
        <n v="858.7"/>
        <n v="1027.9"/>
        <n v="538.5"/>
        <n v="515.9"/>
        <n v="1151.4"/>
        <n v="1876.8"/>
        <n v="1676.75"/>
        <n v="708"/>
        <n v="3545.4"/>
        <n v="860.1"/>
        <n v="387.45"/>
        <n v="2931.5"/>
        <n v="875"/>
        <n v="1092"/>
        <n v="1071"/>
        <n v="731.5"/>
        <n v="1009.4"/>
        <n v="1013.2"/>
        <n v="2814.3"/>
        <n v="1056"/>
        <n v="2452.3"/>
        <n v="90.6"/>
        <n v="2000"/>
        <n v="1108.8"/>
        <n v="526.3"/>
        <n v="375.7"/>
        <n v="94.8"/>
        <n v="1192.5"/>
        <n v="1281"/>
        <n v="1271"/>
        <n v="193.6"/>
        <n v="124.25"/>
        <n v="975.8"/>
        <n v="333.87"/>
        <n v="214.4"/>
        <n v="802.3"/>
        <n v="295.4"/>
        <n v="111.25"/>
        <n v="4754.1"/>
        <n v="793.05"/>
        <n v="637.1"/>
        <n v="696"/>
        <n v="183.2"/>
        <n v="1010.8"/>
        <n v="6042"/>
        <n v="45.8"/>
        <n v="297.5"/>
        <n v="1904.4"/>
        <n v="796.5"/>
        <n v="416.5"/>
        <n v="4817.7"/>
        <n v="25.2"/>
        <n v="1122"/>
        <n v="1130"/>
        <n v="1545.63"/>
        <n v="115.05"/>
        <n v="384"/>
        <n v="1635.9"/>
        <n v="2146.5"/>
        <n v="1988.5"/>
        <n v="567.6"/>
        <n v="270.6"/>
        <n v="609.7"/>
        <n v="527"/>
        <n v="2230.2"/>
        <n v="2239.2"/>
        <n v="461.25"/>
        <n v="187"/>
        <n v="772.8"/>
        <n v="634.5"/>
        <n v="188.8"/>
        <n v="158.85"/>
        <n v="97.35"/>
        <n v="230.1"/>
        <n v="2020"/>
        <n v="129"/>
        <n v="632.8"/>
        <n v="1591.2"/>
        <n v="877.8"/>
        <n v="486.75"/>
        <n v="2607.6"/>
        <n v="2970.05"/>
        <n v="4840"/>
        <n v="269.45"/>
        <n v="370.65"/>
        <n v="238.95"/>
        <n v="1881.55"/>
        <n v="417.45"/>
        <n v="655.2"/>
        <n v="858.8"/>
        <n v="2116.5"/>
        <n v="367.5"/>
        <n v="1053"/>
        <n v="413.6"/>
        <n v="3339.05"/>
        <n v="2178.3"/>
        <n v="1649.3"/>
        <n v="396"/>
        <n v="494.1"/>
        <n v="206.1"/>
        <n v="286.8"/>
        <n v="210.6"/>
        <n v="443.7"/>
        <n v="327.697"/>
        <n v="4404.3"/>
        <n v="1523.9"/>
        <n v="154.8"/>
        <n v="252"/>
        <n v="1039.5"/>
        <n v="189.6"/>
        <n v="380.4"/>
        <n v="372"/>
        <n v="203.55"/>
        <n v="1578.5"/>
        <n v="3927.3"/>
        <n v="2907.85"/>
        <n v="1270.9"/>
        <n v="765.6"/>
        <n v="681.45"/>
        <n v="1238.4"/>
        <n v="4102.2"/>
        <n v="988.06"/>
        <n v="1190.8"/>
        <n v="161.7"/>
        <n v="315"/>
        <n v="462.4"/>
        <n v="2798.4"/>
        <n v="292.8"/>
        <n v="1396.2"/>
        <n v="796.8"/>
        <n v="1571"/>
        <n v="16.3"/>
        <n v="1844.4"/>
        <n v="221.4"/>
        <n v="648.7"/>
        <n v="1469"/>
        <n v="198.9"/>
        <n v="814.5"/>
        <n v="464.6"/>
        <n v="4579.26"/>
        <n v="1694.95"/>
        <n v="1038.2"/>
        <n v="598.8"/>
        <n v="216.3"/>
        <n v="652.5"/>
        <n v="341"/>
        <n v="957.6"/>
        <n v="2432.7"/>
        <n v="1353"/>
        <n v="137.4"/>
        <n v="232.2"/>
        <n v="534.4"/>
        <n v="324.9"/>
        <n v="66.96"/>
        <n v="2830.1"/>
        <n v="1915.3"/>
        <n v="608.85"/>
        <n v="374.25"/>
        <n v="273"/>
        <n v="1016.99"/>
        <n v="442"/>
        <n v="1070.7"/>
        <n v="1350"/>
        <n v="3271.8"/>
        <n v="922.5"/>
        <n v="299.4"/>
        <n v="808"/>
        <n v="1117.4"/>
        <n v="182.8"/>
        <n v="108.35"/>
        <n v="1169"/>
        <n v="895"/>
        <n v="36.1"/>
        <n v="1370.2"/>
        <n v="598.5"/>
        <n v="970.75"/>
        <n v="3009"/>
        <n v="2674.506"/>
        <n v="49.5"/>
        <n v="1620"/>
        <n v="463.5"/>
        <n v="1636.2"/>
        <n v="4038.6"/>
        <n v="699.75"/>
        <n v="219.6"/>
        <n v="1274.4"/>
        <n v="48.4"/>
        <n v="149.6"/>
        <n v="235.3"/>
        <n v="1808.1"/>
        <n v="4696.1"/>
        <n v="92.25"/>
        <n v="778.6"/>
        <n v="1148.1"/>
        <n v="973.05"/>
        <n v="332.5"/>
        <n v="201.5"/>
        <n v="241.2"/>
        <n v="436.8"/>
        <n v="239.4"/>
        <n v="111.65"/>
        <n v="3732"/>
        <n v="318.85"/>
        <n v="373.8"/>
        <n v="316.4"/>
        <n v="4354"/>
        <n v="181.2"/>
        <n v="47"/>
        <n v="317.4"/>
        <n v="355.2"/>
        <n v="2019.3"/>
        <n v="288.8"/>
        <n v="725.4"/>
        <n v="187.2"/>
        <n v="661.5"/>
        <n v="183.75"/>
        <n v="561.1"/>
        <n v="489.5"/>
        <n v="513.4"/>
        <n v="180.8"/>
        <n v="1383.3"/>
        <n v="613.6"/>
        <n v="385"/>
        <n v="79"/>
        <n v="453.05"/>
        <n v="742.5"/>
        <n v="2448.6"/>
        <n v="1038.4"/>
        <n v="1412.5"/>
        <n v="1563.15"/>
        <n v="129.6"/>
        <n v="1303.4"/>
        <n v="731.85"/>
        <n v="6232.8"/>
        <n v="1135.15"/>
        <n v="401.2"/>
        <n v="417.6"/>
        <n v="1740.8"/>
        <n v="2153.9"/>
        <n v="2761.2"/>
        <n v="289"/>
        <n v="1010"/>
        <n v="602.7"/>
        <n v="495"/>
        <n v="1865.5"/>
        <n v="12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22">
  <r>
    <x v="0"/>
    <x v="0"/>
    <x v="0"/>
    <x v="0"/>
  </r>
  <r>
    <x v="1"/>
    <x v="1"/>
    <x v="0"/>
    <x v="1"/>
  </r>
  <r>
    <x v="2"/>
    <x v="2"/>
    <x v="0"/>
    <x v="2"/>
  </r>
  <r>
    <x v="3"/>
    <x v="3"/>
    <x v="0"/>
    <x v="3"/>
  </r>
  <r>
    <x v="4"/>
    <x v="4"/>
    <x v="0"/>
    <x v="4"/>
  </r>
  <r>
    <x v="5"/>
    <x v="5"/>
    <x v="0"/>
    <x v="5"/>
  </r>
  <r>
    <x v="6"/>
    <x v="6"/>
    <x v="0"/>
    <x v="6"/>
  </r>
  <r>
    <x v="7"/>
    <x v="7"/>
    <x v="0"/>
    <x v="7"/>
  </r>
  <r>
    <x v="8"/>
    <x v="8"/>
    <x v="0"/>
    <x v="8"/>
  </r>
  <r>
    <x v="9"/>
    <x v="9"/>
    <x v="0"/>
    <x v="9"/>
  </r>
  <r>
    <x v="10"/>
    <x v="10"/>
    <x v="0"/>
    <x v="10"/>
  </r>
  <r>
    <x v="11"/>
    <x v="11"/>
    <x v="0"/>
    <x v="11"/>
  </r>
  <r>
    <x v="12"/>
    <x v="12"/>
    <x v="0"/>
    <x v="12"/>
  </r>
  <r>
    <x v="13"/>
    <x v="13"/>
    <x v="0"/>
    <x v="13"/>
  </r>
  <r>
    <x v="14"/>
    <x v="14"/>
    <x v="0"/>
    <x v="14"/>
  </r>
  <r>
    <x v="15"/>
    <x v="15"/>
    <x v="0"/>
    <x v="15"/>
  </r>
  <r>
    <x v="16"/>
    <x v="16"/>
    <x v="0"/>
    <x v="16"/>
  </r>
  <r>
    <x v="17"/>
    <x v="17"/>
    <x v="0"/>
    <x v="17"/>
  </r>
  <r>
    <x v="18"/>
    <x v="18"/>
    <x v="1"/>
    <x v="18"/>
  </r>
  <r>
    <x v="19"/>
    <x v="19"/>
    <x v="1"/>
    <x v="19"/>
  </r>
  <r>
    <x v="0"/>
    <x v="0"/>
    <x v="1"/>
    <x v="20"/>
  </r>
  <r>
    <x v="2"/>
    <x v="2"/>
    <x v="1"/>
    <x v="21"/>
  </r>
  <r>
    <x v="20"/>
    <x v="20"/>
    <x v="1"/>
    <x v="22"/>
  </r>
  <r>
    <x v="21"/>
    <x v="21"/>
    <x v="1"/>
    <x v="23"/>
  </r>
  <r>
    <x v="4"/>
    <x v="4"/>
    <x v="1"/>
    <x v="24"/>
  </r>
  <r>
    <x v="22"/>
    <x v="22"/>
    <x v="1"/>
    <x v="25"/>
  </r>
  <r>
    <x v="23"/>
    <x v="23"/>
    <x v="1"/>
    <x v="26"/>
  </r>
  <r>
    <x v="24"/>
    <x v="24"/>
    <x v="1"/>
    <x v="27"/>
  </r>
  <r>
    <x v="25"/>
    <x v="25"/>
    <x v="1"/>
    <x v="28"/>
  </r>
  <r>
    <x v="26"/>
    <x v="26"/>
    <x v="1"/>
    <x v="29"/>
  </r>
  <r>
    <x v="8"/>
    <x v="8"/>
    <x v="1"/>
    <x v="30"/>
  </r>
  <r>
    <x v="10"/>
    <x v="10"/>
    <x v="1"/>
    <x v="31"/>
  </r>
  <r>
    <x v="27"/>
    <x v="27"/>
    <x v="1"/>
    <x v="32"/>
  </r>
  <r>
    <x v="11"/>
    <x v="11"/>
    <x v="1"/>
    <x v="33"/>
  </r>
  <r>
    <x v="28"/>
    <x v="28"/>
    <x v="1"/>
    <x v="34"/>
  </r>
  <r>
    <x v="12"/>
    <x v="12"/>
    <x v="1"/>
    <x v="12"/>
  </r>
  <r>
    <x v="29"/>
    <x v="29"/>
    <x v="1"/>
    <x v="35"/>
  </r>
  <r>
    <x v="30"/>
    <x v="30"/>
    <x v="1"/>
    <x v="36"/>
  </r>
  <r>
    <x v="31"/>
    <x v="31"/>
    <x v="1"/>
    <x v="37"/>
  </r>
  <r>
    <x v="32"/>
    <x v="32"/>
    <x v="1"/>
    <x v="38"/>
  </r>
  <r>
    <x v="33"/>
    <x v="33"/>
    <x v="1"/>
    <x v="39"/>
  </r>
  <r>
    <x v="14"/>
    <x v="14"/>
    <x v="1"/>
    <x v="40"/>
  </r>
  <r>
    <x v="15"/>
    <x v="15"/>
    <x v="1"/>
    <x v="16"/>
  </r>
  <r>
    <x v="2"/>
    <x v="2"/>
    <x v="2"/>
    <x v="41"/>
  </r>
  <r>
    <x v="34"/>
    <x v="34"/>
    <x v="2"/>
    <x v="42"/>
  </r>
  <r>
    <x v="21"/>
    <x v="21"/>
    <x v="2"/>
    <x v="43"/>
  </r>
  <r>
    <x v="3"/>
    <x v="3"/>
    <x v="2"/>
    <x v="44"/>
  </r>
  <r>
    <x v="35"/>
    <x v="35"/>
    <x v="2"/>
    <x v="45"/>
  </r>
  <r>
    <x v="4"/>
    <x v="4"/>
    <x v="2"/>
    <x v="46"/>
  </r>
  <r>
    <x v="5"/>
    <x v="5"/>
    <x v="2"/>
    <x v="47"/>
  </r>
  <r>
    <x v="36"/>
    <x v="36"/>
    <x v="2"/>
    <x v="48"/>
  </r>
  <r>
    <x v="37"/>
    <x v="37"/>
    <x v="2"/>
    <x v="49"/>
  </r>
  <r>
    <x v="8"/>
    <x v="8"/>
    <x v="2"/>
    <x v="50"/>
  </r>
  <r>
    <x v="9"/>
    <x v="9"/>
    <x v="2"/>
    <x v="51"/>
  </r>
  <r>
    <x v="38"/>
    <x v="38"/>
    <x v="2"/>
    <x v="52"/>
  </r>
  <r>
    <x v="10"/>
    <x v="10"/>
    <x v="2"/>
    <x v="53"/>
  </r>
  <r>
    <x v="11"/>
    <x v="11"/>
    <x v="2"/>
    <x v="54"/>
  </r>
  <r>
    <x v="12"/>
    <x v="12"/>
    <x v="2"/>
    <x v="55"/>
  </r>
  <r>
    <x v="39"/>
    <x v="39"/>
    <x v="2"/>
    <x v="56"/>
  </r>
  <r>
    <x v="29"/>
    <x v="29"/>
    <x v="2"/>
    <x v="57"/>
  </r>
  <r>
    <x v="30"/>
    <x v="30"/>
    <x v="2"/>
    <x v="58"/>
  </r>
  <r>
    <x v="40"/>
    <x v="40"/>
    <x v="2"/>
    <x v="59"/>
  </r>
  <r>
    <x v="31"/>
    <x v="31"/>
    <x v="2"/>
    <x v="60"/>
  </r>
  <r>
    <x v="32"/>
    <x v="32"/>
    <x v="2"/>
    <x v="38"/>
  </r>
  <r>
    <x v="33"/>
    <x v="33"/>
    <x v="2"/>
    <x v="61"/>
  </r>
  <r>
    <x v="14"/>
    <x v="14"/>
    <x v="2"/>
    <x v="62"/>
  </r>
  <r>
    <x v="15"/>
    <x v="15"/>
    <x v="2"/>
    <x v="63"/>
  </r>
  <r>
    <x v="16"/>
    <x v="16"/>
    <x v="2"/>
    <x v="16"/>
  </r>
  <r>
    <x v="41"/>
    <x v="41"/>
    <x v="3"/>
    <x v="18"/>
  </r>
  <r>
    <x v="19"/>
    <x v="19"/>
    <x v="3"/>
    <x v="64"/>
  </r>
  <r>
    <x v="20"/>
    <x v="20"/>
    <x v="3"/>
    <x v="65"/>
  </r>
  <r>
    <x v="21"/>
    <x v="21"/>
    <x v="3"/>
    <x v="66"/>
  </r>
  <r>
    <x v="4"/>
    <x v="4"/>
    <x v="3"/>
    <x v="67"/>
  </r>
  <r>
    <x v="42"/>
    <x v="42"/>
    <x v="3"/>
    <x v="68"/>
  </r>
  <r>
    <x v="6"/>
    <x v="6"/>
    <x v="3"/>
    <x v="69"/>
  </r>
  <r>
    <x v="7"/>
    <x v="7"/>
    <x v="3"/>
    <x v="7"/>
  </r>
  <r>
    <x v="37"/>
    <x v="37"/>
    <x v="3"/>
    <x v="70"/>
  </r>
  <r>
    <x v="8"/>
    <x v="8"/>
    <x v="3"/>
    <x v="50"/>
  </r>
  <r>
    <x v="9"/>
    <x v="9"/>
    <x v="3"/>
    <x v="9"/>
  </r>
  <r>
    <x v="38"/>
    <x v="38"/>
    <x v="3"/>
    <x v="71"/>
  </r>
  <r>
    <x v="10"/>
    <x v="10"/>
    <x v="3"/>
    <x v="72"/>
  </r>
  <r>
    <x v="11"/>
    <x v="11"/>
    <x v="3"/>
    <x v="73"/>
  </r>
  <r>
    <x v="12"/>
    <x v="12"/>
    <x v="3"/>
    <x v="74"/>
  </r>
  <r>
    <x v="29"/>
    <x v="29"/>
    <x v="3"/>
    <x v="75"/>
  </r>
  <r>
    <x v="43"/>
    <x v="43"/>
    <x v="3"/>
    <x v="76"/>
  </r>
  <r>
    <x v="30"/>
    <x v="30"/>
    <x v="3"/>
    <x v="77"/>
  </r>
  <r>
    <x v="31"/>
    <x v="31"/>
    <x v="3"/>
    <x v="78"/>
  </r>
  <r>
    <x v="44"/>
    <x v="44"/>
    <x v="3"/>
    <x v="79"/>
  </r>
  <r>
    <x v="45"/>
    <x v="45"/>
    <x v="3"/>
    <x v="80"/>
  </r>
  <r>
    <x v="33"/>
    <x v="33"/>
    <x v="3"/>
    <x v="81"/>
  </r>
  <r>
    <x v="46"/>
    <x v="46"/>
    <x v="3"/>
    <x v="14"/>
  </r>
  <r>
    <x v="14"/>
    <x v="14"/>
    <x v="3"/>
    <x v="82"/>
  </r>
  <r>
    <x v="47"/>
    <x v="47"/>
    <x v="3"/>
    <x v="82"/>
  </r>
  <r>
    <x v="15"/>
    <x v="15"/>
    <x v="3"/>
    <x v="83"/>
  </r>
  <r>
    <x v="48"/>
    <x v="48"/>
    <x v="4"/>
    <x v="84"/>
  </r>
  <r>
    <x v="49"/>
    <x v="49"/>
    <x v="4"/>
    <x v="85"/>
  </r>
  <r>
    <x v="50"/>
    <x v="50"/>
    <x v="4"/>
    <x v="14"/>
  </r>
  <r>
    <x v="2"/>
    <x v="2"/>
    <x v="4"/>
    <x v="86"/>
  </r>
  <r>
    <x v="21"/>
    <x v="21"/>
    <x v="4"/>
    <x v="87"/>
  </r>
  <r>
    <x v="4"/>
    <x v="4"/>
    <x v="4"/>
    <x v="88"/>
  </r>
  <r>
    <x v="26"/>
    <x v="26"/>
    <x v="4"/>
    <x v="89"/>
  </r>
  <r>
    <x v="6"/>
    <x v="6"/>
    <x v="4"/>
    <x v="90"/>
  </r>
  <r>
    <x v="7"/>
    <x v="7"/>
    <x v="4"/>
    <x v="7"/>
  </r>
  <r>
    <x v="37"/>
    <x v="37"/>
    <x v="4"/>
    <x v="91"/>
  </r>
  <r>
    <x v="8"/>
    <x v="8"/>
    <x v="4"/>
    <x v="92"/>
  </r>
  <r>
    <x v="9"/>
    <x v="9"/>
    <x v="4"/>
    <x v="9"/>
  </r>
  <r>
    <x v="38"/>
    <x v="38"/>
    <x v="4"/>
    <x v="93"/>
  </r>
  <r>
    <x v="10"/>
    <x v="10"/>
    <x v="4"/>
    <x v="94"/>
  </r>
  <r>
    <x v="11"/>
    <x v="11"/>
    <x v="4"/>
    <x v="95"/>
  </r>
  <r>
    <x v="31"/>
    <x v="31"/>
    <x v="4"/>
    <x v="37"/>
  </r>
  <r>
    <x v="51"/>
    <x v="51"/>
    <x v="4"/>
    <x v="96"/>
  </r>
  <r>
    <x v="13"/>
    <x v="13"/>
    <x v="4"/>
    <x v="16"/>
  </r>
  <r>
    <x v="46"/>
    <x v="46"/>
    <x v="4"/>
    <x v="13"/>
  </r>
  <r>
    <x v="14"/>
    <x v="14"/>
    <x v="4"/>
    <x v="97"/>
  </r>
  <r>
    <x v="47"/>
    <x v="47"/>
    <x v="4"/>
    <x v="16"/>
  </r>
  <r>
    <x v="15"/>
    <x v="15"/>
    <x v="4"/>
    <x v="98"/>
  </r>
  <r>
    <x v="17"/>
    <x v="17"/>
    <x v="4"/>
    <x v="84"/>
  </r>
  <r>
    <x v="19"/>
    <x v="19"/>
    <x v="5"/>
    <x v="99"/>
  </r>
  <r>
    <x v="2"/>
    <x v="2"/>
    <x v="5"/>
    <x v="100"/>
  </r>
  <r>
    <x v="34"/>
    <x v="34"/>
    <x v="5"/>
    <x v="101"/>
  </r>
  <r>
    <x v="21"/>
    <x v="21"/>
    <x v="5"/>
    <x v="102"/>
  </r>
  <r>
    <x v="4"/>
    <x v="4"/>
    <x v="5"/>
    <x v="103"/>
  </r>
  <r>
    <x v="52"/>
    <x v="52"/>
    <x v="5"/>
    <x v="104"/>
  </r>
  <r>
    <x v="23"/>
    <x v="23"/>
    <x v="5"/>
    <x v="51"/>
  </r>
  <r>
    <x v="10"/>
    <x v="10"/>
    <x v="5"/>
    <x v="105"/>
  </r>
  <r>
    <x v="11"/>
    <x v="11"/>
    <x v="5"/>
    <x v="106"/>
  </r>
  <r>
    <x v="53"/>
    <x v="53"/>
    <x v="5"/>
    <x v="107"/>
  </r>
  <r>
    <x v="12"/>
    <x v="12"/>
    <x v="5"/>
    <x v="108"/>
  </r>
  <r>
    <x v="29"/>
    <x v="29"/>
    <x v="5"/>
    <x v="109"/>
  </r>
  <r>
    <x v="54"/>
    <x v="54"/>
    <x v="5"/>
    <x v="110"/>
  </r>
  <r>
    <x v="46"/>
    <x v="46"/>
    <x v="5"/>
    <x v="63"/>
  </r>
  <r>
    <x v="14"/>
    <x v="14"/>
    <x v="5"/>
    <x v="62"/>
  </r>
  <r>
    <x v="15"/>
    <x v="15"/>
    <x v="5"/>
    <x v="111"/>
  </r>
  <r>
    <x v="49"/>
    <x v="49"/>
    <x v="6"/>
    <x v="111"/>
  </r>
  <r>
    <x v="50"/>
    <x v="50"/>
    <x v="6"/>
    <x v="82"/>
  </r>
  <r>
    <x v="18"/>
    <x v="18"/>
    <x v="6"/>
    <x v="82"/>
  </r>
  <r>
    <x v="1"/>
    <x v="1"/>
    <x v="6"/>
    <x v="112"/>
  </r>
  <r>
    <x v="2"/>
    <x v="2"/>
    <x v="6"/>
    <x v="113"/>
  </r>
  <r>
    <x v="20"/>
    <x v="20"/>
    <x v="6"/>
    <x v="65"/>
  </r>
  <r>
    <x v="21"/>
    <x v="21"/>
    <x v="6"/>
    <x v="114"/>
  </r>
  <r>
    <x v="3"/>
    <x v="3"/>
    <x v="6"/>
    <x v="115"/>
  </r>
  <r>
    <x v="4"/>
    <x v="4"/>
    <x v="6"/>
    <x v="116"/>
  </r>
  <r>
    <x v="52"/>
    <x v="52"/>
    <x v="6"/>
    <x v="117"/>
  </r>
  <r>
    <x v="23"/>
    <x v="23"/>
    <x v="6"/>
    <x v="118"/>
  </r>
  <r>
    <x v="55"/>
    <x v="55"/>
    <x v="6"/>
    <x v="119"/>
  </r>
  <r>
    <x v="56"/>
    <x v="56"/>
    <x v="6"/>
    <x v="120"/>
  </r>
  <r>
    <x v="36"/>
    <x v="36"/>
    <x v="6"/>
    <x v="121"/>
  </r>
  <r>
    <x v="57"/>
    <x v="57"/>
    <x v="6"/>
    <x v="25"/>
  </r>
  <r>
    <x v="7"/>
    <x v="7"/>
    <x v="6"/>
    <x v="122"/>
  </r>
  <r>
    <x v="58"/>
    <x v="58"/>
    <x v="6"/>
    <x v="123"/>
  </r>
  <r>
    <x v="38"/>
    <x v="38"/>
    <x v="6"/>
    <x v="124"/>
  </r>
  <r>
    <x v="10"/>
    <x v="10"/>
    <x v="6"/>
    <x v="31"/>
  </r>
  <r>
    <x v="11"/>
    <x v="11"/>
    <x v="6"/>
    <x v="125"/>
  </r>
  <r>
    <x v="12"/>
    <x v="12"/>
    <x v="6"/>
    <x v="126"/>
  </r>
  <r>
    <x v="59"/>
    <x v="59"/>
    <x v="6"/>
    <x v="127"/>
  </r>
  <r>
    <x v="30"/>
    <x v="30"/>
    <x v="6"/>
    <x v="128"/>
  </r>
  <r>
    <x v="31"/>
    <x v="31"/>
    <x v="6"/>
    <x v="129"/>
  </r>
  <r>
    <x v="44"/>
    <x v="44"/>
    <x v="6"/>
    <x v="130"/>
  </r>
  <r>
    <x v="60"/>
    <x v="60"/>
    <x v="6"/>
    <x v="131"/>
  </r>
  <r>
    <x v="33"/>
    <x v="33"/>
    <x v="6"/>
    <x v="132"/>
  </r>
  <r>
    <x v="46"/>
    <x v="46"/>
    <x v="6"/>
    <x v="133"/>
  </r>
  <r>
    <x v="14"/>
    <x v="14"/>
    <x v="6"/>
    <x v="82"/>
  </r>
  <r>
    <x v="15"/>
    <x v="15"/>
    <x v="6"/>
    <x v="111"/>
  </r>
  <r>
    <x v="18"/>
    <x v="18"/>
    <x v="7"/>
    <x v="111"/>
  </r>
  <r>
    <x v="1"/>
    <x v="1"/>
    <x v="7"/>
    <x v="134"/>
  </r>
  <r>
    <x v="2"/>
    <x v="2"/>
    <x v="7"/>
    <x v="113"/>
  </r>
  <r>
    <x v="34"/>
    <x v="34"/>
    <x v="7"/>
    <x v="135"/>
  </r>
  <r>
    <x v="21"/>
    <x v="21"/>
    <x v="7"/>
    <x v="136"/>
  </r>
  <r>
    <x v="4"/>
    <x v="4"/>
    <x v="7"/>
    <x v="137"/>
  </r>
  <r>
    <x v="23"/>
    <x v="23"/>
    <x v="7"/>
    <x v="138"/>
  </r>
  <r>
    <x v="55"/>
    <x v="55"/>
    <x v="7"/>
    <x v="139"/>
  </r>
  <r>
    <x v="25"/>
    <x v="25"/>
    <x v="7"/>
    <x v="140"/>
  </r>
  <r>
    <x v="26"/>
    <x v="26"/>
    <x v="7"/>
    <x v="141"/>
  </r>
  <r>
    <x v="61"/>
    <x v="61"/>
    <x v="7"/>
    <x v="142"/>
  </r>
  <r>
    <x v="36"/>
    <x v="36"/>
    <x v="7"/>
    <x v="143"/>
  </r>
  <r>
    <x v="6"/>
    <x v="6"/>
    <x v="7"/>
    <x v="144"/>
  </r>
  <r>
    <x v="62"/>
    <x v="62"/>
    <x v="7"/>
    <x v="145"/>
  </r>
  <r>
    <x v="63"/>
    <x v="63"/>
    <x v="7"/>
    <x v="146"/>
  </r>
  <r>
    <x v="8"/>
    <x v="8"/>
    <x v="7"/>
    <x v="147"/>
  </r>
  <r>
    <x v="9"/>
    <x v="9"/>
    <x v="7"/>
    <x v="148"/>
  </r>
  <r>
    <x v="38"/>
    <x v="38"/>
    <x v="7"/>
    <x v="149"/>
  </r>
  <r>
    <x v="10"/>
    <x v="10"/>
    <x v="7"/>
    <x v="150"/>
  </r>
  <r>
    <x v="27"/>
    <x v="27"/>
    <x v="7"/>
    <x v="151"/>
  </r>
  <r>
    <x v="11"/>
    <x v="11"/>
    <x v="7"/>
    <x v="152"/>
  </r>
  <r>
    <x v="29"/>
    <x v="29"/>
    <x v="7"/>
    <x v="153"/>
  </r>
  <r>
    <x v="30"/>
    <x v="30"/>
    <x v="7"/>
    <x v="154"/>
  </r>
  <r>
    <x v="31"/>
    <x v="31"/>
    <x v="7"/>
    <x v="78"/>
  </r>
  <r>
    <x v="64"/>
    <x v="64"/>
    <x v="7"/>
    <x v="155"/>
  </r>
  <r>
    <x v="60"/>
    <x v="60"/>
    <x v="7"/>
    <x v="156"/>
  </r>
  <r>
    <x v="45"/>
    <x v="45"/>
    <x v="7"/>
    <x v="157"/>
  </r>
  <r>
    <x v="33"/>
    <x v="33"/>
    <x v="7"/>
    <x v="61"/>
  </r>
  <r>
    <x v="13"/>
    <x v="13"/>
    <x v="7"/>
    <x v="14"/>
  </r>
  <r>
    <x v="46"/>
    <x v="46"/>
    <x v="7"/>
    <x v="158"/>
  </r>
  <r>
    <x v="14"/>
    <x v="14"/>
    <x v="7"/>
    <x v="159"/>
  </r>
  <r>
    <x v="47"/>
    <x v="47"/>
    <x v="7"/>
    <x v="62"/>
  </r>
  <r>
    <x v="15"/>
    <x v="15"/>
    <x v="7"/>
    <x v="160"/>
  </r>
  <r>
    <x v="17"/>
    <x v="17"/>
    <x v="7"/>
    <x v="161"/>
  </r>
  <r>
    <x v="49"/>
    <x v="49"/>
    <x v="8"/>
    <x v="162"/>
  </r>
  <r>
    <x v="19"/>
    <x v="19"/>
    <x v="8"/>
    <x v="163"/>
  </r>
  <r>
    <x v="0"/>
    <x v="0"/>
    <x v="8"/>
    <x v="164"/>
  </r>
  <r>
    <x v="1"/>
    <x v="1"/>
    <x v="8"/>
    <x v="165"/>
  </r>
  <r>
    <x v="2"/>
    <x v="2"/>
    <x v="8"/>
    <x v="166"/>
  </r>
  <r>
    <x v="34"/>
    <x v="34"/>
    <x v="8"/>
    <x v="167"/>
  </r>
  <r>
    <x v="21"/>
    <x v="21"/>
    <x v="8"/>
    <x v="168"/>
  </r>
  <r>
    <x v="3"/>
    <x v="3"/>
    <x v="8"/>
    <x v="169"/>
  </r>
  <r>
    <x v="35"/>
    <x v="35"/>
    <x v="8"/>
    <x v="170"/>
  </r>
  <r>
    <x v="4"/>
    <x v="4"/>
    <x v="8"/>
    <x v="171"/>
  </r>
  <r>
    <x v="65"/>
    <x v="65"/>
    <x v="8"/>
    <x v="172"/>
  </r>
  <r>
    <x v="23"/>
    <x v="23"/>
    <x v="8"/>
    <x v="173"/>
  </r>
  <r>
    <x v="55"/>
    <x v="55"/>
    <x v="8"/>
    <x v="174"/>
  </r>
  <r>
    <x v="66"/>
    <x v="66"/>
    <x v="8"/>
    <x v="175"/>
  </r>
  <r>
    <x v="67"/>
    <x v="67"/>
    <x v="8"/>
    <x v="176"/>
  </r>
  <r>
    <x v="26"/>
    <x v="26"/>
    <x v="8"/>
    <x v="141"/>
  </r>
  <r>
    <x v="61"/>
    <x v="61"/>
    <x v="8"/>
    <x v="177"/>
  </r>
  <r>
    <x v="6"/>
    <x v="6"/>
    <x v="8"/>
    <x v="123"/>
  </r>
  <r>
    <x v="37"/>
    <x v="37"/>
    <x v="8"/>
    <x v="178"/>
  </r>
  <r>
    <x v="9"/>
    <x v="9"/>
    <x v="8"/>
    <x v="179"/>
  </r>
  <r>
    <x v="68"/>
    <x v="68"/>
    <x v="8"/>
    <x v="180"/>
  </r>
  <r>
    <x v="38"/>
    <x v="38"/>
    <x v="8"/>
    <x v="181"/>
  </r>
  <r>
    <x v="10"/>
    <x v="10"/>
    <x v="8"/>
    <x v="182"/>
  </r>
  <r>
    <x v="11"/>
    <x v="11"/>
    <x v="8"/>
    <x v="183"/>
  </r>
  <r>
    <x v="53"/>
    <x v="53"/>
    <x v="8"/>
    <x v="184"/>
  </r>
  <r>
    <x v="28"/>
    <x v="28"/>
    <x v="8"/>
    <x v="185"/>
  </r>
  <r>
    <x v="12"/>
    <x v="12"/>
    <x v="8"/>
    <x v="186"/>
  </r>
  <r>
    <x v="29"/>
    <x v="29"/>
    <x v="8"/>
    <x v="187"/>
  </r>
  <r>
    <x v="69"/>
    <x v="69"/>
    <x v="8"/>
    <x v="98"/>
  </r>
  <r>
    <x v="46"/>
    <x v="46"/>
    <x v="8"/>
    <x v="133"/>
  </r>
  <r>
    <x v="14"/>
    <x v="14"/>
    <x v="8"/>
    <x v="111"/>
  </r>
  <r>
    <x v="47"/>
    <x v="47"/>
    <x v="8"/>
    <x v="111"/>
  </r>
  <r>
    <x v="15"/>
    <x v="15"/>
    <x v="8"/>
    <x v="82"/>
  </r>
  <r>
    <x v="16"/>
    <x v="16"/>
    <x v="8"/>
    <x v="15"/>
  </r>
  <r>
    <x v="2"/>
    <x v="2"/>
    <x v="9"/>
    <x v="188"/>
  </r>
  <r>
    <x v="20"/>
    <x v="20"/>
    <x v="9"/>
    <x v="63"/>
  </r>
  <r>
    <x v="34"/>
    <x v="34"/>
    <x v="9"/>
    <x v="189"/>
  </r>
  <r>
    <x v="21"/>
    <x v="21"/>
    <x v="9"/>
    <x v="43"/>
  </r>
  <r>
    <x v="3"/>
    <x v="3"/>
    <x v="9"/>
    <x v="190"/>
  </r>
  <r>
    <x v="4"/>
    <x v="4"/>
    <x v="9"/>
    <x v="191"/>
  </r>
  <r>
    <x v="23"/>
    <x v="23"/>
    <x v="9"/>
    <x v="192"/>
  </r>
  <r>
    <x v="70"/>
    <x v="70"/>
    <x v="9"/>
    <x v="193"/>
  </r>
  <r>
    <x v="25"/>
    <x v="25"/>
    <x v="9"/>
    <x v="194"/>
  </r>
  <r>
    <x v="26"/>
    <x v="26"/>
    <x v="9"/>
    <x v="195"/>
  </r>
  <r>
    <x v="71"/>
    <x v="71"/>
    <x v="9"/>
    <x v="196"/>
  </r>
  <r>
    <x v="8"/>
    <x v="8"/>
    <x v="9"/>
    <x v="197"/>
  </r>
  <r>
    <x v="9"/>
    <x v="9"/>
    <x v="9"/>
    <x v="198"/>
  </r>
  <r>
    <x v="10"/>
    <x v="10"/>
    <x v="9"/>
    <x v="199"/>
  </r>
  <r>
    <x v="11"/>
    <x v="11"/>
    <x v="9"/>
    <x v="200"/>
  </r>
  <r>
    <x v="28"/>
    <x v="28"/>
    <x v="9"/>
    <x v="201"/>
  </r>
  <r>
    <x v="12"/>
    <x v="12"/>
    <x v="9"/>
    <x v="202"/>
  </r>
  <r>
    <x v="29"/>
    <x v="29"/>
    <x v="9"/>
    <x v="203"/>
  </r>
  <r>
    <x v="72"/>
    <x v="72"/>
    <x v="9"/>
    <x v="204"/>
  </r>
  <r>
    <x v="43"/>
    <x v="43"/>
    <x v="9"/>
    <x v="205"/>
  </r>
  <r>
    <x v="30"/>
    <x v="30"/>
    <x v="9"/>
    <x v="206"/>
  </r>
  <r>
    <x v="31"/>
    <x v="31"/>
    <x v="9"/>
    <x v="78"/>
  </r>
  <r>
    <x v="73"/>
    <x v="73"/>
    <x v="9"/>
    <x v="207"/>
  </r>
  <r>
    <x v="46"/>
    <x v="46"/>
    <x v="9"/>
    <x v="208"/>
  </r>
  <r>
    <x v="14"/>
    <x v="14"/>
    <x v="9"/>
    <x v="209"/>
  </r>
  <r>
    <x v="15"/>
    <x v="15"/>
    <x v="9"/>
    <x v="210"/>
  </r>
  <r>
    <x v="17"/>
    <x v="17"/>
    <x v="9"/>
    <x v="40"/>
  </r>
  <r>
    <x v="0"/>
    <x v="0"/>
    <x v="10"/>
    <x v="211"/>
  </r>
  <r>
    <x v="2"/>
    <x v="2"/>
    <x v="10"/>
    <x v="212"/>
  </r>
  <r>
    <x v="21"/>
    <x v="21"/>
    <x v="10"/>
    <x v="213"/>
  </r>
  <r>
    <x v="4"/>
    <x v="4"/>
    <x v="10"/>
    <x v="214"/>
  </r>
  <r>
    <x v="52"/>
    <x v="52"/>
    <x v="10"/>
    <x v="215"/>
  </r>
  <r>
    <x v="23"/>
    <x v="23"/>
    <x v="10"/>
    <x v="51"/>
  </r>
  <r>
    <x v="55"/>
    <x v="55"/>
    <x v="10"/>
    <x v="194"/>
  </r>
  <r>
    <x v="70"/>
    <x v="70"/>
    <x v="10"/>
    <x v="216"/>
  </r>
  <r>
    <x v="26"/>
    <x v="26"/>
    <x v="10"/>
    <x v="217"/>
  </r>
  <r>
    <x v="8"/>
    <x v="8"/>
    <x v="10"/>
    <x v="50"/>
  </r>
  <r>
    <x v="9"/>
    <x v="9"/>
    <x v="10"/>
    <x v="218"/>
  </r>
  <r>
    <x v="68"/>
    <x v="68"/>
    <x v="10"/>
    <x v="219"/>
  </r>
  <r>
    <x v="38"/>
    <x v="38"/>
    <x v="10"/>
    <x v="220"/>
  </r>
  <r>
    <x v="10"/>
    <x v="10"/>
    <x v="10"/>
    <x v="221"/>
  </r>
  <r>
    <x v="27"/>
    <x v="27"/>
    <x v="10"/>
    <x v="222"/>
  </r>
  <r>
    <x v="11"/>
    <x v="11"/>
    <x v="10"/>
    <x v="223"/>
  </r>
  <r>
    <x v="28"/>
    <x v="28"/>
    <x v="10"/>
    <x v="224"/>
  </r>
  <r>
    <x v="12"/>
    <x v="12"/>
    <x v="10"/>
    <x v="225"/>
  </r>
  <r>
    <x v="39"/>
    <x v="39"/>
    <x v="10"/>
    <x v="226"/>
  </r>
  <r>
    <x v="29"/>
    <x v="29"/>
    <x v="10"/>
    <x v="227"/>
  </r>
  <r>
    <x v="30"/>
    <x v="30"/>
    <x v="10"/>
    <x v="17"/>
  </r>
  <r>
    <x v="31"/>
    <x v="31"/>
    <x v="10"/>
    <x v="228"/>
  </r>
  <r>
    <x v="60"/>
    <x v="60"/>
    <x v="10"/>
    <x v="229"/>
  </r>
  <r>
    <x v="46"/>
    <x v="46"/>
    <x v="10"/>
    <x v="230"/>
  </r>
  <r>
    <x v="47"/>
    <x v="47"/>
    <x v="10"/>
    <x v="111"/>
  </r>
  <r>
    <x v="15"/>
    <x v="15"/>
    <x v="10"/>
    <x v="14"/>
  </r>
  <r>
    <x v="16"/>
    <x v="16"/>
    <x v="10"/>
    <x v="14"/>
  </r>
  <r>
    <x v="2"/>
    <x v="2"/>
    <x v="11"/>
    <x v="231"/>
  </r>
  <r>
    <x v="21"/>
    <x v="21"/>
    <x v="11"/>
    <x v="232"/>
  </r>
  <r>
    <x v="3"/>
    <x v="3"/>
    <x v="11"/>
    <x v="233"/>
  </r>
  <r>
    <x v="4"/>
    <x v="4"/>
    <x v="11"/>
    <x v="234"/>
  </r>
  <r>
    <x v="22"/>
    <x v="22"/>
    <x v="11"/>
    <x v="235"/>
  </r>
  <r>
    <x v="5"/>
    <x v="5"/>
    <x v="11"/>
    <x v="5"/>
  </r>
  <r>
    <x v="25"/>
    <x v="25"/>
    <x v="11"/>
    <x v="236"/>
  </r>
  <r>
    <x v="74"/>
    <x v="74"/>
    <x v="11"/>
    <x v="237"/>
  </r>
  <r>
    <x v="37"/>
    <x v="37"/>
    <x v="11"/>
    <x v="91"/>
  </r>
  <r>
    <x v="8"/>
    <x v="8"/>
    <x v="11"/>
    <x v="238"/>
  </r>
  <r>
    <x v="38"/>
    <x v="38"/>
    <x v="11"/>
    <x v="239"/>
  </r>
  <r>
    <x v="10"/>
    <x v="10"/>
    <x v="11"/>
    <x v="240"/>
  </r>
  <r>
    <x v="11"/>
    <x v="11"/>
    <x v="11"/>
    <x v="241"/>
  </r>
  <r>
    <x v="29"/>
    <x v="29"/>
    <x v="11"/>
    <x v="242"/>
  </r>
  <r>
    <x v="30"/>
    <x v="30"/>
    <x v="11"/>
    <x v="243"/>
  </r>
  <r>
    <x v="31"/>
    <x v="31"/>
    <x v="11"/>
    <x v="244"/>
  </r>
  <r>
    <x v="60"/>
    <x v="60"/>
    <x v="11"/>
    <x v="156"/>
  </r>
  <r>
    <x v="46"/>
    <x v="46"/>
    <x v="11"/>
    <x v="245"/>
  </r>
  <r>
    <x v="14"/>
    <x v="14"/>
    <x v="11"/>
    <x v="111"/>
  </r>
  <r>
    <x v="15"/>
    <x v="15"/>
    <x v="11"/>
    <x v="40"/>
  </r>
  <r>
    <x v="16"/>
    <x v="16"/>
    <x v="11"/>
    <x v="160"/>
  </r>
  <r>
    <x v="4"/>
    <x v="4"/>
    <x v="12"/>
    <x v="246"/>
  </r>
  <r>
    <x v="65"/>
    <x v="65"/>
    <x v="12"/>
    <x v="247"/>
  </r>
  <r>
    <x v="67"/>
    <x v="67"/>
    <x v="12"/>
    <x v="248"/>
  </r>
  <r>
    <x v="8"/>
    <x v="8"/>
    <x v="12"/>
    <x v="30"/>
  </r>
  <r>
    <x v="9"/>
    <x v="9"/>
    <x v="12"/>
    <x v="249"/>
  </r>
  <r>
    <x v="10"/>
    <x v="10"/>
    <x v="12"/>
    <x v="250"/>
  </r>
  <r>
    <x v="11"/>
    <x v="11"/>
    <x v="12"/>
    <x v="251"/>
  </r>
  <r>
    <x v="53"/>
    <x v="53"/>
    <x v="12"/>
    <x v="252"/>
  </r>
  <r>
    <x v="28"/>
    <x v="28"/>
    <x v="12"/>
    <x v="253"/>
  </r>
  <r>
    <x v="29"/>
    <x v="29"/>
    <x v="12"/>
    <x v="254"/>
  </r>
  <r>
    <x v="72"/>
    <x v="72"/>
    <x v="12"/>
    <x v="255"/>
  </r>
  <r>
    <x v="30"/>
    <x v="30"/>
    <x v="12"/>
    <x v="256"/>
  </r>
  <r>
    <x v="44"/>
    <x v="44"/>
    <x v="12"/>
    <x v="257"/>
  </r>
  <r>
    <x v="46"/>
    <x v="46"/>
    <x v="12"/>
    <x v="5"/>
  </r>
  <r>
    <x v="14"/>
    <x v="14"/>
    <x v="12"/>
    <x v="230"/>
  </r>
  <r>
    <x v="16"/>
    <x v="16"/>
    <x v="12"/>
    <x v="40"/>
  </r>
  <r>
    <x v="75"/>
    <x v="75"/>
    <x v="13"/>
    <x v="14"/>
  </r>
  <r>
    <x v="19"/>
    <x v="19"/>
    <x v="13"/>
    <x v="258"/>
  </r>
  <r>
    <x v="76"/>
    <x v="76"/>
    <x v="13"/>
    <x v="259"/>
  </r>
  <r>
    <x v="2"/>
    <x v="2"/>
    <x v="13"/>
    <x v="260"/>
  </r>
  <r>
    <x v="34"/>
    <x v="34"/>
    <x v="13"/>
    <x v="261"/>
  </r>
  <r>
    <x v="21"/>
    <x v="21"/>
    <x v="13"/>
    <x v="262"/>
  </r>
  <r>
    <x v="35"/>
    <x v="35"/>
    <x v="13"/>
    <x v="263"/>
  </r>
  <r>
    <x v="4"/>
    <x v="4"/>
    <x v="13"/>
    <x v="264"/>
  </r>
  <r>
    <x v="5"/>
    <x v="5"/>
    <x v="13"/>
    <x v="265"/>
  </r>
  <r>
    <x v="65"/>
    <x v="65"/>
    <x v="13"/>
    <x v="266"/>
  </r>
  <r>
    <x v="56"/>
    <x v="56"/>
    <x v="13"/>
    <x v="267"/>
  </r>
  <r>
    <x v="26"/>
    <x v="26"/>
    <x v="13"/>
    <x v="268"/>
  </r>
  <r>
    <x v="77"/>
    <x v="77"/>
    <x v="13"/>
    <x v="269"/>
  </r>
  <r>
    <x v="37"/>
    <x v="37"/>
    <x v="13"/>
    <x v="91"/>
  </r>
  <r>
    <x v="8"/>
    <x v="8"/>
    <x v="13"/>
    <x v="270"/>
  </r>
  <r>
    <x v="9"/>
    <x v="9"/>
    <x v="13"/>
    <x v="271"/>
  </r>
  <r>
    <x v="38"/>
    <x v="38"/>
    <x v="13"/>
    <x v="272"/>
  </r>
  <r>
    <x v="10"/>
    <x v="10"/>
    <x v="13"/>
    <x v="273"/>
  </r>
  <r>
    <x v="11"/>
    <x v="11"/>
    <x v="13"/>
    <x v="274"/>
  </r>
  <r>
    <x v="53"/>
    <x v="53"/>
    <x v="13"/>
    <x v="64"/>
  </r>
  <r>
    <x v="12"/>
    <x v="12"/>
    <x v="13"/>
    <x v="275"/>
  </r>
  <r>
    <x v="59"/>
    <x v="59"/>
    <x v="13"/>
    <x v="276"/>
  </r>
  <r>
    <x v="29"/>
    <x v="29"/>
    <x v="13"/>
    <x v="277"/>
  </r>
  <r>
    <x v="30"/>
    <x v="30"/>
    <x v="13"/>
    <x v="278"/>
  </r>
  <r>
    <x v="31"/>
    <x v="31"/>
    <x v="13"/>
    <x v="279"/>
  </r>
  <r>
    <x v="51"/>
    <x v="51"/>
    <x v="13"/>
    <x v="96"/>
  </r>
  <r>
    <x v="46"/>
    <x v="46"/>
    <x v="13"/>
    <x v="63"/>
  </r>
  <r>
    <x v="47"/>
    <x v="47"/>
    <x v="13"/>
    <x v="40"/>
  </r>
  <r>
    <x v="78"/>
    <x v="78"/>
    <x v="13"/>
    <x v="40"/>
  </r>
  <r>
    <x v="15"/>
    <x v="15"/>
    <x v="13"/>
    <x v="16"/>
  </r>
  <r>
    <x v="16"/>
    <x v="16"/>
    <x v="13"/>
    <x v="230"/>
  </r>
  <r>
    <x v="17"/>
    <x v="17"/>
    <x v="13"/>
    <x v="159"/>
  </r>
  <r>
    <x v="2"/>
    <x v="2"/>
    <x v="14"/>
    <x v="81"/>
  </r>
  <r>
    <x v="20"/>
    <x v="20"/>
    <x v="14"/>
    <x v="65"/>
  </r>
  <r>
    <x v="21"/>
    <x v="21"/>
    <x v="14"/>
    <x v="280"/>
  </r>
  <r>
    <x v="4"/>
    <x v="4"/>
    <x v="14"/>
    <x v="281"/>
  </r>
  <r>
    <x v="23"/>
    <x v="23"/>
    <x v="14"/>
    <x v="282"/>
  </r>
  <r>
    <x v="56"/>
    <x v="56"/>
    <x v="14"/>
    <x v="120"/>
  </r>
  <r>
    <x v="26"/>
    <x v="26"/>
    <x v="14"/>
    <x v="283"/>
  </r>
  <r>
    <x v="36"/>
    <x v="36"/>
    <x v="14"/>
    <x v="284"/>
  </r>
  <r>
    <x v="74"/>
    <x v="74"/>
    <x v="14"/>
    <x v="285"/>
  </r>
  <r>
    <x v="77"/>
    <x v="77"/>
    <x v="14"/>
    <x v="286"/>
  </r>
  <r>
    <x v="63"/>
    <x v="63"/>
    <x v="14"/>
    <x v="287"/>
  </r>
  <r>
    <x v="8"/>
    <x v="8"/>
    <x v="14"/>
    <x v="288"/>
  </r>
  <r>
    <x v="9"/>
    <x v="9"/>
    <x v="14"/>
    <x v="289"/>
  </r>
  <r>
    <x v="10"/>
    <x v="10"/>
    <x v="14"/>
    <x v="290"/>
  </r>
  <r>
    <x v="11"/>
    <x v="11"/>
    <x v="14"/>
    <x v="291"/>
  </r>
  <r>
    <x v="28"/>
    <x v="28"/>
    <x v="14"/>
    <x v="292"/>
  </r>
  <r>
    <x v="29"/>
    <x v="29"/>
    <x v="14"/>
    <x v="293"/>
  </r>
  <r>
    <x v="30"/>
    <x v="30"/>
    <x v="14"/>
    <x v="294"/>
  </r>
  <r>
    <x v="31"/>
    <x v="31"/>
    <x v="14"/>
    <x v="295"/>
  </r>
  <r>
    <x v="44"/>
    <x v="44"/>
    <x v="14"/>
    <x v="296"/>
  </r>
  <r>
    <x v="32"/>
    <x v="32"/>
    <x v="14"/>
    <x v="297"/>
  </r>
  <r>
    <x v="60"/>
    <x v="60"/>
    <x v="14"/>
    <x v="298"/>
  </r>
  <r>
    <x v="13"/>
    <x v="13"/>
    <x v="14"/>
    <x v="13"/>
  </r>
  <r>
    <x v="46"/>
    <x v="46"/>
    <x v="14"/>
    <x v="299"/>
  </r>
  <r>
    <x v="14"/>
    <x v="14"/>
    <x v="14"/>
    <x v="82"/>
  </r>
  <r>
    <x v="47"/>
    <x v="47"/>
    <x v="14"/>
    <x v="230"/>
  </r>
  <r>
    <x v="15"/>
    <x v="15"/>
    <x v="14"/>
    <x v="14"/>
  </r>
  <r>
    <x v="17"/>
    <x v="17"/>
    <x v="14"/>
    <x v="300"/>
  </r>
  <r>
    <x v="76"/>
    <x v="76"/>
    <x v="15"/>
    <x v="301"/>
  </r>
  <r>
    <x v="2"/>
    <x v="2"/>
    <x v="15"/>
    <x v="231"/>
  </r>
  <r>
    <x v="20"/>
    <x v="20"/>
    <x v="15"/>
    <x v="63"/>
  </r>
  <r>
    <x v="21"/>
    <x v="21"/>
    <x v="15"/>
    <x v="302"/>
  </r>
  <r>
    <x v="4"/>
    <x v="4"/>
    <x v="15"/>
    <x v="303"/>
  </r>
  <r>
    <x v="52"/>
    <x v="52"/>
    <x v="15"/>
    <x v="304"/>
  </r>
  <r>
    <x v="23"/>
    <x v="23"/>
    <x v="15"/>
    <x v="305"/>
  </r>
  <r>
    <x v="26"/>
    <x v="26"/>
    <x v="15"/>
    <x v="89"/>
  </r>
  <r>
    <x v="79"/>
    <x v="79"/>
    <x v="15"/>
    <x v="306"/>
  </r>
  <r>
    <x v="6"/>
    <x v="6"/>
    <x v="15"/>
    <x v="307"/>
  </r>
  <r>
    <x v="7"/>
    <x v="7"/>
    <x v="15"/>
    <x v="76"/>
  </r>
  <r>
    <x v="71"/>
    <x v="71"/>
    <x v="15"/>
    <x v="308"/>
  </r>
  <r>
    <x v="68"/>
    <x v="68"/>
    <x v="15"/>
    <x v="309"/>
  </r>
  <r>
    <x v="10"/>
    <x v="10"/>
    <x v="15"/>
    <x v="310"/>
  </r>
  <r>
    <x v="11"/>
    <x v="11"/>
    <x v="15"/>
    <x v="311"/>
  </r>
  <r>
    <x v="28"/>
    <x v="28"/>
    <x v="15"/>
    <x v="312"/>
  </r>
  <r>
    <x v="12"/>
    <x v="12"/>
    <x v="15"/>
    <x v="313"/>
  </r>
  <r>
    <x v="29"/>
    <x v="29"/>
    <x v="15"/>
    <x v="314"/>
  </r>
  <r>
    <x v="72"/>
    <x v="72"/>
    <x v="15"/>
    <x v="315"/>
  </r>
  <r>
    <x v="30"/>
    <x v="30"/>
    <x v="15"/>
    <x v="316"/>
  </r>
  <r>
    <x v="80"/>
    <x v="80"/>
    <x v="15"/>
    <x v="317"/>
  </r>
  <r>
    <x v="46"/>
    <x v="46"/>
    <x v="15"/>
    <x v="318"/>
  </r>
  <r>
    <x v="14"/>
    <x v="14"/>
    <x v="15"/>
    <x v="40"/>
  </r>
  <r>
    <x v="17"/>
    <x v="17"/>
    <x v="15"/>
    <x v="319"/>
  </r>
  <r>
    <x v="18"/>
    <x v="18"/>
    <x v="16"/>
    <x v="111"/>
  </r>
  <r>
    <x v="2"/>
    <x v="2"/>
    <x v="16"/>
    <x v="231"/>
  </r>
  <r>
    <x v="34"/>
    <x v="34"/>
    <x v="16"/>
    <x v="320"/>
  </r>
  <r>
    <x v="21"/>
    <x v="21"/>
    <x v="16"/>
    <x v="321"/>
  </r>
  <r>
    <x v="4"/>
    <x v="4"/>
    <x v="16"/>
    <x v="322"/>
  </r>
  <r>
    <x v="65"/>
    <x v="65"/>
    <x v="16"/>
    <x v="323"/>
  </r>
  <r>
    <x v="23"/>
    <x v="23"/>
    <x v="16"/>
    <x v="101"/>
  </r>
  <r>
    <x v="55"/>
    <x v="55"/>
    <x v="16"/>
    <x v="324"/>
  </r>
  <r>
    <x v="26"/>
    <x v="26"/>
    <x v="16"/>
    <x v="325"/>
  </r>
  <r>
    <x v="61"/>
    <x v="61"/>
    <x v="16"/>
    <x v="326"/>
  </r>
  <r>
    <x v="36"/>
    <x v="36"/>
    <x v="16"/>
    <x v="327"/>
  </r>
  <r>
    <x v="8"/>
    <x v="8"/>
    <x v="16"/>
    <x v="328"/>
  </r>
  <r>
    <x v="9"/>
    <x v="9"/>
    <x v="16"/>
    <x v="329"/>
  </r>
  <r>
    <x v="38"/>
    <x v="38"/>
    <x v="16"/>
    <x v="330"/>
  </r>
  <r>
    <x v="10"/>
    <x v="10"/>
    <x v="16"/>
    <x v="331"/>
  </r>
  <r>
    <x v="11"/>
    <x v="11"/>
    <x v="16"/>
    <x v="332"/>
  </r>
  <r>
    <x v="28"/>
    <x v="28"/>
    <x v="16"/>
    <x v="333"/>
  </r>
  <r>
    <x v="29"/>
    <x v="29"/>
    <x v="16"/>
    <x v="57"/>
  </r>
  <r>
    <x v="72"/>
    <x v="72"/>
    <x v="16"/>
    <x v="334"/>
  </r>
  <r>
    <x v="30"/>
    <x v="30"/>
    <x v="16"/>
    <x v="335"/>
  </r>
  <r>
    <x v="31"/>
    <x v="31"/>
    <x v="16"/>
    <x v="336"/>
  </r>
  <r>
    <x v="64"/>
    <x v="64"/>
    <x v="16"/>
    <x v="337"/>
  </r>
  <r>
    <x v="32"/>
    <x v="32"/>
    <x v="16"/>
    <x v="338"/>
  </r>
  <r>
    <x v="46"/>
    <x v="46"/>
    <x v="16"/>
    <x v="162"/>
  </r>
  <r>
    <x v="15"/>
    <x v="15"/>
    <x v="16"/>
    <x v="339"/>
  </r>
  <r>
    <x v="0"/>
    <x v="0"/>
    <x v="17"/>
    <x v="340"/>
  </r>
  <r>
    <x v="2"/>
    <x v="2"/>
    <x v="17"/>
    <x v="341"/>
  </r>
  <r>
    <x v="20"/>
    <x v="20"/>
    <x v="17"/>
    <x v="342"/>
  </r>
  <r>
    <x v="34"/>
    <x v="34"/>
    <x v="17"/>
    <x v="192"/>
  </r>
  <r>
    <x v="21"/>
    <x v="21"/>
    <x v="17"/>
    <x v="343"/>
  </r>
  <r>
    <x v="3"/>
    <x v="3"/>
    <x v="17"/>
    <x v="344"/>
  </r>
  <r>
    <x v="35"/>
    <x v="35"/>
    <x v="17"/>
    <x v="345"/>
  </r>
  <r>
    <x v="4"/>
    <x v="4"/>
    <x v="17"/>
    <x v="346"/>
  </r>
  <r>
    <x v="5"/>
    <x v="5"/>
    <x v="17"/>
    <x v="347"/>
  </r>
  <r>
    <x v="23"/>
    <x v="23"/>
    <x v="17"/>
    <x v="348"/>
  </r>
  <r>
    <x v="55"/>
    <x v="55"/>
    <x v="17"/>
    <x v="349"/>
  </r>
  <r>
    <x v="70"/>
    <x v="70"/>
    <x v="17"/>
    <x v="350"/>
  </r>
  <r>
    <x v="67"/>
    <x v="67"/>
    <x v="17"/>
    <x v="248"/>
  </r>
  <r>
    <x v="26"/>
    <x v="26"/>
    <x v="17"/>
    <x v="195"/>
  </r>
  <r>
    <x v="37"/>
    <x v="37"/>
    <x v="17"/>
    <x v="351"/>
  </r>
  <r>
    <x v="8"/>
    <x v="8"/>
    <x v="17"/>
    <x v="30"/>
  </r>
  <r>
    <x v="9"/>
    <x v="9"/>
    <x v="17"/>
    <x v="352"/>
  </r>
  <r>
    <x v="38"/>
    <x v="38"/>
    <x v="17"/>
    <x v="353"/>
  </r>
  <r>
    <x v="10"/>
    <x v="10"/>
    <x v="17"/>
    <x v="354"/>
  </r>
  <r>
    <x v="11"/>
    <x v="11"/>
    <x v="17"/>
    <x v="355"/>
  </r>
  <r>
    <x v="12"/>
    <x v="12"/>
    <x v="17"/>
    <x v="356"/>
  </r>
  <r>
    <x v="29"/>
    <x v="29"/>
    <x v="17"/>
    <x v="357"/>
  </r>
  <r>
    <x v="30"/>
    <x v="30"/>
    <x v="17"/>
    <x v="161"/>
  </r>
  <r>
    <x v="81"/>
    <x v="81"/>
    <x v="17"/>
    <x v="358"/>
  </r>
  <r>
    <x v="31"/>
    <x v="31"/>
    <x v="17"/>
    <x v="359"/>
  </r>
  <r>
    <x v="33"/>
    <x v="33"/>
    <x v="17"/>
    <x v="360"/>
  </r>
  <r>
    <x v="69"/>
    <x v="69"/>
    <x v="17"/>
    <x v="16"/>
  </r>
  <r>
    <x v="13"/>
    <x v="13"/>
    <x v="17"/>
    <x v="161"/>
  </r>
  <r>
    <x v="46"/>
    <x v="46"/>
    <x v="17"/>
    <x v="160"/>
  </r>
  <r>
    <x v="14"/>
    <x v="14"/>
    <x v="17"/>
    <x v="16"/>
  </r>
  <r>
    <x v="15"/>
    <x v="15"/>
    <x v="17"/>
    <x v="245"/>
  </r>
  <r>
    <x v="2"/>
    <x v="2"/>
    <x v="18"/>
    <x v="361"/>
  </r>
  <r>
    <x v="20"/>
    <x v="20"/>
    <x v="18"/>
    <x v="22"/>
  </r>
  <r>
    <x v="21"/>
    <x v="21"/>
    <x v="18"/>
    <x v="362"/>
  </r>
  <r>
    <x v="4"/>
    <x v="4"/>
    <x v="18"/>
    <x v="363"/>
  </r>
  <r>
    <x v="52"/>
    <x v="52"/>
    <x v="18"/>
    <x v="364"/>
  </r>
  <r>
    <x v="23"/>
    <x v="23"/>
    <x v="18"/>
    <x v="365"/>
  </r>
  <r>
    <x v="55"/>
    <x v="55"/>
    <x v="18"/>
    <x v="366"/>
  </r>
  <r>
    <x v="67"/>
    <x v="67"/>
    <x v="18"/>
    <x v="367"/>
  </r>
  <r>
    <x v="25"/>
    <x v="25"/>
    <x v="18"/>
    <x v="368"/>
  </r>
  <r>
    <x v="26"/>
    <x v="26"/>
    <x v="18"/>
    <x v="369"/>
  </r>
  <r>
    <x v="63"/>
    <x v="63"/>
    <x v="18"/>
    <x v="370"/>
  </r>
  <r>
    <x v="8"/>
    <x v="8"/>
    <x v="18"/>
    <x v="147"/>
  </r>
  <r>
    <x v="10"/>
    <x v="10"/>
    <x v="18"/>
    <x v="371"/>
  </r>
  <r>
    <x v="27"/>
    <x v="27"/>
    <x v="18"/>
    <x v="372"/>
  </r>
  <r>
    <x v="11"/>
    <x v="11"/>
    <x v="18"/>
    <x v="373"/>
  </r>
  <r>
    <x v="12"/>
    <x v="12"/>
    <x v="18"/>
    <x v="374"/>
  </r>
  <r>
    <x v="29"/>
    <x v="29"/>
    <x v="18"/>
    <x v="375"/>
  </r>
  <r>
    <x v="30"/>
    <x v="30"/>
    <x v="18"/>
    <x v="77"/>
  </r>
  <r>
    <x v="46"/>
    <x v="46"/>
    <x v="18"/>
    <x v="376"/>
  </r>
  <r>
    <x v="14"/>
    <x v="14"/>
    <x v="18"/>
    <x v="82"/>
  </r>
  <r>
    <x v="15"/>
    <x v="15"/>
    <x v="18"/>
    <x v="98"/>
  </r>
  <r>
    <x v="17"/>
    <x v="17"/>
    <x v="18"/>
    <x v="111"/>
  </r>
  <r>
    <x v="0"/>
    <x v="0"/>
    <x v="19"/>
    <x v="377"/>
  </r>
  <r>
    <x v="76"/>
    <x v="76"/>
    <x v="19"/>
    <x v="378"/>
  </r>
  <r>
    <x v="2"/>
    <x v="2"/>
    <x v="19"/>
    <x v="379"/>
  </r>
  <r>
    <x v="21"/>
    <x v="21"/>
    <x v="19"/>
    <x v="380"/>
  </r>
  <r>
    <x v="3"/>
    <x v="3"/>
    <x v="19"/>
    <x v="381"/>
  </r>
  <r>
    <x v="35"/>
    <x v="35"/>
    <x v="19"/>
    <x v="382"/>
  </r>
  <r>
    <x v="4"/>
    <x v="4"/>
    <x v="19"/>
    <x v="383"/>
  </r>
  <r>
    <x v="5"/>
    <x v="5"/>
    <x v="19"/>
    <x v="384"/>
  </r>
  <r>
    <x v="65"/>
    <x v="65"/>
    <x v="19"/>
    <x v="172"/>
  </r>
  <r>
    <x v="23"/>
    <x v="23"/>
    <x v="19"/>
    <x v="385"/>
  </r>
  <r>
    <x v="26"/>
    <x v="26"/>
    <x v="19"/>
    <x v="268"/>
  </r>
  <r>
    <x v="82"/>
    <x v="82"/>
    <x v="19"/>
    <x v="386"/>
  </r>
  <r>
    <x v="8"/>
    <x v="8"/>
    <x v="19"/>
    <x v="147"/>
  </r>
  <r>
    <x v="9"/>
    <x v="9"/>
    <x v="19"/>
    <x v="387"/>
  </r>
  <r>
    <x v="38"/>
    <x v="38"/>
    <x v="19"/>
    <x v="293"/>
  </r>
  <r>
    <x v="10"/>
    <x v="10"/>
    <x v="19"/>
    <x v="388"/>
  </r>
  <r>
    <x v="29"/>
    <x v="29"/>
    <x v="19"/>
    <x v="389"/>
  </r>
  <r>
    <x v="72"/>
    <x v="72"/>
    <x v="19"/>
    <x v="390"/>
  </r>
  <r>
    <x v="31"/>
    <x v="31"/>
    <x v="19"/>
    <x v="391"/>
  </r>
  <r>
    <x v="60"/>
    <x v="60"/>
    <x v="19"/>
    <x v="298"/>
  </r>
  <r>
    <x v="51"/>
    <x v="51"/>
    <x v="19"/>
    <x v="96"/>
  </r>
  <r>
    <x v="13"/>
    <x v="13"/>
    <x v="19"/>
    <x v="98"/>
  </r>
  <r>
    <x v="46"/>
    <x v="46"/>
    <x v="19"/>
    <x v="159"/>
  </r>
  <r>
    <x v="14"/>
    <x v="14"/>
    <x v="19"/>
    <x v="85"/>
  </r>
  <r>
    <x v="78"/>
    <x v="78"/>
    <x v="19"/>
    <x v="40"/>
  </r>
  <r>
    <x v="15"/>
    <x v="15"/>
    <x v="19"/>
    <x v="245"/>
  </r>
  <r>
    <x v="16"/>
    <x v="16"/>
    <x v="19"/>
    <x v="85"/>
  </r>
  <r>
    <x v="17"/>
    <x v="17"/>
    <x v="19"/>
    <x v="392"/>
  </r>
  <r>
    <x v="19"/>
    <x v="19"/>
    <x v="20"/>
    <x v="393"/>
  </r>
  <r>
    <x v="0"/>
    <x v="0"/>
    <x v="20"/>
    <x v="394"/>
  </r>
  <r>
    <x v="76"/>
    <x v="76"/>
    <x v="20"/>
    <x v="395"/>
  </r>
  <r>
    <x v="2"/>
    <x v="2"/>
    <x v="20"/>
    <x v="396"/>
  </r>
  <r>
    <x v="21"/>
    <x v="21"/>
    <x v="20"/>
    <x v="397"/>
  </r>
  <r>
    <x v="35"/>
    <x v="35"/>
    <x v="20"/>
    <x v="398"/>
  </r>
  <r>
    <x v="4"/>
    <x v="4"/>
    <x v="20"/>
    <x v="399"/>
  </r>
  <r>
    <x v="5"/>
    <x v="5"/>
    <x v="20"/>
    <x v="400"/>
  </r>
  <r>
    <x v="55"/>
    <x v="55"/>
    <x v="20"/>
    <x v="401"/>
  </r>
  <r>
    <x v="67"/>
    <x v="67"/>
    <x v="20"/>
    <x v="402"/>
  </r>
  <r>
    <x v="74"/>
    <x v="74"/>
    <x v="20"/>
    <x v="403"/>
  </r>
  <r>
    <x v="82"/>
    <x v="82"/>
    <x v="20"/>
    <x v="404"/>
  </r>
  <r>
    <x v="7"/>
    <x v="7"/>
    <x v="20"/>
    <x v="405"/>
  </r>
  <r>
    <x v="37"/>
    <x v="37"/>
    <x v="20"/>
    <x v="406"/>
  </r>
  <r>
    <x v="8"/>
    <x v="8"/>
    <x v="20"/>
    <x v="407"/>
  </r>
  <r>
    <x v="9"/>
    <x v="9"/>
    <x v="20"/>
    <x v="408"/>
  </r>
  <r>
    <x v="38"/>
    <x v="38"/>
    <x v="20"/>
    <x v="409"/>
  </r>
  <r>
    <x v="10"/>
    <x v="10"/>
    <x v="20"/>
    <x v="410"/>
  </r>
  <r>
    <x v="11"/>
    <x v="11"/>
    <x v="20"/>
    <x v="411"/>
  </r>
  <r>
    <x v="28"/>
    <x v="28"/>
    <x v="20"/>
    <x v="412"/>
  </r>
  <r>
    <x v="12"/>
    <x v="12"/>
    <x v="20"/>
    <x v="413"/>
  </r>
  <r>
    <x v="29"/>
    <x v="29"/>
    <x v="20"/>
    <x v="414"/>
  </r>
  <r>
    <x v="30"/>
    <x v="30"/>
    <x v="20"/>
    <x v="36"/>
  </r>
  <r>
    <x v="46"/>
    <x v="46"/>
    <x v="20"/>
    <x v="318"/>
  </r>
  <r>
    <x v="14"/>
    <x v="14"/>
    <x v="20"/>
    <x v="63"/>
  </r>
  <r>
    <x v="47"/>
    <x v="47"/>
    <x v="20"/>
    <x v="160"/>
  </r>
  <r>
    <x v="15"/>
    <x v="15"/>
    <x v="20"/>
    <x v="62"/>
  </r>
  <r>
    <x v="1"/>
    <x v="1"/>
    <x v="21"/>
    <x v="415"/>
  </r>
  <r>
    <x v="2"/>
    <x v="2"/>
    <x v="21"/>
    <x v="416"/>
  </r>
  <r>
    <x v="20"/>
    <x v="20"/>
    <x v="21"/>
    <x v="417"/>
  </r>
  <r>
    <x v="34"/>
    <x v="34"/>
    <x v="21"/>
    <x v="418"/>
  </r>
  <r>
    <x v="21"/>
    <x v="21"/>
    <x v="21"/>
    <x v="419"/>
  </r>
  <r>
    <x v="3"/>
    <x v="3"/>
    <x v="21"/>
    <x v="420"/>
  </r>
  <r>
    <x v="35"/>
    <x v="35"/>
    <x v="21"/>
    <x v="398"/>
  </r>
  <r>
    <x v="52"/>
    <x v="52"/>
    <x v="21"/>
    <x v="421"/>
  </r>
  <r>
    <x v="5"/>
    <x v="5"/>
    <x v="21"/>
    <x v="422"/>
  </r>
  <r>
    <x v="23"/>
    <x v="23"/>
    <x v="21"/>
    <x v="305"/>
  </r>
  <r>
    <x v="26"/>
    <x v="26"/>
    <x v="21"/>
    <x v="195"/>
  </r>
  <r>
    <x v="36"/>
    <x v="36"/>
    <x v="21"/>
    <x v="423"/>
  </r>
  <r>
    <x v="63"/>
    <x v="63"/>
    <x v="21"/>
    <x v="424"/>
  </r>
  <r>
    <x v="7"/>
    <x v="7"/>
    <x v="21"/>
    <x v="76"/>
  </r>
  <r>
    <x v="8"/>
    <x v="8"/>
    <x v="21"/>
    <x v="50"/>
  </r>
  <r>
    <x v="58"/>
    <x v="58"/>
    <x v="21"/>
    <x v="123"/>
  </r>
  <r>
    <x v="9"/>
    <x v="9"/>
    <x v="21"/>
    <x v="289"/>
  </r>
  <r>
    <x v="68"/>
    <x v="68"/>
    <x v="21"/>
    <x v="425"/>
  </r>
  <r>
    <x v="10"/>
    <x v="10"/>
    <x v="21"/>
    <x v="426"/>
  </r>
  <r>
    <x v="11"/>
    <x v="11"/>
    <x v="21"/>
    <x v="427"/>
  </r>
  <r>
    <x v="28"/>
    <x v="28"/>
    <x v="21"/>
    <x v="428"/>
  </r>
  <r>
    <x v="12"/>
    <x v="12"/>
    <x v="21"/>
    <x v="429"/>
  </r>
  <r>
    <x v="29"/>
    <x v="29"/>
    <x v="21"/>
    <x v="430"/>
  </r>
  <r>
    <x v="30"/>
    <x v="30"/>
    <x v="21"/>
    <x v="431"/>
  </r>
  <r>
    <x v="31"/>
    <x v="31"/>
    <x v="21"/>
    <x v="432"/>
  </r>
  <r>
    <x v="73"/>
    <x v="73"/>
    <x v="21"/>
    <x v="433"/>
  </r>
  <r>
    <x v="32"/>
    <x v="32"/>
    <x v="21"/>
    <x v="434"/>
  </r>
  <r>
    <x v="46"/>
    <x v="46"/>
    <x v="21"/>
    <x v="435"/>
  </r>
  <r>
    <x v="14"/>
    <x v="14"/>
    <x v="21"/>
    <x v="98"/>
  </r>
  <r>
    <x v="78"/>
    <x v="78"/>
    <x v="21"/>
    <x v="133"/>
  </r>
  <r>
    <x v="15"/>
    <x v="15"/>
    <x v="21"/>
    <x v="18"/>
  </r>
  <r>
    <x v="16"/>
    <x v="16"/>
    <x v="21"/>
    <x v="111"/>
  </r>
  <r>
    <x v="41"/>
    <x v="41"/>
    <x v="22"/>
    <x v="85"/>
  </r>
  <r>
    <x v="0"/>
    <x v="0"/>
    <x v="22"/>
    <x v="404"/>
  </r>
  <r>
    <x v="2"/>
    <x v="2"/>
    <x v="22"/>
    <x v="436"/>
  </r>
  <r>
    <x v="20"/>
    <x v="20"/>
    <x v="22"/>
    <x v="65"/>
  </r>
  <r>
    <x v="21"/>
    <x v="21"/>
    <x v="22"/>
    <x v="437"/>
  </r>
  <r>
    <x v="35"/>
    <x v="35"/>
    <x v="22"/>
    <x v="438"/>
  </r>
  <r>
    <x v="4"/>
    <x v="4"/>
    <x v="22"/>
    <x v="88"/>
  </r>
  <r>
    <x v="23"/>
    <x v="23"/>
    <x v="22"/>
    <x v="439"/>
  </r>
  <r>
    <x v="67"/>
    <x v="67"/>
    <x v="22"/>
    <x v="440"/>
  </r>
  <r>
    <x v="26"/>
    <x v="26"/>
    <x v="22"/>
    <x v="441"/>
  </r>
  <r>
    <x v="6"/>
    <x v="6"/>
    <x v="22"/>
    <x v="90"/>
  </r>
  <r>
    <x v="37"/>
    <x v="37"/>
    <x v="22"/>
    <x v="442"/>
  </r>
  <r>
    <x v="9"/>
    <x v="9"/>
    <x v="22"/>
    <x v="443"/>
  </r>
  <r>
    <x v="38"/>
    <x v="38"/>
    <x v="22"/>
    <x v="444"/>
  </r>
  <r>
    <x v="10"/>
    <x v="10"/>
    <x v="22"/>
    <x v="395"/>
  </r>
  <r>
    <x v="11"/>
    <x v="11"/>
    <x v="22"/>
    <x v="445"/>
  </r>
  <r>
    <x v="53"/>
    <x v="53"/>
    <x v="22"/>
    <x v="252"/>
  </r>
  <r>
    <x v="29"/>
    <x v="29"/>
    <x v="22"/>
    <x v="446"/>
  </r>
  <r>
    <x v="46"/>
    <x v="46"/>
    <x v="22"/>
    <x v="160"/>
  </r>
  <r>
    <x v="78"/>
    <x v="78"/>
    <x v="22"/>
    <x v="447"/>
  </r>
  <r>
    <x v="15"/>
    <x v="15"/>
    <x v="22"/>
    <x v="14"/>
  </r>
  <r>
    <x v="83"/>
    <x v="83"/>
    <x v="22"/>
    <x v="62"/>
  </r>
  <r>
    <x v="50"/>
    <x v="50"/>
    <x v="23"/>
    <x v="98"/>
  </r>
  <r>
    <x v="19"/>
    <x v="19"/>
    <x v="23"/>
    <x v="448"/>
  </r>
  <r>
    <x v="0"/>
    <x v="0"/>
    <x v="23"/>
    <x v="404"/>
  </r>
  <r>
    <x v="76"/>
    <x v="76"/>
    <x v="23"/>
    <x v="449"/>
  </r>
  <r>
    <x v="2"/>
    <x v="2"/>
    <x v="23"/>
    <x v="450"/>
  </r>
  <r>
    <x v="20"/>
    <x v="20"/>
    <x v="23"/>
    <x v="65"/>
  </r>
  <r>
    <x v="21"/>
    <x v="21"/>
    <x v="23"/>
    <x v="451"/>
  </r>
  <r>
    <x v="3"/>
    <x v="3"/>
    <x v="23"/>
    <x v="452"/>
  </r>
  <r>
    <x v="35"/>
    <x v="35"/>
    <x v="23"/>
    <x v="453"/>
  </r>
  <r>
    <x v="4"/>
    <x v="4"/>
    <x v="23"/>
    <x v="454"/>
  </r>
  <r>
    <x v="5"/>
    <x v="5"/>
    <x v="23"/>
    <x v="455"/>
  </r>
  <r>
    <x v="36"/>
    <x v="36"/>
    <x v="23"/>
    <x v="456"/>
  </r>
  <r>
    <x v="77"/>
    <x v="77"/>
    <x v="23"/>
    <x v="22"/>
  </r>
  <r>
    <x v="7"/>
    <x v="7"/>
    <x v="23"/>
    <x v="7"/>
  </r>
  <r>
    <x v="37"/>
    <x v="37"/>
    <x v="23"/>
    <x v="457"/>
  </r>
  <r>
    <x v="8"/>
    <x v="8"/>
    <x v="23"/>
    <x v="288"/>
  </r>
  <r>
    <x v="9"/>
    <x v="9"/>
    <x v="23"/>
    <x v="9"/>
  </r>
  <r>
    <x v="38"/>
    <x v="38"/>
    <x v="23"/>
    <x v="458"/>
  </r>
  <r>
    <x v="10"/>
    <x v="10"/>
    <x v="23"/>
    <x v="459"/>
  </r>
  <r>
    <x v="27"/>
    <x v="27"/>
    <x v="23"/>
    <x v="460"/>
  </r>
  <r>
    <x v="11"/>
    <x v="11"/>
    <x v="23"/>
    <x v="461"/>
  </r>
  <r>
    <x v="12"/>
    <x v="12"/>
    <x v="23"/>
    <x v="462"/>
  </r>
  <r>
    <x v="29"/>
    <x v="29"/>
    <x v="23"/>
    <x v="463"/>
  </r>
  <r>
    <x v="30"/>
    <x v="30"/>
    <x v="23"/>
    <x v="464"/>
  </r>
  <r>
    <x v="40"/>
    <x v="40"/>
    <x v="23"/>
    <x v="465"/>
  </r>
  <r>
    <x v="64"/>
    <x v="64"/>
    <x v="23"/>
    <x v="466"/>
  </r>
  <r>
    <x v="32"/>
    <x v="32"/>
    <x v="23"/>
    <x v="467"/>
  </r>
  <r>
    <x v="13"/>
    <x v="13"/>
    <x v="23"/>
    <x v="468"/>
  </r>
  <r>
    <x v="46"/>
    <x v="46"/>
    <x v="23"/>
    <x v="469"/>
  </r>
  <r>
    <x v="14"/>
    <x v="14"/>
    <x v="23"/>
    <x v="230"/>
  </r>
  <r>
    <x v="47"/>
    <x v="47"/>
    <x v="23"/>
    <x v="160"/>
  </r>
  <r>
    <x v="78"/>
    <x v="78"/>
    <x v="23"/>
    <x v="209"/>
  </r>
  <r>
    <x v="16"/>
    <x v="16"/>
    <x v="23"/>
    <x v="63"/>
  </r>
  <r>
    <x v="0"/>
    <x v="0"/>
    <x v="24"/>
    <x v="470"/>
  </r>
  <r>
    <x v="2"/>
    <x v="2"/>
    <x v="24"/>
    <x v="471"/>
  </r>
  <r>
    <x v="20"/>
    <x v="20"/>
    <x v="24"/>
    <x v="417"/>
  </r>
  <r>
    <x v="21"/>
    <x v="21"/>
    <x v="24"/>
    <x v="472"/>
  </r>
  <r>
    <x v="4"/>
    <x v="4"/>
    <x v="24"/>
    <x v="473"/>
  </r>
  <r>
    <x v="5"/>
    <x v="5"/>
    <x v="24"/>
    <x v="474"/>
  </r>
  <r>
    <x v="23"/>
    <x v="23"/>
    <x v="24"/>
    <x v="475"/>
  </r>
  <r>
    <x v="55"/>
    <x v="55"/>
    <x v="24"/>
    <x v="28"/>
  </r>
  <r>
    <x v="61"/>
    <x v="61"/>
    <x v="24"/>
    <x v="476"/>
  </r>
  <r>
    <x v="36"/>
    <x v="36"/>
    <x v="24"/>
    <x v="477"/>
  </r>
  <r>
    <x v="6"/>
    <x v="6"/>
    <x v="24"/>
    <x v="6"/>
  </r>
  <r>
    <x v="8"/>
    <x v="8"/>
    <x v="24"/>
    <x v="478"/>
  </r>
  <r>
    <x v="58"/>
    <x v="58"/>
    <x v="24"/>
    <x v="479"/>
  </r>
  <r>
    <x v="9"/>
    <x v="9"/>
    <x v="24"/>
    <x v="352"/>
  </r>
  <r>
    <x v="10"/>
    <x v="10"/>
    <x v="24"/>
    <x v="480"/>
  </r>
  <r>
    <x v="27"/>
    <x v="27"/>
    <x v="24"/>
    <x v="222"/>
  </r>
  <r>
    <x v="11"/>
    <x v="11"/>
    <x v="24"/>
    <x v="481"/>
  </r>
  <r>
    <x v="53"/>
    <x v="53"/>
    <x v="24"/>
    <x v="482"/>
  </r>
  <r>
    <x v="12"/>
    <x v="12"/>
    <x v="24"/>
    <x v="483"/>
  </r>
  <r>
    <x v="29"/>
    <x v="29"/>
    <x v="24"/>
    <x v="484"/>
  </r>
  <r>
    <x v="30"/>
    <x v="30"/>
    <x v="24"/>
    <x v="485"/>
  </r>
  <r>
    <x v="54"/>
    <x v="54"/>
    <x v="24"/>
    <x v="13"/>
  </r>
  <r>
    <x v="31"/>
    <x v="31"/>
    <x v="24"/>
    <x v="486"/>
  </r>
  <r>
    <x v="32"/>
    <x v="32"/>
    <x v="24"/>
    <x v="487"/>
  </r>
  <r>
    <x v="46"/>
    <x v="46"/>
    <x v="24"/>
    <x v="5"/>
  </r>
  <r>
    <x v="14"/>
    <x v="14"/>
    <x v="24"/>
    <x v="230"/>
  </r>
  <r>
    <x v="47"/>
    <x v="47"/>
    <x v="24"/>
    <x v="111"/>
  </r>
  <r>
    <x v="15"/>
    <x v="15"/>
    <x v="24"/>
    <x v="40"/>
  </r>
  <r>
    <x v="0"/>
    <x v="0"/>
    <x v="25"/>
    <x v="488"/>
  </r>
  <r>
    <x v="2"/>
    <x v="2"/>
    <x v="25"/>
    <x v="489"/>
  </r>
  <r>
    <x v="20"/>
    <x v="20"/>
    <x v="25"/>
    <x v="435"/>
  </r>
  <r>
    <x v="34"/>
    <x v="34"/>
    <x v="25"/>
    <x v="454"/>
  </r>
  <r>
    <x v="21"/>
    <x v="21"/>
    <x v="25"/>
    <x v="490"/>
  </r>
  <r>
    <x v="35"/>
    <x v="35"/>
    <x v="25"/>
    <x v="491"/>
  </r>
  <r>
    <x v="4"/>
    <x v="4"/>
    <x v="25"/>
    <x v="264"/>
  </r>
  <r>
    <x v="23"/>
    <x v="23"/>
    <x v="25"/>
    <x v="167"/>
  </r>
  <r>
    <x v="55"/>
    <x v="55"/>
    <x v="25"/>
    <x v="194"/>
  </r>
  <r>
    <x v="70"/>
    <x v="70"/>
    <x v="25"/>
    <x v="492"/>
  </r>
  <r>
    <x v="67"/>
    <x v="67"/>
    <x v="25"/>
    <x v="493"/>
  </r>
  <r>
    <x v="26"/>
    <x v="26"/>
    <x v="25"/>
    <x v="494"/>
  </r>
  <r>
    <x v="36"/>
    <x v="36"/>
    <x v="25"/>
    <x v="495"/>
  </r>
  <r>
    <x v="9"/>
    <x v="9"/>
    <x v="25"/>
    <x v="148"/>
  </r>
  <r>
    <x v="10"/>
    <x v="10"/>
    <x v="25"/>
    <x v="496"/>
  </r>
  <r>
    <x v="27"/>
    <x v="27"/>
    <x v="25"/>
    <x v="497"/>
  </r>
  <r>
    <x v="11"/>
    <x v="11"/>
    <x v="25"/>
    <x v="498"/>
  </r>
  <r>
    <x v="29"/>
    <x v="29"/>
    <x v="25"/>
    <x v="499"/>
  </r>
  <r>
    <x v="30"/>
    <x v="30"/>
    <x v="25"/>
    <x v="500"/>
  </r>
  <r>
    <x v="84"/>
    <x v="84"/>
    <x v="25"/>
    <x v="501"/>
  </r>
  <r>
    <x v="31"/>
    <x v="31"/>
    <x v="25"/>
    <x v="502"/>
  </r>
  <r>
    <x v="64"/>
    <x v="64"/>
    <x v="25"/>
    <x v="503"/>
  </r>
  <r>
    <x v="73"/>
    <x v="73"/>
    <x v="25"/>
    <x v="504"/>
  </r>
  <r>
    <x v="85"/>
    <x v="85"/>
    <x v="25"/>
    <x v="505"/>
  </r>
  <r>
    <x v="32"/>
    <x v="32"/>
    <x v="25"/>
    <x v="506"/>
  </r>
  <r>
    <x v="46"/>
    <x v="46"/>
    <x v="25"/>
    <x v="82"/>
  </r>
  <r>
    <x v="14"/>
    <x v="14"/>
    <x v="25"/>
    <x v="14"/>
  </r>
  <r>
    <x v="78"/>
    <x v="78"/>
    <x v="25"/>
    <x v="82"/>
  </r>
  <r>
    <x v="15"/>
    <x v="15"/>
    <x v="25"/>
    <x v="507"/>
  </r>
  <r>
    <x v="16"/>
    <x v="16"/>
    <x v="25"/>
    <x v="111"/>
  </r>
  <r>
    <x v="41"/>
    <x v="41"/>
    <x v="26"/>
    <x v="111"/>
  </r>
  <r>
    <x v="2"/>
    <x v="2"/>
    <x v="26"/>
    <x v="508"/>
  </r>
  <r>
    <x v="21"/>
    <x v="21"/>
    <x v="26"/>
    <x v="509"/>
  </r>
  <r>
    <x v="4"/>
    <x v="4"/>
    <x v="26"/>
    <x v="46"/>
  </r>
  <r>
    <x v="22"/>
    <x v="22"/>
    <x v="26"/>
    <x v="510"/>
  </r>
  <r>
    <x v="61"/>
    <x v="61"/>
    <x v="26"/>
    <x v="406"/>
  </r>
  <r>
    <x v="8"/>
    <x v="8"/>
    <x v="26"/>
    <x v="511"/>
  </r>
  <r>
    <x v="9"/>
    <x v="9"/>
    <x v="26"/>
    <x v="408"/>
  </r>
  <r>
    <x v="10"/>
    <x v="10"/>
    <x v="26"/>
    <x v="512"/>
  </r>
  <r>
    <x v="11"/>
    <x v="11"/>
    <x v="26"/>
    <x v="223"/>
  </r>
  <r>
    <x v="28"/>
    <x v="28"/>
    <x v="26"/>
    <x v="513"/>
  </r>
  <r>
    <x v="12"/>
    <x v="12"/>
    <x v="26"/>
    <x v="74"/>
  </r>
  <r>
    <x v="29"/>
    <x v="29"/>
    <x v="26"/>
    <x v="514"/>
  </r>
  <r>
    <x v="44"/>
    <x v="44"/>
    <x v="26"/>
    <x v="515"/>
  </r>
  <r>
    <x v="13"/>
    <x v="13"/>
    <x v="26"/>
    <x v="14"/>
  </r>
  <r>
    <x v="14"/>
    <x v="14"/>
    <x v="26"/>
    <x v="85"/>
  </r>
  <r>
    <x v="78"/>
    <x v="78"/>
    <x v="26"/>
    <x v="111"/>
  </r>
  <r>
    <x v="15"/>
    <x v="15"/>
    <x v="26"/>
    <x v="98"/>
  </r>
  <r>
    <x v="17"/>
    <x v="17"/>
    <x v="26"/>
    <x v="161"/>
  </r>
  <r>
    <x v="0"/>
    <x v="0"/>
    <x v="27"/>
    <x v="516"/>
  </r>
  <r>
    <x v="2"/>
    <x v="2"/>
    <x v="27"/>
    <x v="231"/>
  </r>
  <r>
    <x v="21"/>
    <x v="21"/>
    <x v="27"/>
    <x v="517"/>
  </r>
  <r>
    <x v="3"/>
    <x v="3"/>
    <x v="27"/>
    <x v="518"/>
  </r>
  <r>
    <x v="4"/>
    <x v="4"/>
    <x v="27"/>
    <x v="519"/>
  </r>
  <r>
    <x v="5"/>
    <x v="5"/>
    <x v="27"/>
    <x v="520"/>
  </r>
  <r>
    <x v="55"/>
    <x v="55"/>
    <x v="27"/>
    <x v="521"/>
  </r>
  <r>
    <x v="67"/>
    <x v="67"/>
    <x v="27"/>
    <x v="522"/>
  </r>
  <r>
    <x v="86"/>
    <x v="86"/>
    <x v="27"/>
    <x v="523"/>
  </r>
  <r>
    <x v="37"/>
    <x v="37"/>
    <x v="27"/>
    <x v="49"/>
  </r>
  <r>
    <x v="8"/>
    <x v="8"/>
    <x v="27"/>
    <x v="524"/>
  </r>
  <r>
    <x v="9"/>
    <x v="9"/>
    <x v="27"/>
    <x v="525"/>
  </r>
  <r>
    <x v="10"/>
    <x v="10"/>
    <x v="27"/>
    <x v="526"/>
  </r>
  <r>
    <x v="11"/>
    <x v="11"/>
    <x v="27"/>
    <x v="527"/>
  </r>
  <r>
    <x v="12"/>
    <x v="12"/>
    <x v="27"/>
    <x v="528"/>
  </r>
  <r>
    <x v="29"/>
    <x v="29"/>
    <x v="27"/>
    <x v="529"/>
  </r>
  <r>
    <x v="43"/>
    <x v="43"/>
    <x v="27"/>
    <x v="530"/>
  </r>
  <r>
    <x v="30"/>
    <x v="30"/>
    <x v="27"/>
    <x v="36"/>
  </r>
  <r>
    <x v="80"/>
    <x v="80"/>
    <x v="27"/>
    <x v="531"/>
  </r>
  <r>
    <x v="51"/>
    <x v="51"/>
    <x v="27"/>
    <x v="532"/>
  </r>
  <r>
    <x v="46"/>
    <x v="46"/>
    <x v="27"/>
    <x v="111"/>
  </r>
  <r>
    <x v="14"/>
    <x v="14"/>
    <x v="27"/>
    <x v="111"/>
  </r>
  <r>
    <x v="78"/>
    <x v="78"/>
    <x v="27"/>
    <x v="62"/>
  </r>
  <r>
    <x v="15"/>
    <x v="15"/>
    <x v="27"/>
    <x v="533"/>
  </r>
  <r>
    <x v="0"/>
    <x v="0"/>
    <x v="28"/>
    <x v="340"/>
  </r>
  <r>
    <x v="1"/>
    <x v="1"/>
    <x v="28"/>
    <x v="1"/>
  </r>
  <r>
    <x v="76"/>
    <x v="76"/>
    <x v="28"/>
    <x v="534"/>
  </r>
  <r>
    <x v="2"/>
    <x v="2"/>
    <x v="28"/>
    <x v="535"/>
  </r>
  <r>
    <x v="20"/>
    <x v="20"/>
    <x v="28"/>
    <x v="63"/>
  </r>
  <r>
    <x v="34"/>
    <x v="34"/>
    <x v="28"/>
    <x v="536"/>
  </r>
  <r>
    <x v="21"/>
    <x v="21"/>
    <x v="28"/>
    <x v="537"/>
  </r>
  <r>
    <x v="3"/>
    <x v="3"/>
    <x v="28"/>
    <x v="538"/>
  </r>
  <r>
    <x v="35"/>
    <x v="35"/>
    <x v="28"/>
    <x v="539"/>
  </r>
  <r>
    <x v="4"/>
    <x v="4"/>
    <x v="28"/>
    <x v="540"/>
  </r>
  <r>
    <x v="87"/>
    <x v="87"/>
    <x v="28"/>
    <x v="541"/>
  </r>
  <r>
    <x v="65"/>
    <x v="65"/>
    <x v="28"/>
    <x v="542"/>
  </r>
  <r>
    <x v="23"/>
    <x v="23"/>
    <x v="28"/>
    <x v="543"/>
  </r>
  <r>
    <x v="55"/>
    <x v="55"/>
    <x v="28"/>
    <x v="544"/>
  </r>
  <r>
    <x v="70"/>
    <x v="70"/>
    <x v="28"/>
    <x v="545"/>
  </r>
  <r>
    <x v="25"/>
    <x v="25"/>
    <x v="28"/>
    <x v="546"/>
  </r>
  <r>
    <x v="26"/>
    <x v="26"/>
    <x v="28"/>
    <x v="547"/>
  </r>
  <r>
    <x v="79"/>
    <x v="79"/>
    <x v="28"/>
    <x v="548"/>
  </r>
  <r>
    <x v="86"/>
    <x v="86"/>
    <x v="28"/>
    <x v="549"/>
  </r>
  <r>
    <x v="36"/>
    <x v="36"/>
    <x v="28"/>
    <x v="456"/>
  </r>
  <r>
    <x v="82"/>
    <x v="82"/>
    <x v="28"/>
    <x v="157"/>
  </r>
  <r>
    <x v="88"/>
    <x v="88"/>
    <x v="28"/>
    <x v="550"/>
  </r>
  <r>
    <x v="37"/>
    <x v="37"/>
    <x v="28"/>
    <x v="351"/>
  </r>
  <r>
    <x v="8"/>
    <x v="8"/>
    <x v="28"/>
    <x v="551"/>
  </r>
  <r>
    <x v="9"/>
    <x v="9"/>
    <x v="28"/>
    <x v="352"/>
  </r>
  <r>
    <x v="68"/>
    <x v="68"/>
    <x v="28"/>
    <x v="309"/>
  </r>
  <r>
    <x v="10"/>
    <x v="10"/>
    <x v="28"/>
    <x v="552"/>
  </r>
  <r>
    <x v="27"/>
    <x v="27"/>
    <x v="28"/>
    <x v="553"/>
  </r>
  <r>
    <x v="11"/>
    <x v="11"/>
    <x v="28"/>
    <x v="554"/>
  </r>
  <r>
    <x v="53"/>
    <x v="53"/>
    <x v="28"/>
    <x v="555"/>
  </r>
  <r>
    <x v="29"/>
    <x v="29"/>
    <x v="28"/>
    <x v="556"/>
  </r>
  <r>
    <x v="72"/>
    <x v="72"/>
    <x v="28"/>
    <x v="315"/>
  </r>
  <r>
    <x v="30"/>
    <x v="30"/>
    <x v="28"/>
    <x v="557"/>
  </r>
  <r>
    <x v="81"/>
    <x v="81"/>
    <x v="28"/>
    <x v="558"/>
  </r>
  <r>
    <x v="44"/>
    <x v="44"/>
    <x v="28"/>
    <x v="559"/>
  </r>
  <r>
    <x v="13"/>
    <x v="13"/>
    <x v="28"/>
    <x v="160"/>
  </r>
  <r>
    <x v="46"/>
    <x v="46"/>
    <x v="28"/>
    <x v="560"/>
  </r>
  <r>
    <x v="14"/>
    <x v="14"/>
    <x v="28"/>
    <x v="161"/>
  </r>
  <r>
    <x v="15"/>
    <x v="15"/>
    <x v="28"/>
    <x v="209"/>
  </r>
  <r>
    <x v="17"/>
    <x v="17"/>
    <x v="28"/>
    <x v="17"/>
  </r>
  <r>
    <x v="0"/>
    <x v="0"/>
    <x v="29"/>
    <x v="404"/>
  </r>
  <r>
    <x v="76"/>
    <x v="76"/>
    <x v="29"/>
    <x v="561"/>
  </r>
  <r>
    <x v="2"/>
    <x v="2"/>
    <x v="29"/>
    <x v="86"/>
  </r>
  <r>
    <x v="20"/>
    <x v="20"/>
    <x v="29"/>
    <x v="65"/>
  </r>
  <r>
    <x v="21"/>
    <x v="21"/>
    <x v="29"/>
    <x v="517"/>
  </r>
  <r>
    <x v="35"/>
    <x v="35"/>
    <x v="29"/>
    <x v="562"/>
  </r>
  <r>
    <x v="4"/>
    <x v="4"/>
    <x v="29"/>
    <x v="519"/>
  </r>
  <r>
    <x v="22"/>
    <x v="22"/>
    <x v="29"/>
    <x v="235"/>
  </r>
  <r>
    <x v="23"/>
    <x v="23"/>
    <x v="29"/>
    <x v="563"/>
  </r>
  <r>
    <x v="61"/>
    <x v="61"/>
    <x v="29"/>
    <x v="564"/>
  </r>
  <r>
    <x v="86"/>
    <x v="86"/>
    <x v="29"/>
    <x v="565"/>
  </r>
  <r>
    <x v="74"/>
    <x v="74"/>
    <x v="29"/>
    <x v="285"/>
  </r>
  <r>
    <x v="82"/>
    <x v="82"/>
    <x v="29"/>
    <x v="404"/>
  </r>
  <r>
    <x v="63"/>
    <x v="63"/>
    <x v="29"/>
    <x v="370"/>
  </r>
  <r>
    <x v="8"/>
    <x v="8"/>
    <x v="29"/>
    <x v="566"/>
  </r>
  <r>
    <x v="9"/>
    <x v="9"/>
    <x v="29"/>
    <x v="387"/>
  </r>
  <r>
    <x v="10"/>
    <x v="10"/>
    <x v="29"/>
    <x v="567"/>
  </r>
  <r>
    <x v="11"/>
    <x v="11"/>
    <x v="29"/>
    <x v="568"/>
  </r>
  <r>
    <x v="72"/>
    <x v="72"/>
    <x v="29"/>
    <x v="204"/>
  </r>
  <r>
    <x v="40"/>
    <x v="40"/>
    <x v="29"/>
    <x v="59"/>
  </r>
  <r>
    <x v="69"/>
    <x v="69"/>
    <x v="29"/>
    <x v="111"/>
  </r>
  <r>
    <x v="13"/>
    <x v="13"/>
    <x v="29"/>
    <x v="62"/>
  </r>
  <r>
    <x v="46"/>
    <x v="46"/>
    <x v="29"/>
    <x v="569"/>
  </r>
  <r>
    <x v="14"/>
    <x v="14"/>
    <x v="29"/>
    <x v="16"/>
  </r>
  <r>
    <x v="47"/>
    <x v="47"/>
    <x v="29"/>
    <x v="82"/>
  </r>
  <r>
    <x v="15"/>
    <x v="15"/>
    <x v="29"/>
    <x v="62"/>
  </r>
  <r>
    <x v="17"/>
    <x v="17"/>
    <x v="29"/>
    <x v="62"/>
  </r>
  <r>
    <x v="19"/>
    <x v="19"/>
    <x v="30"/>
    <x v="570"/>
  </r>
  <r>
    <x v="76"/>
    <x v="76"/>
    <x v="30"/>
    <x v="571"/>
  </r>
  <r>
    <x v="2"/>
    <x v="2"/>
    <x v="30"/>
    <x v="231"/>
  </r>
  <r>
    <x v="20"/>
    <x v="20"/>
    <x v="30"/>
    <x v="572"/>
  </r>
  <r>
    <x v="34"/>
    <x v="34"/>
    <x v="30"/>
    <x v="135"/>
  </r>
  <r>
    <x v="21"/>
    <x v="21"/>
    <x v="30"/>
    <x v="573"/>
  </r>
  <r>
    <x v="3"/>
    <x v="3"/>
    <x v="30"/>
    <x v="190"/>
  </r>
  <r>
    <x v="35"/>
    <x v="35"/>
    <x v="30"/>
    <x v="574"/>
  </r>
  <r>
    <x v="22"/>
    <x v="22"/>
    <x v="30"/>
    <x v="510"/>
  </r>
  <r>
    <x v="5"/>
    <x v="5"/>
    <x v="30"/>
    <x v="523"/>
  </r>
  <r>
    <x v="23"/>
    <x v="23"/>
    <x v="30"/>
    <x v="118"/>
  </r>
  <r>
    <x v="89"/>
    <x v="89"/>
    <x v="30"/>
    <x v="575"/>
  </r>
  <r>
    <x v="67"/>
    <x v="67"/>
    <x v="30"/>
    <x v="576"/>
  </r>
  <r>
    <x v="86"/>
    <x v="86"/>
    <x v="30"/>
    <x v="577"/>
  </r>
  <r>
    <x v="82"/>
    <x v="82"/>
    <x v="30"/>
    <x v="578"/>
  </r>
  <r>
    <x v="7"/>
    <x v="7"/>
    <x v="30"/>
    <x v="579"/>
  </r>
  <r>
    <x v="8"/>
    <x v="8"/>
    <x v="30"/>
    <x v="50"/>
  </r>
  <r>
    <x v="9"/>
    <x v="9"/>
    <x v="30"/>
    <x v="580"/>
  </r>
  <r>
    <x v="38"/>
    <x v="38"/>
    <x v="30"/>
    <x v="581"/>
  </r>
  <r>
    <x v="10"/>
    <x v="10"/>
    <x v="30"/>
    <x v="582"/>
  </r>
  <r>
    <x v="11"/>
    <x v="11"/>
    <x v="30"/>
    <x v="583"/>
  </r>
  <r>
    <x v="12"/>
    <x v="12"/>
    <x v="30"/>
    <x v="584"/>
  </r>
  <r>
    <x v="39"/>
    <x v="39"/>
    <x v="30"/>
    <x v="585"/>
  </r>
  <r>
    <x v="29"/>
    <x v="29"/>
    <x v="30"/>
    <x v="277"/>
  </r>
  <r>
    <x v="30"/>
    <x v="30"/>
    <x v="30"/>
    <x v="586"/>
  </r>
  <r>
    <x v="64"/>
    <x v="64"/>
    <x v="30"/>
    <x v="587"/>
  </r>
  <r>
    <x v="60"/>
    <x v="60"/>
    <x v="30"/>
    <x v="298"/>
  </r>
  <r>
    <x v="13"/>
    <x v="13"/>
    <x v="30"/>
    <x v="18"/>
  </r>
  <r>
    <x v="46"/>
    <x v="46"/>
    <x v="30"/>
    <x v="507"/>
  </r>
  <r>
    <x v="14"/>
    <x v="14"/>
    <x v="30"/>
    <x v="208"/>
  </r>
  <r>
    <x v="47"/>
    <x v="47"/>
    <x v="30"/>
    <x v="230"/>
  </r>
  <r>
    <x v="15"/>
    <x v="15"/>
    <x v="30"/>
    <x v="40"/>
  </r>
  <r>
    <x v="16"/>
    <x v="16"/>
    <x v="30"/>
    <x v="376"/>
  </r>
  <r>
    <x v="76"/>
    <x v="76"/>
    <x v="31"/>
    <x v="588"/>
  </r>
  <r>
    <x v="2"/>
    <x v="2"/>
    <x v="31"/>
    <x v="81"/>
  </r>
  <r>
    <x v="21"/>
    <x v="21"/>
    <x v="31"/>
    <x v="509"/>
  </r>
  <r>
    <x v="3"/>
    <x v="3"/>
    <x v="31"/>
    <x v="344"/>
  </r>
  <r>
    <x v="4"/>
    <x v="4"/>
    <x v="31"/>
    <x v="589"/>
  </r>
  <r>
    <x v="23"/>
    <x v="23"/>
    <x v="31"/>
    <x v="365"/>
  </r>
  <r>
    <x v="25"/>
    <x v="25"/>
    <x v="31"/>
    <x v="324"/>
  </r>
  <r>
    <x v="56"/>
    <x v="56"/>
    <x v="31"/>
    <x v="590"/>
  </r>
  <r>
    <x v="26"/>
    <x v="26"/>
    <x v="31"/>
    <x v="217"/>
  </r>
  <r>
    <x v="38"/>
    <x v="38"/>
    <x v="31"/>
    <x v="591"/>
  </r>
  <r>
    <x v="10"/>
    <x v="10"/>
    <x v="31"/>
    <x v="592"/>
  </r>
  <r>
    <x v="11"/>
    <x v="11"/>
    <x v="31"/>
    <x v="593"/>
  </r>
  <r>
    <x v="90"/>
    <x v="90"/>
    <x v="31"/>
    <x v="594"/>
  </r>
  <r>
    <x v="29"/>
    <x v="29"/>
    <x v="31"/>
    <x v="595"/>
  </r>
  <r>
    <x v="80"/>
    <x v="80"/>
    <x v="31"/>
    <x v="596"/>
  </r>
  <r>
    <x v="91"/>
    <x v="91"/>
    <x v="31"/>
    <x v="597"/>
  </r>
  <r>
    <x v="46"/>
    <x v="46"/>
    <x v="31"/>
    <x v="500"/>
  </r>
  <r>
    <x v="14"/>
    <x v="14"/>
    <x v="31"/>
    <x v="62"/>
  </r>
  <r>
    <x v="15"/>
    <x v="15"/>
    <x v="31"/>
    <x v="111"/>
  </r>
  <r>
    <x v="2"/>
    <x v="2"/>
    <x v="32"/>
    <x v="231"/>
  </r>
  <r>
    <x v="21"/>
    <x v="21"/>
    <x v="32"/>
    <x v="598"/>
  </r>
  <r>
    <x v="3"/>
    <x v="3"/>
    <x v="32"/>
    <x v="599"/>
  </r>
  <r>
    <x v="4"/>
    <x v="4"/>
    <x v="32"/>
    <x v="519"/>
  </r>
  <r>
    <x v="5"/>
    <x v="5"/>
    <x v="32"/>
    <x v="474"/>
  </r>
  <r>
    <x v="65"/>
    <x v="65"/>
    <x v="32"/>
    <x v="600"/>
  </r>
  <r>
    <x v="26"/>
    <x v="26"/>
    <x v="32"/>
    <x v="601"/>
  </r>
  <r>
    <x v="57"/>
    <x v="57"/>
    <x v="32"/>
    <x v="90"/>
  </r>
  <r>
    <x v="38"/>
    <x v="38"/>
    <x v="32"/>
    <x v="602"/>
  </r>
  <r>
    <x v="10"/>
    <x v="10"/>
    <x v="32"/>
    <x v="603"/>
  </r>
  <r>
    <x v="11"/>
    <x v="11"/>
    <x v="32"/>
    <x v="604"/>
  </r>
  <r>
    <x v="12"/>
    <x v="12"/>
    <x v="32"/>
    <x v="374"/>
  </r>
  <r>
    <x v="46"/>
    <x v="46"/>
    <x v="32"/>
    <x v="133"/>
  </r>
  <r>
    <x v="14"/>
    <x v="14"/>
    <x v="32"/>
    <x v="82"/>
  </r>
  <r>
    <x v="47"/>
    <x v="47"/>
    <x v="32"/>
    <x v="16"/>
  </r>
  <r>
    <x v="17"/>
    <x v="17"/>
    <x v="32"/>
    <x v="435"/>
  </r>
  <r>
    <x v="18"/>
    <x v="18"/>
    <x v="33"/>
    <x v="210"/>
  </r>
  <r>
    <x v="19"/>
    <x v="19"/>
    <x v="33"/>
    <x v="605"/>
  </r>
  <r>
    <x v="76"/>
    <x v="76"/>
    <x v="33"/>
    <x v="561"/>
  </r>
  <r>
    <x v="2"/>
    <x v="2"/>
    <x v="33"/>
    <x v="81"/>
  </r>
  <r>
    <x v="5"/>
    <x v="5"/>
    <x v="33"/>
    <x v="606"/>
  </r>
  <r>
    <x v="92"/>
    <x v="92"/>
    <x v="33"/>
    <x v="607"/>
  </r>
  <r>
    <x v="74"/>
    <x v="74"/>
    <x v="33"/>
    <x v="285"/>
  </r>
  <r>
    <x v="7"/>
    <x v="7"/>
    <x v="33"/>
    <x v="608"/>
  </r>
  <r>
    <x v="8"/>
    <x v="8"/>
    <x v="33"/>
    <x v="609"/>
  </r>
  <r>
    <x v="9"/>
    <x v="9"/>
    <x v="33"/>
    <x v="610"/>
  </r>
  <r>
    <x v="38"/>
    <x v="38"/>
    <x v="33"/>
    <x v="611"/>
  </r>
  <r>
    <x v="10"/>
    <x v="10"/>
    <x v="33"/>
    <x v="250"/>
  </r>
  <r>
    <x v="11"/>
    <x v="11"/>
    <x v="33"/>
    <x v="612"/>
  </r>
  <r>
    <x v="29"/>
    <x v="29"/>
    <x v="33"/>
    <x v="529"/>
  </r>
  <r>
    <x v="30"/>
    <x v="30"/>
    <x v="33"/>
    <x v="613"/>
  </r>
  <r>
    <x v="73"/>
    <x v="73"/>
    <x v="33"/>
    <x v="614"/>
  </r>
  <r>
    <x v="46"/>
    <x v="46"/>
    <x v="33"/>
    <x v="615"/>
  </r>
  <r>
    <x v="47"/>
    <x v="47"/>
    <x v="33"/>
    <x v="40"/>
  </r>
  <r>
    <x v="0"/>
    <x v="0"/>
    <x v="34"/>
    <x v="340"/>
  </r>
  <r>
    <x v="2"/>
    <x v="2"/>
    <x v="34"/>
    <x v="616"/>
  </r>
  <r>
    <x v="21"/>
    <x v="21"/>
    <x v="34"/>
    <x v="617"/>
  </r>
  <r>
    <x v="3"/>
    <x v="3"/>
    <x v="34"/>
    <x v="572"/>
  </r>
  <r>
    <x v="4"/>
    <x v="4"/>
    <x v="34"/>
    <x v="618"/>
  </r>
  <r>
    <x v="23"/>
    <x v="23"/>
    <x v="34"/>
    <x v="619"/>
  </r>
  <r>
    <x v="70"/>
    <x v="70"/>
    <x v="34"/>
    <x v="193"/>
  </r>
  <r>
    <x v="67"/>
    <x v="67"/>
    <x v="34"/>
    <x v="620"/>
  </r>
  <r>
    <x v="79"/>
    <x v="79"/>
    <x v="34"/>
    <x v="621"/>
  </r>
  <r>
    <x v="36"/>
    <x v="36"/>
    <x v="34"/>
    <x v="622"/>
  </r>
  <r>
    <x v="37"/>
    <x v="37"/>
    <x v="34"/>
    <x v="91"/>
  </r>
  <r>
    <x v="8"/>
    <x v="8"/>
    <x v="34"/>
    <x v="623"/>
  </r>
  <r>
    <x v="9"/>
    <x v="9"/>
    <x v="34"/>
    <x v="218"/>
  </r>
  <r>
    <x v="38"/>
    <x v="38"/>
    <x v="34"/>
    <x v="624"/>
  </r>
  <r>
    <x v="10"/>
    <x v="10"/>
    <x v="34"/>
    <x v="625"/>
  </r>
  <r>
    <x v="27"/>
    <x v="27"/>
    <x v="34"/>
    <x v="351"/>
  </r>
  <r>
    <x v="11"/>
    <x v="11"/>
    <x v="34"/>
    <x v="626"/>
  </r>
  <r>
    <x v="12"/>
    <x v="12"/>
    <x v="34"/>
    <x v="627"/>
  </r>
  <r>
    <x v="29"/>
    <x v="29"/>
    <x v="34"/>
    <x v="628"/>
  </r>
  <r>
    <x v="72"/>
    <x v="72"/>
    <x v="34"/>
    <x v="629"/>
  </r>
  <r>
    <x v="30"/>
    <x v="30"/>
    <x v="34"/>
    <x v="630"/>
  </r>
  <r>
    <x v="81"/>
    <x v="81"/>
    <x v="34"/>
    <x v="631"/>
  </r>
  <r>
    <x v="64"/>
    <x v="64"/>
    <x v="34"/>
    <x v="632"/>
  </r>
  <r>
    <x v="73"/>
    <x v="73"/>
    <x v="34"/>
    <x v="633"/>
  </r>
  <r>
    <x v="46"/>
    <x v="46"/>
    <x v="34"/>
    <x v="84"/>
  </r>
  <r>
    <x v="14"/>
    <x v="14"/>
    <x v="34"/>
    <x v="360"/>
  </r>
  <r>
    <x v="47"/>
    <x v="47"/>
    <x v="34"/>
    <x v="230"/>
  </r>
  <r>
    <x v="78"/>
    <x v="78"/>
    <x v="34"/>
    <x v="40"/>
  </r>
  <r>
    <x v="15"/>
    <x v="15"/>
    <x v="34"/>
    <x v="15"/>
  </r>
  <r>
    <x v="76"/>
    <x v="76"/>
    <x v="35"/>
    <x v="634"/>
  </r>
  <r>
    <x v="34"/>
    <x v="34"/>
    <x v="35"/>
    <x v="635"/>
  </r>
  <r>
    <x v="35"/>
    <x v="35"/>
    <x v="35"/>
    <x v="636"/>
  </r>
  <r>
    <x v="4"/>
    <x v="4"/>
    <x v="35"/>
    <x v="637"/>
  </r>
  <r>
    <x v="38"/>
    <x v="38"/>
    <x v="35"/>
    <x v="638"/>
  </r>
  <r>
    <x v="10"/>
    <x v="10"/>
    <x v="35"/>
    <x v="639"/>
  </r>
  <r>
    <x v="11"/>
    <x v="11"/>
    <x v="35"/>
    <x v="640"/>
  </r>
  <r>
    <x v="53"/>
    <x v="53"/>
    <x v="35"/>
    <x v="641"/>
  </r>
  <r>
    <x v="29"/>
    <x v="29"/>
    <x v="35"/>
    <x v="357"/>
  </r>
  <r>
    <x v="30"/>
    <x v="30"/>
    <x v="35"/>
    <x v="630"/>
  </r>
  <r>
    <x v="81"/>
    <x v="81"/>
    <x v="35"/>
    <x v="642"/>
  </r>
  <r>
    <x v="73"/>
    <x v="73"/>
    <x v="35"/>
    <x v="643"/>
  </r>
  <r>
    <x v="32"/>
    <x v="32"/>
    <x v="35"/>
    <x v="487"/>
  </r>
  <r>
    <x v="46"/>
    <x v="46"/>
    <x v="35"/>
    <x v="644"/>
  </r>
  <r>
    <x v="78"/>
    <x v="78"/>
    <x v="35"/>
    <x v="111"/>
  </r>
  <r>
    <x v="16"/>
    <x v="16"/>
    <x v="35"/>
    <x v="62"/>
  </r>
  <r>
    <x v="19"/>
    <x v="19"/>
    <x v="36"/>
    <x v="645"/>
  </r>
  <r>
    <x v="0"/>
    <x v="0"/>
    <x v="36"/>
    <x v="646"/>
  </r>
  <r>
    <x v="2"/>
    <x v="2"/>
    <x v="36"/>
    <x v="113"/>
  </r>
  <r>
    <x v="20"/>
    <x v="20"/>
    <x v="36"/>
    <x v="63"/>
  </r>
  <r>
    <x v="21"/>
    <x v="21"/>
    <x v="36"/>
    <x v="647"/>
  </r>
  <r>
    <x v="3"/>
    <x v="3"/>
    <x v="36"/>
    <x v="648"/>
  </r>
  <r>
    <x v="4"/>
    <x v="4"/>
    <x v="36"/>
    <x v="649"/>
  </r>
  <r>
    <x v="52"/>
    <x v="52"/>
    <x v="36"/>
    <x v="117"/>
  </r>
  <r>
    <x v="5"/>
    <x v="5"/>
    <x v="36"/>
    <x v="650"/>
  </r>
  <r>
    <x v="23"/>
    <x v="23"/>
    <x v="36"/>
    <x v="651"/>
  </r>
  <r>
    <x v="25"/>
    <x v="25"/>
    <x v="36"/>
    <x v="349"/>
  </r>
  <r>
    <x v="36"/>
    <x v="36"/>
    <x v="36"/>
    <x v="456"/>
  </r>
  <r>
    <x v="74"/>
    <x v="74"/>
    <x v="36"/>
    <x v="403"/>
  </r>
  <r>
    <x v="88"/>
    <x v="88"/>
    <x v="36"/>
    <x v="289"/>
  </r>
  <r>
    <x v="77"/>
    <x v="77"/>
    <x v="36"/>
    <x v="652"/>
  </r>
  <r>
    <x v="7"/>
    <x v="7"/>
    <x v="36"/>
    <x v="653"/>
  </r>
  <r>
    <x v="8"/>
    <x v="8"/>
    <x v="36"/>
    <x v="238"/>
  </r>
  <r>
    <x v="9"/>
    <x v="9"/>
    <x v="36"/>
    <x v="443"/>
  </r>
  <r>
    <x v="38"/>
    <x v="38"/>
    <x v="36"/>
    <x v="124"/>
  </r>
  <r>
    <x v="10"/>
    <x v="10"/>
    <x v="36"/>
    <x v="654"/>
  </r>
  <r>
    <x v="11"/>
    <x v="11"/>
    <x v="36"/>
    <x v="612"/>
  </r>
  <r>
    <x v="12"/>
    <x v="12"/>
    <x v="36"/>
    <x v="655"/>
  </r>
  <r>
    <x v="29"/>
    <x v="29"/>
    <x v="36"/>
    <x v="656"/>
  </r>
  <r>
    <x v="30"/>
    <x v="30"/>
    <x v="36"/>
    <x v="657"/>
  </r>
  <r>
    <x v="46"/>
    <x v="46"/>
    <x v="36"/>
    <x v="533"/>
  </r>
  <r>
    <x v="14"/>
    <x v="14"/>
    <x v="36"/>
    <x v="230"/>
  </r>
  <r>
    <x v="15"/>
    <x v="15"/>
    <x v="36"/>
    <x v="160"/>
  </r>
  <r>
    <x v="0"/>
    <x v="0"/>
    <x v="37"/>
    <x v="658"/>
  </r>
  <r>
    <x v="2"/>
    <x v="2"/>
    <x v="37"/>
    <x v="489"/>
  </r>
  <r>
    <x v="34"/>
    <x v="34"/>
    <x v="37"/>
    <x v="659"/>
  </r>
  <r>
    <x v="21"/>
    <x v="21"/>
    <x v="37"/>
    <x v="87"/>
  </r>
  <r>
    <x v="3"/>
    <x v="3"/>
    <x v="37"/>
    <x v="660"/>
  </r>
  <r>
    <x v="35"/>
    <x v="35"/>
    <x v="37"/>
    <x v="661"/>
  </r>
  <r>
    <x v="4"/>
    <x v="4"/>
    <x v="37"/>
    <x v="662"/>
  </r>
  <r>
    <x v="22"/>
    <x v="22"/>
    <x v="37"/>
    <x v="663"/>
  </r>
  <r>
    <x v="5"/>
    <x v="5"/>
    <x v="37"/>
    <x v="455"/>
  </r>
  <r>
    <x v="74"/>
    <x v="74"/>
    <x v="37"/>
    <x v="664"/>
  </r>
  <r>
    <x v="37"/>
    <x v="37"/>
    <x v="37"/>
    <x v="665"/>
  </r>
  <r>
    <x v="8"/>
    <x v="8"/>
    <x v="37"/>
    <x v="666"/>
  </r>
  <r>
    <x v="68"/>
    <x v="68"/>
    <x v="37"/>
    <x v="667"/>
  </r>
  <r>
    <x v="38"/>
    <x v="38"/>
    <x v="37"/>
    <x v="668"/>
  </r>
  <r>
    <x v="10"/>
    <x v="10"/>
    <x v="37"/>
    <x v="669"/>
  </r>
  <r>
    <x v="11"/>
    <x v="11"/>
    <x v="37"/>
    <x v="670"/>
  </r>
  <r>
    <x v="30"/>
    <x v="30"/>
    <x v="37"/>
    <x v="294"/>
  </r>
  <r>
    <x v="81"/>
    <x v="81"/>
    <x v="37"/>
    <x v="671"/>
  </r>
  <r>
    <x v="64"/>
    <x v="64"/>
    <x v="37"/>
    <x v="672"/>
  </r>
  <r>
    <x v="51"/>
    <x v="51"/>
    <x v="37"/>
    <x v="673"/>
  </r>
  <r>
    <x v="46"/>
    <x v="46"/>
    <x v="37"/>
    <x v="318"/>
  </r>
  <r>
    <x v="15"/>
    <x v="15"/>
    <x v="37"/>
    <x v="14"/>
  </r>
  <r>
    <x v="2"/>
    <x v="2"/>
    <x v="38"/>
    <x v="674"/>
  </r>
  <r>
    <x v="21"/>
    <x v="21"/>
    <x v="38"/>
    <x v="675"/>
  </r>
  <r>
    <x v="4"/>
    <x v="4"/>
    <x v="38"/>
    <x v="676"/>
  </r>
  <r>
    <x v="23"/>
    <x v="23"/>
    <x v="38"/>
    <x v="677"/>
  </r>
  <r>
    <x v="24"/>
    <x v="24"/>
    <x v="38"/>
    <x v="678"/>
  </r>
  <r>
    <x v="79"/>
    <x v="79"/>
    <x v="38"/>
    <x v="679"/>
  </r>
  <r>
    <x v="62"/>
    <x v="62"/>
    <x v="38"/>
    <x v="680"/>
  </r>
  <r>
    <x v="37"/>
    <x v="37"/>
    <x v="38"/>
    <x v="351"/>
  </r>
  <r>
    <x v="8"/>
    <x v="8"/>
    <x v="38"/>
    <x v="681"/>
  </r>
  <r>
    <x v="38"/>
    <x v="38"/>
    <x v="38"/>
    <x v="293"/>
  </r>
  <r>
    <x v="10"/>
    <x v="10"/>
    <x v="38"/>
    <x v="150"/>
  </r>
  <r>
    <x v="11"/>
    <x v="11"/>
    <x v="38"/>
    <x v="682"/>
  </r>
  <r>
    <x v="29"/>
    <x v="29"/>
    <x v="38"/>
    <x v="656"/>
  </r>
  <r>
    <x v="72"/>
    <x v="72"/>
    <x v="38"/>
    <x v="683"/>
  </r>
  <r>
    <x v="30"/>
    <x v="30"/>
    <x v="38"/>
    <x v="684"/>
  </r>
  <r>
    <x v="81"/>
    <x v="81"/>
    <x v="38"/>
    <x v="685"/>
  </r>
  <r>
    <x v="46"/>
    <x v="46"/>
    <x v="38"/>
    <x v="686"/>
  </r>
  <r>
    <x v="15"/>
    <x v="15"/>
    <x v="38"/>
    <x v="82"/>
  </r>
  <r>
    <x v="16"/>
    <x v="16"/>
    <x v="38"/>
    <x v="111"/>
  </r>
  <r>
    <x v="76"/>
    <x v="76"/>
    <x v="39"/>
    <x v="687"/>
  </r>
  <r>
    <x v="2"/>
    <x v="2"/>
    <x v="39"/>
    <x v="361"/>
  </r>
  <r>
    <x v="21"/>
    <x v="21"/>
    <x v="39"/>
    <x v="317"/>
  </r>
  <r>
    <x v="3"/>
    <x v="3"/>
    <x v="39"/>
    <x v="344"/>
  </r>
  <r>
    <x v="4"/>
    <x v="4"/>
    <x v="39"/>
    <x v="688"/>
  </r>
  <r>
    <x v="22"/>
    <x v="22"/>
    <x v="39"/>
    <x v="510"/>
  </r>
  <r>
    <x v="23"/>
    <x v="23"/>
    <x v="39"/>
    <x v="689"/>
  </r>
  <r>
    <x v="24"/>
    <x v="24"/>
    <x v="39"/>
    <x v="690"/>
  </r>
  <r>
    <x v="70"/>
    <x v="70"/>
    <x v="39"/>
    <x v="691"/>
  </r>
  <r>
    <x v="36"/>
    <x v="36"/>
    <x v="39"/>
    <x v="692"/>
  </r>
  <r>
    <x v="37"/>
    <x v="37"/>
    <x v="39"/>
    <x v="70"/>
  </r>
  <r>
    <x v="8"/>
    <x v="8"/>
    <x v="39"/>
    <x v="693"/>
  </r>
  <r>
    <x v="9"/>
    <x v="9"/>
    <x v="39"/>
    <x v="694"/>
  </r>
  <r>
    <x v="38"/>
    <x v="38"/>
    <x v="39"/>
    <x v="695"/>
  </r>
  <r>
    <x v="10"/>
    <x v="10"/>
    <x v="39"/>
    <x v="696"/>
  </r>
  <r>
    <x v="11"/>
    <x v="11"/>
    <x v="39"/>
    <x v="697"/>
  </r>
  <r>
    <x v="28"/>
    <x v="28"/>
    <x v="39"/>
    <x v="698"/>
  </r>
  <r>
    <x v="29"/>
    <x v="29"/>
    <x v="39"/>
    <x v="699"/>
  </r>
  <r>
    <x v="30"/>
    <x v="30"/>
    <x v="39"/>
    <x v="700"/>
  </r>
  <r>
    <x v="69"/>
    <x v="69"/>
    <x v="39"/>
    <x v="111"/>
  </r>
  <r>
    <x v="46"/>
    <x v="46"/>
    <x v="39"/>
    <x v="339"/>
  </r>
  <r>
    <x v="14"/>
    <x v="14"/>
    <x v="39"/>
    <x v="15"/>
  </r>
  <r>
    <x v="47"/>
    <x v="47"/>
    <x v="39"/>
    <x v="111"/>
  </r>
  <r>
    <x v="78"/>
    <x v="78"/>
    <x v="39"/>
    <x v="98"/>
  </r>
  <r>
    <x v="15"/>
    <x v="15"/>
    <x v="39"/>
    <x v="209"/>
  </r>
  <r>
    <x v="16"/>
    <x v="16"/>
    <x v="39"/>
    <x v="111"/>
  </r>
  <r>
    <x v="17"/>
    <x v="17"/>
    <x v="39"/>
    <x v="40"/>
  </r>
  <r>
    <x v="19"/>
    <x v="19"/>
    <x v="40"/>
    <x v="701"/>
  </r>
  <r>
    <x v="1"/>
    <x v="1"/>
    <x v="40"/>
    <x v="165"/>
  </r>
  <r>
    <x v="76"/>
    <x v="76"/>
    <x v="40"/>
    <x v="702"/>
  </r>
  <r>
    <x v="2"/>
    <x v="2"/>
    <x v="40"/>
    <x v="703"/>
  </r>
  <r>
    <x v="34"/>
    <x v="34"/>
    <x v="40"/>
    <x v="261"/>
  </r>
  <r>
    <x v="21"/>
    <x v="21"/>
    <x v="40"/>
    <x v="704"/>
  </r>
  <r>
    <x v="3"/>
    <x v="3"/>
    <x v="40"/>
    <x v="705"/>
  </r>
  <r>
    <x v="35"/>
    <x v="35"/>
    <x v="40"/>
    <x v="706"/>
  </r>
  <r>
    <x v="4"/>
    <x v="4"/>
    <x v="40"/>
    <x v="637"/>
  </r>
  <r>
    <x v="5"/>
    <x v="5"/>
    <x v="40"/>
    <x v="5"/>
  </r>
  <r>
    <x v="23"/>
    <x v="23"/>
    <x v="40"/>
    <x v="707"/>
  </r>
  <r>
    <x v="26"/>
    <x v="26"/>
    <x v="40"/>
    <x v="141"/>
  </r>
  <r>
    <x v="36"/>
    <x v="36"/>
    <x v="40"/>
    <x v="708"/>
  </r>
  <r>
    <x v="77"/>
    <x v="77"/>
    <x v="40"/>
    <x v="709"/>
  </r>
  <r>
    <x v="8"/>
    <x v="8"/>
    <x v="40"/>
    <x v="710"/>
  </r>
  <r>
    <x v="9"/>
    <x v="9"/>
    <x v="40"/>
    <x v="711"/>
  </r>
  <r>
    <x v="38"/>
    <x v="38"/>
    <x v="40"/>
    <x v="712"/>
  </r>
  <r>
    <x v="10"/>
    <x v="10"/>
    <x v="40"/>
    <x v="713"/>
  </r>
  <r>
    <x v="27"/>
    <x v="27"/>
    <x v="40"/>
    <x v="70"/>
  </r>
  <r>
    <x v="11"/>
    <x v="11"/>
    <x v="40"/>
    <x v="714"/>
  </r>
  <r>
    <x v="12"/>
    <x v="12"/>
    <x v="40"/>
    <x v="715"/>
  </r>
  <r>
    <x v="29"/>
    <x v="29"/>
    <x v="40"/>
    <x v="716"/>
  </r>
  <r>
    <x v="30"/>
    <x v="30"/>
    <x v="40"/>
    <x v="128"/>
  </r>
  <r>
    <x v="46"/>
    <x v="46"/>
    <x v="40"/>
    <x v="717"/>
  </r>
  <r>
    <x v="14"/>
    <x v="14"/>
    <x v="40"/>
    <x v="82"/>
  </r>
  <r>
    <x v="47"/>
    <x v="47"/>
    <x v="40"/>
    <x v="82"/>
  </r>
  <r>
    <x v="15"/>
    <x v="15"/>
    <x v="40"/>
    <x v="82"/>
  </r>
  <r>
    <x v="16"/>
    <x v="16"/>
    <x v="40"/>
    <x v="40"/>
  </r>
  <r>
    <x v="17"/>
    <x v="17"/>
    <x v="40"/>
    <x v="718"/>
  </r>
  <r>
    <x v="19"/>
    <x v="19"/>
    <x v="41"/>
    <x v="605"/>
  </r>
  <r>
    <x v="0"/>
    <x v="0"/>
    <x v="41"/>
    <x v="20"/>
  </r>
  <r>
    <x v="76"/>
    <x v="76"/>
    <x v="41"/>
    <x v="301"/>
  </r>
  <r>
    <x v="2"/>
    <x v="2"/>
    <x v="41"/>
    <x v="21"/>
  </r>
  <r>
    <x v="21"/>
    <x v="21"/>
    <x v="41"/>
    <x v="66"/>
  </r>
  <r>
    <x v="3"/>
    <x v="3"/>
    <x v="41"/>
    <x v="719"/>
  </r>
  <r>
    <x v="4"/>
    <x v="4"/>
    <x v="41"/>
    <x v="688"/>
  </r>
  <r>
    <x v="52"/>
    <x v="52"/>
    <x v="41"/>
    <x v="215"/>
  </r>
  <r>
    <x v="5"/>
    <x v="5"/>
    <x v="41"/>
    <x v="549"/>
  </r>
  <r>
    <x v="26"/>
    <x v="26"/>
    <x v="41"/>
    <x v="720"/>
  </r>
  <r>
    <x v="93"/>
    <x v="93"/>
    <x v="41"/>
    <x v="721"/>
  </r>
  <r>
    <x v="8"/>
    <x v="8"/>
    <x v="41"/>
    <x v="710"/>
  </r>
  <r>
    <x v="9"/>
    <x v="9"/>
    <x v="41"/>
    <x v="722"/>
  </r>
  <r>
    <x v="38"/>
    <x v="38"/>
    <x v="41"/>
    <x v="723"/>
  </r>
  <r>
    <x v="10"/>
    <x v="10"/>
    <x v="41"/>
    <x v="150"/>
  </r>
  <r>
    <x v="11"/>
    <x v="11"/>
    <x v="41"/>
    <x v="251"/>
  </r>
  <r>
    <x v="29"/>
    <x v="29"/>
    <x v="41"/>
    <x v="414"/>
  </r>
  <r>
    <x v="30"/>
    <x v="30"/>
    <x v="41"/>
    <x v="431"/>
  </r>
  <r>
    <x v="40"/>
    <x v="40"/>
    <x v="41"/>
    <x v="724"/>
  </r>
  <r>
    <x v="46"/>
    <x v="46"/>
    <x v="41"/>
    <x v="40"/>
  </r>
  <r>
    <x v="14"/>
    <x v="14"/>
    <x v="41"/>
    <x v="159"/>
  </r>
  <r>
    <x v="16"/>
    <x v="16"/>
    <x v="41"/>
    <x v="82"/>
  </r>
  <r>
    <x v="17"/>
    <x v="17"/>
    <x v="41"/>
    <x v="725"/>
  </r>
  <r>
    <x v="76"/>
    <x v="76"/>
    <x v="42"/>
    <x v="726"/>
  </r>
  <r>
    <x v="2"/>
    <x v="2"/>
    <x v="42"/>
    <x v="416"/>
  </r>
  <r>
    <x v="21"/>
    <x v="21"/>
    <x v="42"/>
    <x v="727"/>
  </r>
  <r>
    <x v="35"/>
    <x v="35"/>
    <x v="42"/>
    <x v="438"/>
  </r>
  <r>
    <x v="4"/>
    <x v="4"/>
    <x v="42"/>
    <x v="688"/>
  </r>
  <r>
    <x v="22"/>
    <x v="22"/>
    <x v="42"/>
    <x v="510"/>
  </r>
  <r>
    <x v="86"/>
    <x v="86"/>
    <x v="42"/>
    <x v="523"/>
  </r>
  <r>
    <x v="37"/>
    <x v="37"/>
    <x v="42"/>
    <x v="442"/>
  </r>
  <r>
    <x v="8"/>
    <x v="8"/>
    <x v="42"/>
    <x v="238"/>
  </r>
  <r>
    <x v="9"/>
    <x v="9"/>
    <x v="42"/>
    <x v="9"/>
  </r>
  <r>
    <x v="38"/>
    <x v="38"/>
    <x v="42"/>
    <x v="728"/>
  </r>
  <r>
    <x v="10"/>
    <x v="10"/>
    <x v="42"/>
    <x v="729"/>
  </r>
  <r>
    <x v="11"/>
    <x v="11"/>
    <x v="42"/>
    <x v="730"/>
  </r>
  <r>
    <x v="28"/>
    <x v="28"/>
    <x v="42"/>
    <x v="731"/>
  </r>
  <r>
    <x v="43"/>
    <x v="43"/>
    <x v="42"/>
    <x v="732"/>
  </r>
  <r>
    <x v="13"/>
    <x v="13"/>
    <x v="42"/>
    <x v="161"/>
  </r>
  <r>
    <x v="46"/>
    <x v="46"/>
    <x v="42"/>
    <x v="40"/>
  </r>
  <r>
    <x v="14"/>
    <x v="14"/>
    <x v="42"/>
    <x v="210"/>
  </r>
  <r>
    <x v="15"/>
    <x v="15"/>
    <x v="42"/>
    <x v="230"/>
  </r>
  <r>
    <x v="16"/>
    <x v="16"/>
    <x v="42"/>
    <x v="160"/>
  </r>
  <r>
    <x v="17"/>
    <x v="17"/>
    <x v="42"/>
    <x v="230"/>
  </r>
  <r>
    <x v="48"/>
    <x v="48"/>
    <x v="43"/>
    <x v="98"/>
  </r>
  <r>
    <x v="2"/>
    <x v="2"/>
    <x v="43"/>
    <x v="231"/>
  </r>
  <r>
    <x v="4"/>
    <x v="4"/>
    <x v="43"/>
    <x v="733"/>
  </r>
  <r>
    <x v="67"/>
    <x v="67"/>
    <x v="43"/>
    <x v="734"/>
  </r>
  <r>
    <x v="7"/>
    <x v="7"/>
    <x v="43"/>
    <x v="735"/>
  </r>
  <r>
    <x v="8"/>
    <x v="8"/>
    <x v="43"/>
    <x v="736"/>
  </r>
  <r>
    <x v="9"/>
    <x v="9"/>
    <x v="43"/>
    <x v="387"/>
  </r>
  <r>
    <x v="38"/>
    <x v="38"/>
    <x v="43"/>
    <x v="591"/>
  </r>
  <r>
    <x v="10"/>
    <x v="10"/>
    <x v="43"/>
    <x v="737"/>
  </r>
  <r>
    <x v="27"/>
    <x v="27"/>
    <x v="43"/>
    <x v="406"/>
  </r>
  <r>
    <x v="11"/>
    <x v="11"/>
    <x v="43"/>
    <x v="738"/>
  </r>
  <r>
    <x v="30"/>
    <x v="30"/>
    <x v="43"/>
    <x v="739"/>
  </r>
  <r>
    <x v="46"/>
    <x v="46"/>
    <x v="43"/>
    <x v="18"/>
  </r>
  <r>
    <x v="14"/>
    <x v="14"/>
    <x v="43"/>
    <x v="111"/>
  </r>
  <r>
    <x v="15"/>
    <x v="15"/>
    <x v="43"/>
    <x v="62"/>
  </r>
  <r>
    <x v="16"/>
    <x v="16"/>
    <x v="43"/>
    <x v="82"/>
  </r>
  <r>
    <x v="17"/>
    <x v="17"/>
    <x v="43"/>
    <x v="740"/>
  </r>
  <r>
    <x v="2"/>
    <x v="2"/>
    <x v="44"/>
    <x v="81"/>
  </r>
  <r>
    <x v="20"/>
    <x v="20"/>
    <x v="44"/>
    <x v="65"/>
  </r>
  <r>
    <x v="3"/>
    <x v="3"/>
    <x v="44"/>
    <x v="741"/>
  </r>
  <r>
    <x v="4"/>
    <x v="4"/>
    <x v="44"/>
    <x v="742"/>
  </r>
  <r>
    <x v="5"/>
    <x v="5"/>
    <x v="44"/>
    <x v="743"/>
  </r>
  <r>
    <x v="23"/>
    <x v="23"/>
    <x v="44"/>
    <x v="744"/>
  </r>
  <r>
    <x v="36"/>
    <x v="36"/>
    <x v="44"/>
    <x v="745"/>
  </r>
  <r>
    <x v="8"/>
    <x v="8"/>
    <x v="44"/>
    <x v="746"/>
  </r>
  <r>
    <x v="9"/>
    <x v="9"/>
    <x v="44"/>
    <x v="747"/>
  </r>
  <r>
    <x v="38"/>
    <x v="38"/>
    <x v="44"/>
    <x v="748"/>
  </r>
  <r>
    <x v="10"/>
    <x v="10"/>
    <x v="44"/>
    <x v="94"/>
  </r>
  <r>
    <x v="11"/>
    <x v="11"/>
    <x v="44"/>
    <x v="749"/>
  </r>
  <r>
    <x v="12"/>
    <x v="12"/>
    <x v="44"/>
    <x v="374"/>
  </r>
  <r>
    <x v="29"/>
    <x v="29"/>
    <x v="44"/>
    <x v="750"/>
  </r>
  <r>
    <x v="30"/>
    <x v="30"/>
    <x v="44"/>
    <x v="161"/>
  </r>
  <r>
    <x v="60"/>
    <x v="60"/>
    <x v="44"/>
    <x v="131"/>
  </r>
  <r>
    <x v="46"/>
    <x v="46"/>
    <x v="44"/>
    <x v="500"/>
  </r>
  <r>
    <x v="14"/>
    <x v="14"/>
    <x v="44"/>
    <x v="85"/>
  </r>
  <r>
    <x v="15"/>
    <x v="15"/>
    <x v="44"/>
    <x v="507"/>
  </r>
  <r>
    <x v="17"/>
    <x v="17"/>
    <x v="44"/>
    <x v="447"/>
  </r>
  <r>
    <x v="19"/>
    <x v="19"/>
    <x v="45"/>
    <x v="751"/>
  </r>
  <r>
    <x v="0"/>
    <x v="0"/>
    <x v="45"/>
    <x v="752"/>
  </r>
  <r>
    <x v="76"/>
    <x v="76"/>
    <x v="45"/>
    <x v="753"/>
  </r>
  <r>
    <x v="2"/>
    <x v="2"/>
    <x v="45"/>
    <x v="754"/>
  </r>
  <r>
    <x v="20"/>
    <x v="20"/>
    <x v="45"/>
    <x v="755"/>
  </r>
  <r>
    <x v="34"/>
    <x v="34"/>
    <x v="45"/>
    <x v="702"/>
  </r>
  <r>
    <x v="21"/>
    <x v="21"/>
    <x v="45"/>
    <x v="756"/>
  </r>
  <r>
    <x v="3"/>
    <x v="3"/>
    <x v="45"/>
    <x v="757"/>
  </r>
  <r>
    <x v="35"/>
    <x v="35"/>
    <x v="45"/>
    <x v="398"/>
  </r>
  <r>
    <x v="4"/>
    <x v="4"/>
    <x v="45"/>
    <x v="758"/>
  </r>
  <r>
    <x v="52"/>
    <x v="52"/>
    <x v="45"/>
    <x v="759"/>
  </r>
  <r>
    <x v="5"/>
    <x v="5"/>
    <x v="45"/>
    <x v="760"/>
  </r>
  <r>
    <x v="65"/>
    <x v="65"/>
    <x v="45"/>
    <x v="761"/>
  </r>
  <r>
    <x v="70"/>
    <x v="70"/>
    <x v="45"/>
    <x v="762"/>
  </r>
  <r>
    <x v="89"/>
    <x v="89"/>
    <x v="45"/>
    <x v="763"/>
  </r>
  <r>
    <x v="74"/>
    <x v="74"/>
    <x v="45"/>
    <x v="764"/>
  </r>
  <r>
    <x v="77"/>
    <x v="77"/>
    <x v="45"/>
    <x v="765"/>
  </r>
  <r>
    <x v="63"/>
    <x v="63"/>
    <x v="45"/>
    <x v="766"/>
  </r>
  <r>
    <x v="94"/>
    <x v="94"/>
    <x v="45"/>
    <x v="767"/>
  </r>
  <r>
    <x v="37"/>
    <x v="37"/>
    <x v="45"/>
    <x v="442"/>
  </r>
  <r>
    <x v="8"/>
    <x v="8"/>
    <x v="45"/>
    <x v="693"/>
  </r>
  <r>
    <x v="9"/>
    <x v="9"/>
    <x v="45"/>
    <x v="387"/>
  </r>
  <r>
    <x v="38"/>
    <x v="38"/>
    <x v="45"/>
    <x v="768"/>
  </r>
  <r>
    <x v="10"/>
    <x v="10"/>
    <x v="45"/>
    <x v="769"/>
  </r>
  <r>
    <x v="11"/>
    <x v="11"/>
    <x v="45"/>
    <x v="770"/>
  </r>
  <r>
    <x v="53"/>
    <x v="53"/>
    <x v="45"/>
    <x v="771"/>
  </r>
  <r>
    <x v="28"/>
    <x v="28"/>
    <x v="45"/>
    <x v="184"/>
  </r>
  <r>
    <x v="12"/>
    <x v="12"/>
    <x v="45"/>
    <x v="772"/>
  </r>
  <r>
    <x v="29"/>
    <x v="29"/>
    <x v="45"/>
    <x v="773"/>
  </r>
  <r>
    <x v="72"/>
    <x v="72"/>
    <x v="45"/>
    <x v="774"/>
  </r>
  <r>
    <x v="30"/>
    <x v="30"/>
    <x v="45"/>
    <x v="316"/>
  </r>
  <r>
    <x v="64"/>
    <x v="64"/>
    <x v="45"/>
    <x v="775"/>
  </r>
  <r>
    <x v="13"/>
    <x v="13"/>
    <x v="45"/>
    <x v="294"/>
  </r>
  <r>
    <x v="46"/>
    <x v="46"/>
    <x v="45"/>
    <x v="776"/>
  </r>
  <r>
    <x v="14"/>
    <x v="14"/>
    <x v="45"/>
    <x v="111"/>
  </r>
  <r>
    <x v="47"/>
    <x v="47"/>
    <x v="45"/>
    <x v="14"/>
  </r>
  <r>
    <x v="78"/>
    <x v="78"/>
    <x v="45"/>
    <x v="40"/>
  </r>
  <r>
    <x v="15"/>
    <x v="15"/>
    <x v="45"/>
    <x v="209"/>
  </r>
  <r>
    <x v="16"/>
    <x v="16"/>
    <x v="45"/>
    <x v="147"/>
  </r>
  <r>
    <x v="17"/>
    <x v="17"/>
    <x v="45"/>
    <x v="615"/>
  </r>
  <r>
    <x v="76"/>
    <x v="76"/>
    <x v="46"/>
    <x v="687"/>
  </r>
  <r>
    <x v="2"/>
    <x v="2"/>
    <x v="46"/>
    <x v="231"/>
  </r>
  <r>
    <x v="21"/>
    <x v="21"/>
    <x v="46"/>
    <x v="517"/>
  </r>
  <r>
    <x v="4"/>
    <x v="4"/>
    <x v="46"/>
    <x v="777"/>
  </r>
  <r>
    <x v="5"/>
    <x v="5"/>
    <x v="46"/>
    <x v="778"/>
  </r>
  <r>
    <x v="65"/>
    <x v="65"/>
    <x v="46"/>
    <x v="147"/>
  </r>
  <r>
    <x v="70"/>
    <x v="70"/>
    <x v="46"/>
    <x v="691"/>
  </r>
  <r>
    <x v="6"/>
    <x v="6"/>
    <x v="46"/>
    <x v="90"/>
  </r>
  <r>
    <x v="8"/>
    <x v="8"/>
    <x v="46"/>
    <x v="238"/>
  </r>
  <r>
    <x v="9"/>
    <x v="9"/>
    <x v="46"/>
    <x v="779"/>
  </r>
  <r>
    <x v="10"/>
    <x v="10"/>
    <x v="46"/>
    <x v="780"/>
  </r>
  <r>
    <x v="27"/>
    <x v="27"/>
    <x v="46"/>
    <x v="781"/>
  </r>
  <r>
    <x v="11"/>
    <x v="11"/>
    <x v="46"/>
    <x v="782"/>
  </r>
  <r>
    <x v="53"/>
    <x v="53"/>
    <x v="46"/>
    <x v="482"/>
  </r>
  <r>
    <x v="12"/>
    <x v="12"/>
    <x v="46"/>
    <x v="783"/>
  </r>
  <r>
    <x v="29"/>
    <x v="29"/>
    <x v="46"/>
    <x v="784"/>
  </r>
  <r>
    <x v="72"/>
    <x v="72"/>
    <x v="46"/>
    <x v="785"/>
  </r>
  <r>
    <x v="43"/>
    <x v="43"/>
    <x v="46"/>
    <x v="786"/>
  </r>
  <r>
    <x v="30"/>
    <x v="30"/>
    <x v="46"/>
    <x v="787"/>
  </r>
  <r>
    <x v="80"/>
    <x v="80"/>
    <x v="46"/>
    <x v="531"/>
  </r>
  <r>
    <x v="81"/>
    <x v="81"/>
    <x v="46"/>
    <x v="788"/>
  </r>
  <r>
    <x v="64"/>
    <x v="64"/>
    <x v="46"/>
    <x v="775"/>
  </r>
  <r>
    <x v="60"/>
    <x v="60"/>
    <x v="46"/>
    <x v="789"/>
  </r>
  <r>
    <x v="46"/>
    <x v="46"/>
    <x v="46"/>
    <x v="717"/>
  </r>
  <r>
    <x v="14"/>
    <x v="14"/>
    <x v="46"/>
    <x v="40"/>
  </r>
  <r>
    <x v="47"/>
    <x v="47"/>
    <x v="46"/>
    <x v="62"/>
  </r>
  <r>
    <x v="78"/>
    <x v="78"/>
    <x v="46"/>
    <x v="62"/>
  </r>
  <r>
    <x v="76"/>
    <x v="76"/>
    <x v="47"/>
    <x v="687"/>
  </r>
  <r>
    <x v="2"/>
    <x v="2"/>
    <x v="47"/>
    <x v="81"/>
  </r>
  <r>
    <x v="21"/>
    <x v="21"/>
    <x v="47"/>
    <x v="66"/>
  </r>
  <r>
    <x v="35"/>
    <x v="35"/>
    <x v="47"/>
    <x v="790"/>
  </r>
  <r>
    <x v="4"/>
    <x v="4"/>
    <x v="47"/>
    <x v="791"/>
  </r>
  <r>
    <x v="22"/>
    <x v="22"/>
    <x v="47"/>
    <x v="792"/>
  </r>
  <r>
    <x v="5"/>
    <x v="5"/>
    <x v="47"/>
    <x v="793"/>
  </r>
  <r>
    <x v="23"/>
    <x v="23"/>
    <x v="47"/>
    <x v="794"/>
  </r>
  <r>
    <x v="70"/>
    <x v="70"/>
    <x v="47"/>
    <x v="795"/>
  </r>
  <r>
    <x v="86"/>
    <x v="86"/>
    <x v="47"/>
    <x v="796"/>
  </r>
  <r>
    <x v="88"/>
    <x v="88"/>
    <x v="47"/>
    <x v="797"/>
  </r>
  <r>
    <x v="63"/>
    <x v="63"/>
    <x v="47"/>
    <x v="798"/>
  </r>
  <r>
    <x v="8"/>
    <x v="8"/>
    <x v="47"/>
    <x v="799"/>
  </r>
  <r>
    <x v="58"/>
    <x v="58"/>
    <x v="47"/>
    <x v="479"/>
  </r>
  <r>
    <x v="10"/>
    <x v="10"/>
    <x v="47"/>
    <x v="800"/>
  </r>
  <r>
    <x v="27"/>
    <x v="27"/>
    <x v="47"/>
    <x v="70"/>
  </r>
  <r>
    <x v="11"/>
    <x v="11"/>
    <x v="47"/>
    <x v="801"/>
  </r>
  <r>
    <x v="28"/>
    <x v="28"/>
    <x v="47"/>
    <x v="802"/>
  </r>
  <r>
    <x v="12"/>
    <x v="12"/>
    <x v="47"/>
    <x v="803"/>
  </r>
  <r>
    <x v="29"/>
    <x v="29"/>
    <x v="47"/>
    <x v="804"/>
  </r>
  <r>
    <x v="30"/>
    <x v="30"/>
    <x v="47"/>
    <x v="77"/>
  </r>
  <r>
    <x v="64"/>
    <x v="64"/>
    <x v="47"/>
    <x v="503"/>
  </r>
  <r>
    <x v="73"/>
    <x v="73"/>
    <x v="47"/>
    <x v="805"/>
  </r>
  <r>
    <x v="32"/>
    <x v="32"/>
    <x v="47"/>
    <x v="806"/>
  </r>
  <r>
    <x v="51"/>
    <x v="51"/>
    <x v="47"/>
    <x v="807"/>
  </r>
  <r>
    <x v="69"/>
    <x v="69"/>
    <x v="47"/>
    <x v="160"/>
  </r>
  <r>
    <x v="46"/>
    <x v="46"/>
    <x v="47"/>
    <x v="159"/>
  </r>
  <r>
    <x v="14"/>
    <x v="14"/>
    <x v="47"/>
    <x v="230"/>
  </r>
  <r>
    <x v="78"/>
    <x v="78"/>
    <x v="47"/>
    <x v="62"/>
  </r>
  <r>
    <x v="15"/>
    <x v="15"/>
    <x v="47"/>
    <x v="111"/>
  </r>
  <r>
    <x v="17"/>
    <x v="17"/>
    <x v="47"/>
    <x v="808"/>
  </r>
  <r>
    <x v="49"/>
    <x v="49"/>
    <x v="48"/>
    <x v="14"/>
  </r>
  <r>
    <x v="76"/>
    <x v="76"/>
    <x v="48"/>
    <x v="687"/>
  </r>
  <r>
    <x v="2"/>
    <x v="2"/>
    <x v="48"/>
    <x v="809"/>
  </r>
  <r>
    <x v="5"/>
    <x v="5"/>
    <x v="48"/>
    <x v="810"/>
  </r>
  <r>
    <x v="23"/>
    <x v="23"/>
    <x v="48"/>
    <x v="118"/>
  </r>
  <r>
    <x v="8"/>
    <x v="8"/>
    <x v="48"/>
    <x v="811"/>
  </r>
  <r>
    <x v="9"/>
    <x v="9"/>
    <x v="48"/>
    <x v="443"/>
  </r>
  <r>
    <x v="38"/>
    <x v="38"/>
    <x v="48"/>
    <x v="330"/>
  </r>
  <r>
    <x v="10"/>
    <x v="10"/>
    <x v="48"/>
    <x v="812"/>
  </r>
  <r>
    <x v="11"/>
    <x v="11"/>
    <x v="48"/>
    <x v="782"/>
  </r>
  <r>
    <x v="95"/>
    <x v="95"/>
    <x v="48"/>
    <x v="361"/>
  </r>
  <r>
    <x v="12"/>
    <x v="12"/>
    <x v="48"/>
    <x v="356"/>
  </r>
  <r>
    <x v="29"/>
    <x v="29"/>
    <x v="48"/>
    <x v="656"/>
  </r>
  <r>
    <x v="30"/>
    <x v="30"/>
    <x v="48"/>
    <x v="586"/>
  </r>
  <r>
    <x v="40"/>
    <x v="40"/>
    <x v="48"/>
    <x v="813"/>
  </r>
  <r>
    <x v="46"/>
    <x v="46"/>
    <x v="48"/>
    <x v="814"/>
  </r>
  <r>
    <x v="14"/>
    <x v="14"/>
    <x v="48"/>
    <x v="40"/>
  </r>
  <r>
    <x v="47"/>
    <x v="47"/>
    <x v="48"/>
    <x v="62"/>
  </r>
  <r>
    <x v="83"/>
    <x v="83"/>
    <x v="48"/>
    <x v="160"/>
  </r>
  <r>
    <x v="16"/>
    <x v="16"/>
    <x v="48"/>
    <x v="82"/>
  </r>
  <r>
    <x v="17"/>
    <x v="17"/>
    <x v="48"/>
    <x v="815"/>
  </r>
  <r>
    <x v="1"/>
    <x v="1"/>
    <x v="49"/>
    <x v="1"/>
  </r>
  <r>
    <x v="2"/>
    <x v="2"/>
    <x v="49"/>
    <x v="396"/>
  </r>
  <r>
    <x v="3"/>
    <x v="3"/>
    <x v="49"/>
    <x v="816"/>
  </r>
  <r>
    <x v="35"/>
    <x v="35"/>
    <x v="49"/>
    <x v="817"/>
  </r>
  <r>
    <x v="4"/>
    <x v="4"/>
    <x v="49"/>
    <x v="742"/>
  </r>
  <r>
    <x v="22"/>
    <x v="22"/>
    <x v="49"/>
    <x v="818"/>
  </r>
  <r>
    <x v="5"/>
    <x v="5"/>
    <x v="49"/>
    <x v="265"/>
  </r>
  <r>
    <x v="23"/>
    <x v="23"/>
    <x v="49"/>
    <x v="118"/>
  </r>
  <r>
    <x v="67"/>
    <x v="67"/>
    <x v="49"/>
    <x v="819"/>
  </r>
  <r>
    <x v="26"/>
    <x v="26"/>
    <x v="49"/>
    <x v="369"/>
  </r>
  <r>
    <x v="63"/>
    <x v="63"/>
    <x v="49"/>
    <x v="820"/>
  </r>
  <r>
    <x v="8"/>
    <x v="8"/>
    <x v="49"/>
    <x v="821"/>
  </r>
  <r>
    <x v="9"/>
    <x v="9"/>
    <x v="49"/>
    <x v="249"/>
  </r>
  <r>
    <x v="10"/>
    <x v="10"/>
    <x v="49"/>
    <x v="94"/>
  </r>
  <r>
    <x v="27"/>
    <x v="27"/>
    <x v="49"/>
    <x v="822"/>
  </r>
  <r>
    <x v="11"/>
    <x v="11"/>
    <x v="49"/>
    <x v="823"/>
  </r>
  <r>
    <x v="95"/>
    <x v="95"/>
    <x v="49"/>
    <x v="824"/>
  </r>
  <r>
    <x v="29"/>
    <x v="29"/>
    <x v="49"/>
    <x v="430"/>
  </r>
  <r>
    <x v="30"/>
    <x v="30"/>
    <x v="49"/>
    <x v="825"/>
  </r>
  <r>
    <x v="40"/>
    <x v="40"/>
    <x v="49"/>
    <x v="813"/>
  </r>
  <r>
    <x v="73"/>
    <x v="73"/>
    <x v="49"/>
    <x v="633"/>
  </r>
  <r>
    <x v="13"/>
    <x v="13"/>
    <x v="49"/>
    <x v="98"/>
  </r>
  <r>
    <x v="46"/>
    <x v="46"/>
    <x v="49"/>
    <x v="826"/>
  </r>
  <r>
    <x v="14"/>
    <x v="14"/>
    <x v="49"/>
    <x v="717"/>
  </r>
  <r>
    <x v="47"/>
    <x v="47"/>
    <x v="49"/>
    <x v="209"/>
  </r>
  <r>
    <x v="78"/>
    <x v="78"/>
    <x v="49"/>
    <x v="62"/>
  </r>
  <r>
    <x v="15"/>
    <x v="15"/>
    <x v="49"/>
    <x v="230"/>
  </r>
  <r>
    <x v="17"/>
    <x v="17"/>
    <x v="49"/>
    <x v="5"/>
  </r>
  <r>
    <x v="2"/>
    <x v="2"/>
    <x v="50"/>
    <x v="188"/>
  </r>
  <r>
    <x v="20"/>
    <x v="20"/>
    <x v="50"/>
    <x v="22"/>
  </r>
  <r>
    <x v="34"/>
    <x v="34"/>
    <x v="50"/>
    <x v="827"/>
  </r>
  <r>
    <x v="21"/>
    <x v="21"/>
    <x v="50"/>
    <x v="828"/>
  </r>
  <r>
    <x v="3"/>
    <x v="3"/>
    <x v="50"/>
    <x v="344"/>
  </r>
  <r>
    <x v="35"/>
    <x v="35"/>
    <x v="50"/>
    <x v="829"/>
  </r>
  <r>
    <x v="4"/>
    <x v="4"/>
    <x v="50"/>
    <x v="4"/>
  </r>
  <r>
    <x v="65"/>
    <x v="65"/>
    <x v="50"/>
    <x v="600"/>
  </r>
  <r>
    <x v="26"/>
    <x v="26"/>
    <x v="50"/>
    <x v="830"/>
  </r>
  <r>
    <x v="63"/>
    <x v="63"/>
    <x v="50"/>
    <x v="424"/>
  </r>
  <r>
    <x v="7"/>
    <x v="7"/>
    <x v="50"/>
    <x v="76"/>
  </r>
  <r>
    <x v="8"/>
    <x v="8"/>
    <x v="50"/>
    <x v="831"/>
  </r>
  <r>
    <x v="9"/>
    <x v="9"/>
    <x v="50"/>
    <x v="832"/>
  </r>
  <r>
    <x v="38"/>
    <x v="38"/>
    <x v="50"/>
    <x v="833"/>
  </r>
  <r>
    <x v="10"/>
    <x v="10"/>
    <x v="50"/>
    <x v="834"/>
  </r>
  <r>
    <x v="11"/>
    <x v="11"/>
    <x v="50"/>
    <x v="835"/>
  </r>
  <r>
    <x v="28"/>
    <x v="28"/>
    <x v="50"/>
    <x v="698"/>
  </r>
  <r>
    <x v="29"/>
    <x v="29"/>
    <x v="50"/>
    <x v="836"/>
  </r>
  <r>
    <x v="72"/>
    <x v="72"/>
    <x v="50"/>
    <x v="390"/>
  </r>
  <r>
    <x v="30"/>
    <x v="30"/>
    <x v="50"/>
    <x v="500"/>
  </r>
  <r>
    <x v="91"/>
    <x v="91"/>
    <x v="50"/>
    <x v="308"/>
  </r>
  <r>
    <x v="32"/>
    <x v="32"/>
    <x v="50"/>
    <x v="297"/>
  </r>
  <r>
    <x v="60"/>
    <x v="60"/>
    <x v="50"/>
    <x v="837"/>
  </r>
  <r>
    <x v="46"/>
    <x v="46"/>
    <x v="50"/>
    <x v="15"/>
  </r>
  <r>
    <x v="14"/>
    <x v="14"/>
    <x v="50"/>
    <x v="133"/>
  </r>
  <r>
    <x v="47"/>
    <x v="47"/>
    <x v="50"/>
    <x v="507"/>
  </r>
  <r>
    <x v="17"/>
    <x v="17"/>
    <x v="50"/>
    <x v="40"/>
  </r>
  <r>
    <x v="21"/>
    <x v="21"/>
    <x v="51"/>
    <x v="321"/>
  </r>
  <r>
    <x v="35"/>
    <x v="35"/>
    <x v="51"/>
    <x v="838"/>
  </r>
  <r>
    <x v="79"/>
    <x v="79"/>
    <x v="51"/>
    <x v="839"/>
  </r>
  <r>
    <x v="9"/>
    <x v="9"/>
    <x v="51"/>
    <x v="408"/>
  </r>
  <r>
    <x v="38"/>
    <x v="38"/>
    <x v="51"/>
    <x v="840"/>
  </r>
  <r>
    <x v="10"/>
    <x v="10"/>
    <x v="51"/>
    <x v="841"/>
  </r>
  <r>
    <x v="11"/>
    <x v="11"/>
    <x v="51"/>
    <x v="842"/>
  </r>
  <r>
    <x v="28"/>
    <x v="28"/>
    <x v="51"/>
    <x v="34"/>
  </r>
  <r>
    <x v="12"/>
    <x v="12"/>
    <x v="51"/>
    <x v="843"/>
  </r>
  <r>
    <x v="30"/>
    <x v="30"/>
    <x v="51"/>
    <x v="464"/>
  </r>
  <r>
    <x v="51"/>
    <x v="51"/>
    <x v="51"/>
    <x v="96"/>
  </r>
  <r>
    <x v="13"/>
    <x v="13"/>
    <x v="51"/>
    <x v="15"/>
  </r>
  <r>
    <x v="46"/>
    <x v="46"/>
    <x v="51"/>
    <x v="507"/>
  </r>
  <r>
    <x v="78"/>
    <x v="78"/>
    <x v="51"/>
    <x v="40"/>
  </r>
  <r>
    <x v="15"/>
    <x v="15"/>
    <x v="51"/>
    <x v="18"/>
  </r>
  <r>
    <x v="2"/>
    <x v="2"/>
    <x v="52"/>
    <x v="231"/>
  </r>
  <r>
    <x v="21"/>
    <x v="21"/>
    <x v="52"/>
    <x v="232"/>
  </r>
  <r>
    <x v="35"/>
    <x v="35"/>
    <x v="52"/>
    <x v="817"/>
  </r>
  <r>
    <x v="22"/>
    <x v="22"/>
    <x v="52"/>
    <x v="510"/>
  </r>
  <r>
    <x v="67"/>
    <x v="67"/>
    <x v="52"/>
    <x v="734"/>
  </r>
  <r>
    <x v="63"/>
    <x v="63"/>
    <x v="52"/>
    <x v="370"/>
  </r>
  <r>
    <x v="8"/>
    <x v="8"/>
    <x v="52"/>
    <x v="746"/>
  </r>
  <r>
    <x v="9"/>
    <x v="9"/>
    <x v="52"/>
    <x v="443"/>
  </r>
  <r>
    <x v="27"/>
    <x v="27"/>
    <x v="52"/>
    <x v="844"/>
  </r>
  <r>
    <x v="11"/>
    <x v="11"/>
    <x v="52"/>
    <x v="845"/>
  </r>
  <r>
    <x v="29"/>
    <x v="29"/>
    <x v="52"/>
    <x v="846"/>
  </r>
  <r>
    <x v="30"/>
    <x v="30"/>
    <x v="52"/>
    <x v="847"/>
  </r>
  <r>
    <x v="46"/>
    <x v="46"/>
    <x v="52"/>
    <x v="82"/>
  </r>
  <r>
    <x v="14"/>
    <x v="14"/>
    <x v="52"/>
    <x v="14"/>
  </r>
  <r>
    <x v="47"/>
    <x v="47"/>
    <x v="52"/>
    <x v="111"/>
  </r>
  <r>
    <x v="15"/>
    <x v="15"/>
    <x v="52"/>
    <x v="15"/>
  </r>
  <r>
    <x v="2"/>
    <x v="2"/>
    <x v="53"/>
    <x v="535"/>
  </r>
  <r>
    <x v="3"/>
    <x v="3"/>
    <x v="53"/>
    <x v="741"/>
  </r>
  <r>
    <x v="35"/>
    <x v="35"/>
    <x v="53"/>
    <x v="398"/>
  </r>
  <r>
    <x v="5"/>
    <x v="5"/>
    <x v="53"/>
    <x v="474"/>
  </r>
  <r>
    <x v="65"/>
    <x v="65"/>
    <x v="53"/>
    <x v="736"/>
  </r>
  <r>
    <x v="23"/>
    <x v="23"/>
    <x v="53"/>
    <x v="848"/>
  </r>
  <r>
    <x v="55"/>
    <x v="55"/>
    <x v="53"/>
    <x v="849"/>
  </r>
  <r>
    <x v="26"/>
    <x v="26"/>
    <x v="53"/>
    <x v="89"/>
  </r>
  <r>
    <x v="36"/>
    <x v="36"/>
    <x v="53"/>
    <x v="48"/>
  </r>
  <r>
    <x v="8"/>
    <x v="8"/>
    <x v="53"/>
    <x v="8"/>
  </r>
  <r>
    <x v="9"/>
    <x v="9"/>
    <x v="53"/>
    <x v="850"/>
  </r>
  <r>
    <x v="38"/>
    <x v="38"/>
    <x v="53"/>
    <x v="851"/>
  </r>
  <r>
    <x v="10"/>
    <x v="10"/>
    <x v="53"/>
    <x v="852"/>
  </r>
  <r>
    <x v="27"/>
    <x v="27"/>
    <x v="53"/>
    <x v="853"/>
  </r>
  <r>
    <x v="11"/>
    <x v="11"/>
    <x v="53"/>
    <x v="854"/>
  </r>
  <r>
    <x v="53"/>
    <x v="53"/>
    <x v="53"/>
    <x v="641"/>
  </r>
  <r>
    <x v="12"/>
    <x v="12"/>
    <x v="53"/>
    <x v="855"/>
  </r>
  <r>
    <x v="29"/>
    <x v="29"/>
    <x v="53"/>
    <x v="856"/>
  </r>
  <r>
    <x v="30"/>
    <x v="30"/>
    <x v="53"/>
    <x v="857"/>
  </r>
  <r>
    <x v="80"/>
    <x v="80"/>
    <x v="53"/>
    <x v="573"/>
  </r>
  <r>
    <x v="13"/>
    <x v="13"/>
    <x v="53"/>
    <x v="98"/>
  </r>
  <r>
    <x v="46"/>
    <x v="46"/>
    <x v="53"/>
    <x v="300"/>
  </r>
  <r>
    <x v="14"/>
    <x v="14"/>
    <x v="53"/>
    <x v="858"/>
  </r>
  <r>
    <x v="78"/>
    <x v="78"/>
    <x v="53"/>
    <x v="82"/>
  </r>
  <r>
    <x v="15"/>
    <x v="15"/>
    <x v="53"/>
    <x v="111"/>
  </r>
  <r>
    <x v="17"/>
    <x v="17"/>
    <x v="53"/>
    <x v="160"/>
  </r>
  <r>
    <x v="0"/>
    <x v="0"/>
    <x v="54"/>
    <x v="340"/>
  </r>
  <r>
    <x v="76"/>
    <x v="76"/>
    <x v="54"/>
    <x v="859"/>
  </r>
  <r>
    <x v="2"/>
    <x v="2"/>
    <x v="54"/>
    <x v="860"/>
  </r>
  <r>
    <x v="21"/>
    <x v="21"/>
    <x v="54"/>
    <x v="136"/>
  </r>
  <r>
    <x v="3"/>
    <x v="3"/>
    <x v="54"/>
    <x v="861"/>
  </r>
  <r>
    <x v="4"/>
    <x v="4"/>
    <x v="54"/>
    <x v="733"/>
  </r>
  <r>
    <x v="87"/>
    <x v="87"/>
    <x v="54"/>
    <x v="862"/>
  </r>
  <r>
    <x v="5"/>
    <x v="5"/>
    <x v="54"/>
    <x v="569"/>
  </r>
  <r>
    <x v="23"/>
    <x v="23"/>
    <x v="54"/>
    <x v="863"/>
  </r>
  <r>
    <x v="70"/>
    <x v="70"/>
    <x v="54"/>
    <x v="350"/>
  </r>
  <r>
    <x v="26"/>
    <x v="26"/>
    <x v="54"/>
    <x v="864"/>
  </r>
  <r>
    <x v="36"/>
    <x v="36"/>
    <x v="54"/>
    <x v="865"/>
  </r>
  <r>
    <x v="92"/>
    <x v="92"/>
    <x v="54"/>
    <x v="866"/>
  </r>
  <r>
    <x v="6"/>
    <x v="6"/>
    <x v="54"/>
    <x v="123"/>
  </r>
  <r>
    <x v="8"/>
    <x v="8"/>
    <x v="54"/>
    <x v="867"/>
  </r>
  <r>
    <x v="9"/>
    <x v="9"/>
    <x v="54"/>
    <x v="289"/>
  </r>
  <r>
    <x v="38"/>
    <x v="38"/>
    <x v="54"/>
    <x v="868"/>
  </r>
  <r>
    <x v="10"/>
    <x v="10"/>
    <x v="54"/>
    <x v="869"/>
  </r>
  <r>
    <x v="27"/>
    <x v="27"/>
    <x v="54"/>
    <x v="870"/>
  </r>
  <r>
    <x v="11"/>
    <x v="11"/>
    <x v="54"/>
    <x v="291"/>
  </r>
  <r>
    <x v="28"/>
    <x v="28"/>
    <x v="54"/>
    <x v="224"/>
  </r>
  <r>
    <x v="90"/>
    <x v="90"/>
    <x v="54"/>
    <x v="678"/>
  </r>
  <r>
    <x v="12"/>
    <x v="12"/>
    <x v="54"/>
    <x v="871"/>
  </r>
  <r>
    <x v="29"/>
    <x v="29"/>
    <x v="54"/>
    <x v="872"/>
  </r>
  <r>
    <x v="30"/>
    <x v="30"/>
    <x v="54"/>
    <x v="873"/>
  </r>
  <r>
    <x v="40"/>
    <x v="40"/>
    <x v="54"/>
    <x v="813"/>
  </r>
  <r>
    <x v="31"/>
    <x v="31"/>
    <x v="54"/>
    <x v="874"/>
  </r>
  <r>
    <x v="46"/>
    <x v="46"/>
    <x v="54"/>
    <x v="14"/>
  </r>
  <r>
    <x v="14"/>
    <x v="14"/>
    <x v="54"/>
    <x v="875"/>
  </r>
  <r>
    <x v="78"/>
    <x v="78"/>
    <x v="54"/>
    <x v="876"/>
  </r>
  <r>
    <x v="15"/>
    <x v="15"/>
    <x v="54"/>
    <x v="209"/>
  </r>
  <r>
    <x v="2"/>
    <x v="2"/>
    <x v="55"/>
    <x v="508"/>
  </r>
  <r>
    <x v="20"/>
    <x v="20"/>
    <x v="55"/>
    <x v="63"/>
  </r>
  <r>
    <x v="21"/>
    <x v="21"/>
    <x v="55"/>
    <x v="877"/>
  </r>
  <r>
    <x v="3"/>
    <x v="3"/>
    <x v="55"/>
    <x v="878"/>
  </r>
  <r>
    <x v="4"/>
    <x v="4"/>
    <x v="55"/>
    <x v="879"/>
  </r>
  <r>
    <x v="23"/>
    <x v="23"/>
    <x v="55"/>
    <x v="880"/>
  </r>
  <r>
    <x v="79"/>
    <x v="79"/>
    <x v="55"/>
    <x v="881"/>
  </r>
  <r>
    <x v="7"/>
    <x v="7"/>
    <x v="55"/>
    <x v="882"/>
  </r>
  <r>
    <x v="71"/>
    <x v="71"/>
    <x v="55"/>
    <x v="883"/>
  </r>
  <r>
    <x v="8"/>
    <x v="8"/>
    <x v="55"/>
    <x v="50"/>
  </r>
  <r>
    <x v="10"/>
    <x v="10"/>
    <x v="55"/>
    <x v="884"/>
  </r>
  <r>
    <x v="27"/>
    <x v="27"/>
    <x v="55"/>
    <x v="885"/>
  </r>
  <r>
    <x v="28"/>
    <x v="28"/>
    <x v="55"/>
    <x v="886"/>
  </r>
  <r>
    <x v="29"/>
    <x v="29"/>
    <x v="55"/>
    <x v="887"/>
  </r>
  <r>
    <x v="72"/>
    <x v="72"/>
    <x v="55"/>
    <x v="888"/>
  </r>
  <r>
    <x v="30"/>
    <x v="30"/>
    <x v="55"/>
    <x v="586"/>
  </r>
  <r>
    <x v="80"/>
    <x v="80"/>
    <x v="55"/>
    <x v="889"/>
  </r>
  <r>
    <x v="40"/>
    <x v="40"/>
    <x v="55"/>
    <x v="890"/>
  </r>
  <r>
    <x v="73"/>
    <x v="73"/>
    <x v="55"/>
    <x v="891"/>
  </r>
  <r>
    <x v="46"/>
    <x v="46"/>
    <x v="55"/>
    <x v="62"/>
  </r>
  <r>
    <x v="47"/>
    <x v="47"/>
    <x v="55"/>
    <x v="111"/>
  </r>
  <r>
    <x v="78"/>
    <x v="78"/>
    <x v="55"/>
    <x v="82"/>
  </r>
  <r>
    <x v="15"/>
    <x v="15"/>
    <x v="55"/>
    <x v="62"/>
  </r>
  <r>
    <x v="16"/>
    <x v="16"/>
    <x v="55"/>
    <x v="230"/>
  </r>
  <r>
    <x v="19"/>
    <x v="19"/>
    <x v="56"/>
    <x v="892"/>
  </r>
  <r>
    <x v="76"/>
    <x v="76"/>
    <x v="56"/>
    <x v="726"/>
  </r>
  <r>
    <x v="2"/>
    <x v="2"/>
    <x v="56"/>
    <x v="535"/>
  </r>
  <r>
    <x v="20"/>
    <x v="20"/>
    <x v="56"/>
    <x v="342"/>
  </r>
  <r>
    <x v="21"/>
    <x v="21"/>
    <x v="56"/>
    <x v="517"/>
  </r>
  <r>
    <x v="35"/>
    <x v="35"/>
    <x v="56"/>
    <x v="893"/>
  </r>
  <r>
    <x v="65"/>
    <x v="65"/>
    <x v="56"/>
    <x v="172"/>
  </r>
  <r>
    <x v="23"/>
    <x v="23"/>
    <x v="56"/>
    <x v="894"/>
  </r>
  <r>
    <x v="70"/>
    <x v="70"/>
    <x v="56"/>
    <x v="895"/>
  </r>
  <r>
    <x v="37"/>
    <x v="37"/>
    <x v="56"/>
    <x v="70"/>
  </r>
  <r>
    <x v="8"/>
    <x v="8"/>
    <x v="56"/>
    <x v="896"/>
  </r>
  <r>
    <x v="9"/>
    <x v="9"/>
    <x v="56"/>
    <x v="249"/>
  </r>
  <r>
    <x v="38"/>
    <x v="38"/>
    <x v="56"/>
    <x v="897"/>
  </r>
  <r>
    <x v="10"/>
    <x v="10"/>
    <x v="56"/>
    <x v="639"/>
  </r>
  <r>
    <x v="27"/>
    <x v="27"/>
    <x v="56"/>
    <x v="898"/>
  </r>
  <r>
    <x v="11"/>
    <x v="11"/>
    <x v="56"/>
    <x v="899"/>
  </r>
  <r>
    <x v="12"/>
    <x v="12"/>
    <x v="56"/>
    <x v="900"/>
  </r>
  <r>
    <x v="29"/>
    <x v="29"/>
    <x v="56"/>
    <x v="656"/>
  </r>
  <r>
    <x v="30"/>
    <x v="30"/>
    <x v="56"/>
    <x v="901"/>
  </r>
  <r>
    <x v="46"/>
    <x v="46"/>
    <x v="56"/>
    <x v="162"/>
  </r>
  <r>
    <x v="14"/>
    <x v="14"/>
    <x v="56"/>
    <x v="98"/>
  </r>
  <r>
    <x v="47"/>
    <x v="47"/>
    <x v="56"/>
    <x v="210"/>
  </r>
  <r>
    <x v="78"/>
    <x v="78"/>
    <x v="56"/>
    <x v="82"/>
  </r>
  <r>
    <x v="15"/>
    <x v="15"/>
    <x v="56"/>
    <x v="16"/>
  </r>
  <r>
    <x v="16"/>
    <x v="16"/>
    <x v="56"/>
    <x v="13"/>
  </r>
  <r>
    <x v="49"/>
    <x v="49"/>
    <x v="57"/>
    <x v="62"/>
  </r>
  <r>
    <x v="50"/>
    <x v="50"/>
    <x v="57"/>
    <x v="533"/>
  </r>
  <r>
    <x v="0"/>
    <x v="0"/>
    <x v="57"/>
    <x v="340"/>
  </r>
  <r>
    <x v="2"/>
    <x v="2"/>
    <x v="57"/>
    <x v="902"/>
  </r>
  <r>
    <x v="21"/>
    <x v="21"/>
    <x v="57"/>
    <x v="317"/>
  </r>
  <r>
    <x v="4"/>
    <x v="4"/>
    <x v="57"/>
    <x v="903"/>
  </r>
  <r>
    <x v="22"/>
    <x v="22"/>
    <x v="57"/>
    <x v="25"/>
  </r>
  <r>
    <x v="93"/>
    <x v="93"/>
    <x v="57"/>
    <x v="904"/>
  </r>
  <r>
    <x v="82"/>
    <x v="82"/>
    <x v="57"/>
    <x v="578"/>
  </r>
  <r>
    <x v="77"/>
    <x v="77"/>
    <x v="57"/>
    <x v="320"/>
  </r>
  <r>
    <x v="8"/>
    <x v="8"/>
    <x v="57"/>
    <x v="50"/>
  </r>
  <r>
    <x v="10"/>
    <x v="10"/>
    <x v="57"/>
    <x v="905"/>
  </r>
  <r>
    <x v="27"/>
    <x v="27"/>
    <x v="57"/>
    <x v="906"/>
  </r>
  <r>
    <x v="11"/>
    <x v="11"/>
    <x v="57"/>
    <x v="73"/>
  </r>
  <r>
    <x v="28"/>
    <x v="28"/>
    <x v="57"/>
    <x v="412"/>
  </r>
  <r>
    <x v="29"/>
    <x v="29"/>
    <x v="57"/>
    <x v="907"/>
  </r>
  <r>
    <x v="30"/>
    <x v="30"/>
    <x v="57"/>
    <x v="630"/>
  </r>
  <r>
    <x v="60"/>
    <x v="60"/>
    <x v="57"/>
    <x v="298"/>
  </r>
  <r>
    <x v="13"/>
    <x v="13"/>
    <x v="57"/>
    <x v="98"/>
  </r>
  <r>
    <x v="96"/>
    <x v="96"/>
    <x v="57"/>
    <x v="40"/>
  </r>
  <r>
    <x v="46"/>
    <x v="46"/>
    <x v="57"/>
    <x v="725"/>
  </r>
  <r>
    <x v="78"/>
    <x v="78"/>
    <x v="57"/>
    <x v="230"/>
  </r>
  <r>
    <x v="15"/>
    <x v="15"/>
    <x v="57"/>
    <x v="82"/>
  </r>
  <r>
    <x v="83"/>
    <x v="83"/>
    <x v="57"/>
    <x v="111"/>
  </r>
  <r>
    <x v="17"/>
    <x v="17"/>
    <x v="57"/>
    <x v="500"/>
  </r>
  <r>
    <x v="0"/>
    <x v="0"/>
    <x v="58"/>
    <x v="0"/>
  </r>
  <r>
    <x v="1"/>
    <x v="1"/>
    <x v="58"/>
    <x v="908"/>
  </r>
  <r>
    <x v="2"/>
    <x v="2"/>
    <x v="58"/>
    <x v="909"/>
  </r>
  <r>
    <x v="20"/>
    <x v="20"/>
    <x v="58"/>
    <x v="709"/>
  </r>
  <r>
    <x v="21"/>
    <x v="21"/>
    <x v="58"/>
    <x v="598"/>
  </r>
  <r>
    <x v="3"/>
    <x v="3"/>
    <x v="58"/>
    <x v="169"/>
  </r>
  <r>
    <x v="4"/>
    <x v="4"/>
    <x v="58"/>
    <x v="910"/>
  </r>
  <r>
    <x v="23"/>
    <x v="23"/>
    <x v="58"/>
    <x v="651"/>
  </r>
  <r>
    <x v="89"/>
    <x v="89"/>
    <x v="58"/>
    <x v="911"/>
  </r>
  <r>
    <x v="62"/>
    <x v="62"/>
    <x v="58"/>
    <x v="912"/>
  </r>
  <r>
    <x v="8"/>
    <x v="8"/>
    <x v="58"/>
    <x v="913"/>
  </r>
  <r>
    <x v="9"/>
    <x v="9"/>
    <x v="58"/>
    <x v="914"/>
  </r>
  <r>
    <x v="38"/>
    <x v="38"/>
    <x v="58"/>
    <x v="915"/>
  </r>
  <r>
    <x v="10"/>
    <x v="10"/>
    <x v="58"/>
    <x v="916"/>
  </r>
  <r>
    <x v="27"/>
    <x v="27"/>
    <x v="58"/>
    <x v="917"/>
  </r>
  <r>
    <x v="11"/>
    <x v="11"/>
    <x v="58"/>
    <x v="918"/>
  </r>
  <r>
    <x v="53"/>
    <x v="53"/>
    <x v="58"/>
    <x v="641"/>
  </r>
  <r>
    <x v="28"/>
    <x v="28"/>
    <x v="58"/>
    <x v="412"/>
  </r>
  <r>
    <x v="12"/>
    <x v="12"/>
    <x v="58"/>
    <x v="313"/>
  </r>
  <r>
    <x v="29"/>
    <x v="29"/>
    <x v="58"/>
    <x v="919"/>
  </r>
  <r>
    <x v="30"/>
    <x v="30"/>
    <x v="58"/>
    <x v="586"/>
  </r>
  <r>
    <x v="46"/>
    <x v="46"/>
    <x v="58"/>
    <x v="15"/>
  </r>
  <r>
    <x v="14"/>
    <x v="14"/>
    <x v="58"/>
    <x v="245"/>
  </r>
  <r>
    <x v="47"/>
    <x v="47"/>
    <x v="58"/>
    <x v="111"/>
  </r>
  <r>
    <x v="15"/>
    <x v="15"/>
    <x v="58"/>
    <x v="5"/>
  </r>
  <r>
    <x v="16"/>
    <x v="16"/>
    <x v="58"/>
    <x v="82"/>
  </r>
  <r>
    <x v="17"/>
    <x v="17"/>
    <x v="58"/>
    <x v="725"/>
  </r>
  <r>
    <x v="2"/>
    <x v="2"/>
    <x v="59"/>
    <x v="86"/>
  </r>
  <r>
    <x v="20"/>
    <x v="20"/>
    <x v="59"/>
    <x v="65"/>
  </r>
  <r>
    <x v="21"/>
    <x v="21"/>
    <x v="59"/>
    <x v="920"/>
  </r>
  <r>
    <x v="4"/>
    <x v="4"/>
    <x v="59"/>
    <x v="454"/>
  </r>
  <r>
    <x v="23"/>
    <x v="23"/>
    <x v="59"/>
    <x v="921"/>
  </r>
  <r>
    <x v="79"/>
    <x v="79"/>
    <x v="59"/>
    <x v="922"/>
  </r>
  <r>
    <x v="36"/>
    <x v="36"/>
    <x v="59"/>
    <x v="865"/>
  </r>
  <r>
    <x v="74"/>
    <x v="74"/>
    <x v="59"/>
    <x v="664"/>
  </r>
  <r>
    <x v="8"/>
    <x v="8"/>
    <x v="59"/>
    <x v="746"/>
  </r>
  <r>
    <x v="9"/>
    <x v="9"/>
    <x v="59"/>
    <x v="9"/>
  </r>
  <r>
    <x v="10"/>
    <x v="10"/>
    <x v="59"/>
    <x v="923"/>
  </r>
  <r>
    <x v="53"/>
    <x v="53"/>
    <x v="59"/>
    <x v="924"/>
  </r>
  <r>
    <x v="59"/>
    <x v="59"/>
    <x v="59"/>
    <x v="925"/>
  </r>
  <r>
    <x v="29"/>
    <x v="29"/>
    <x v="59"/>
    <x v="35"/>
  </r>
  <r>
    <x v="43"/>
    <x v="43"/>
    <x v="59"/>
    <x v="926"/>
  </r>
  <r>
    <x v="30"/>
    <x v="30"/>
    <x v="59"/>
    <x v="58"/>
  </r>
  <r>
    <x v="40"/>
    <x v="40"/>
    <x v="59"/>
    <x v="59"/>
  </r>
  <r>
    <x v="46"/>
    <x v="46"/>
    <x v="59"/>
    <x v="230"/>
  </r>
  <r>
    <x v="14"/>
    <x v="14"/>
    <x v="59"/>
    <x v="111"/>
  </r>
  <r>
    <x v="15"/>
    <x v="15"/>
    <x v="59"/>
    <x v="62"/>
  </r>
  <r>
    <x v="16"/>
    <x v="16"/>
    <x v="59"/>
    <x v="62"/>
  </r>
  <r>
    <x v="50"/>
    <x v="50"/>
    <x v="60"/>
    <x v="13"/>
  </r>
  <r>
    <x v="18"/>
    <x v="18"/>
    <x v="60"/>
    <x v="160"/>
  </r>
  <r>
    <x v="1"/>
    <x v="1"/>
    <x v="60"/>
    <x v="927"/>
  </r>
  <r>
    <x v="76"/>
    <x v="76"/>
    <x v="60"/>
    <x v="687"/>
  </r>
  <r>
    <x v="2"/>
    <x v="2"/>
    <x v="60"/>
    <x v="81"/>
  </r>
  <r>
    <x v="20"/>
    <x v="20"/>
    <x v="60"/>
    <x v="22"/>
  </r>
  <r>
    <x v="21"/>
    <x v="21"/>
    <x v="60"/>
    <x v="928"/>
  </r>
  <r>
    <x v="35"/>
    <x v="35"/>
    <x v="60"/>
    <x v="929"/>
  </r>
  <r>
    <x v="55"/>
    <x v="55"/>
    <x v="60"/>
    <x v="930"/>
  </r>
  <r>
    <x v="67"/>
    <x v="67"/>
    <x v="60"/>
    <x v="931"/>
  </r>
  <r>
    <x v="26"/>
    <x v="26"/>
    <x v="60"/>
    <x v="932"/>
  </r>
  <r>
    <x v="79"/>
    <x v="79"/>
    <x v="60"/>
    <x v="306"/>
  </r>
  <r>
    <x v="36"/>
    <x v="36"/>
    <x v="60"/>
    <x v="933"/>
  </r>
  <r>
    <x v="7"/>
    <x v="7"/>
    <x v="60"/>
    <x v="934"/>
  </r>
  <r>
    <x v="8"/>
    <x v="8"/>
    <x v="60"/>
    <x v="799"/>
  </r>
  <r>
    <x v="9"/>
    <x v="9"/>
    <x v="60"/>
    <x v="148"/>
  </r>
  <r>
    <x v="38"/>
    <x v="38"/>
    <x v="60"/>
    <x v="71"/>
  </r>
  <r>
    <x v="10"/>
    <x v="10"/>
    <x v="60"/>
    <x v="852"/>
  </r>
  <r>
    <x v="11"/>
    <x v="11"/>
    <x v="60"/>
    <x v="935"/>
  </r>
  <r>
    <x v="28"/>
    <x v="28"/>
    <x v="60"/>
    <x v="412"/>
  </r>
  <r>
    <x v="12"/>
    <x v="12"/>
    <x v="60"/>
    <x v="936"/>
  </r>
  <r>
    <x v="29"/>
    <x v="29"/>
    <x v="60"/>
    <x v="872"/>
  </r>
  <r>
    <x v="43"/>
    <x v="43"/>
    <x v="60"/>
    <x v="937"/>
  </r>
  <r>
    <x v="30"/>
    <x v="30"/>
    <x v="60"/>
    <x v="586"/>
  </r>
  <r>
    <x v="84"/>
    <x v="84"/>
    <x v="60"/>
    <x v="938"/>
  </r>
  <r>
    <x v="31"/>
    <x v="31"/>
    <x v="60"/>
    <x v="486"/>
  </r>
  <r>
    <x v="64"/>
    <x v="64"/>
    <x v="60"/>
    <x v="939"/>
  </r>
  <r>
    <x v="73"/>
    <x v="73"/>
    <x v="60"/>
    <x v="633"/>
  </r>
  <r>
    <x v="32"/>
    <x v="32"/>
    <x v="60"/>
    <x v="38"/>
  </r>
  <r>
    <x v="96"/>
    <x v="96"/>
    <x v="60"/>
    <x v="85"/>
  </r>
  <r>
    <x v="14"/>
    <x v="14"/>
    <x v="60"/>
    <x v="208"/>
  </r>
  <r>
    <x v="15"/>
    <x v="15"/>
    <x v="60"/>
    <x v="84"/>
  </r>
  <r>
    <x v="16"/>
    <x v="16"/>
    <x v="60"/>
    <x v="63"/>
  </r>
  <r>
    <x v="17"/>
    <x v="17"/>
    <x v="60"/>
    <x v="17"/>
  </r>
  <r>
    <x v="2"/>
    <x v="2"/>
    <x v="61"/>
    <x v="940"/>
  </r>
  <r>
    <x v="20"/>
    <x v="20"/>
    <x v="61"/>
    <x v="941"/>
  </r>
  <r>
    <x v="21"/>
    <x v="21"/>
    <x v="61"/>
    <x v="942"/>
  </r>
  <r>
    <x v="4"/>
    <x v="4"/>
    <x v="61"/>
    <x v="943"/>
  </r>
  <r>
    <x v="52"/>
    <x v="52"/>
    <x v="61"/>
    <x v="944"/>
  </r>
  <r>
    <x v="87"/>
    <x v="87"/>
    <x v="61"/>
    <x v="945"/>
  </r>
  <r>
    <x v="23"/>
    <x v="23"/>
    <x v="61"/>
    <x v="365"/>
  </r>
  <r>
    <x v="26"/>
    <x v="26"/>
    <x v="61"/>
    <x v="946"/>
  </r>
  <r>
    <x v="57"/>
    <x v="57"/>
    <x v="61"/>
    <x v="510"/>
  </r>
  <r>
    <x v="71"/>
    <x v="71"/>
    <x v="61"/>
    <x v="947"/>
  </r>
  <r>
    <x v="8"/>
    <x v="8"/>
    <x v="61"/>
    <x v="50"/>
  </r>
  <r>
    <x v="9"/>
    <x v="9"/>
    <x v="61"/>
    <x v="850"/>
  </r>
  <r>
    <x v="10"/>
    <x v="10"/>
    <x v="61"/>
    <x v="199"/>
  </r>
  <r>
    <x v="27"/>
    <x v="27"/>
    <x v="61"/>
    <x v="948"/>
  </r>
  <r>
    <x v="11"/>
    <x v="11"/>
    <x v="61"/>
    <x v="481"/>
  </r>
  <r>
    <x v="12"/>
    <x v="12"/>
    <x v="61"/>
    <x v="949"/>
  </r>
  <r>
    <x v="29"/>
    <x v="29"/>
    <x v="61"/>
    <x v="950"/>
  </r>
  <r>
    <x v="84"/>
    <x v="84"/>
    <x v="61"/>
    <x v="951"/>
  </r>
  <r>
    <x v="46"/>
    <x v="46"/>
    <x v="61"/>
    <x v="160"/>
  </r>
  <r>
    <x v="15"/>
    <x v="15"/>
    <x v="61"/>
    <x v="507"/>
  </r>
  <r>
    <x v="83"/>
    <x v="83"/>
    <x v="61"/>
    <x v="62"/>
  </r>
  <r>
    <x v="2"/>
    <x v="2"/>
    <x v="62"/>
    <x v="86"/>
  </r>
  <r>
    <x v="21"/>
    <x v="21"/>
    <x v="62"/>
    <x v="756"/>
  </r>
  <r>
    <x v="3"/>
    <x v="3"/>
    <x v="62"/>
    <x v="572"/>
  </r>
  <r>
    <x v="4"/>
    <x v="4"/>
    <x v="62"/>
    <x v="952"/>
  </r>
  <r>
    <x v="22"/>
    <x v="22"/>
    <x v="62"/>
    <x v="41"/>
  </r>
  <r>
    <x v="5"/>
    <x v="5"/>
    <x v="62"/>
    <x v="953"/>
  </r>
  <r>
    <x v="55"/>
    <x v="55"/>
    <x v="62"/>
    <x v="307"/>
  </r>
  <r>
    <x v="67"/>
    <x v="67"/>
    <x v="62"/>
    <x v="954"/>
  </r>
  <r>
    <x v="8"/>
    <x v="8"/>
    <x v="62"/>
    <x v="693"/>
  </r>
  <r>
    <x v="9"/>
    <x v="9"/>
    <x v="62"/>
    <x v="443"/>
  </r>
  <r>
    <x v="10"/>
    <x v="10"/>
    <x v="62"/>
    <x v="955"/>
  </r>
  <r>
    <x v="27"/>
    <x v="27"/>
    <x v="62"/>
    <x v="956"/>
  </r>
  <r>
    <x v="11"/>
    <x v="11"/>
    <x v="62"/>
    <x v="957"/>
  </r>
  <r>
    <x v="12"/>
    <x v="12"/>
    <x v="62"/>
    <x v="627"/>
  </r>
  <r>
    <x v="29"/>
    <x v="29"/>
    <x v="62"/>
    <x v="958"/>
  </r>
  <r>
    <x v="72"/>
    <x v="72"/>
    <x v="62"/>
    <x v="959"/>
  </r>
  <r>
    <x v="30"/>
    <x v="30"/>
    <x v="62"/>
    <x v="630"/>
  </r>
  <r>
    <x v="84"/>
    <x v="84"/>
    <x v="62"/>
    <x v="960"/>
  </r>
  <r>
    <x v="31"/>
    <x v="31"/>
    <x v="62"/>
    <x v="961"/>
  </r>
  <r>
    <x v="51"/>
    <x v="51"/>
    <x v="62"/>
    <x v="96"/>
  </r>
  <r>
    <x v="13"/>
    <x v="13"/>
    <x v="62"/>
    <x v="111"/>
  </r>
  <r>
    <x v="96"/>
    <x v="96"/>
    <x v="62"/>
    <x v="40"/>
  </r>
  <r>
    <x v="46"/>
    <x v="46"/>
    <x v="62"/>
    <x v="376"/>
  </r>
  <r>
    <x v="14"/>
    <x v="14"/>
    <x v="62"/>
    <x v="63"/>
  </r>
  <r>
    <x v="15"/>
    <x v="15"/>
    <x v="62"/>
    <x v="210"/>
  </r>
  <r>
    <x v="83"/>
    <x v="83"/>
    <x v="62"/>
    <x v="82"/>
  </r>
  <r>
    <x v="2"/>
    <x v="2"/>
    <x v="63"/>
    <x v="962"/>
  </r>
  <r>
    <x v="3"/>
    <x v="3"/>
    <x v="63"/>
    <x v="816"/>
  </r>
  <r>
    <x v="4"/>
    <x v="4"/>
    <x v="63"/>
    <x v="963"/>
  </r>
  <r>
    <x v="67"/>
    <x v="67"/>
    <x v="63"/>
    <x v="440"/>
  </r>
  <r>
    <x v="26"/>
    <x v="26"/>
    <x v="63"/>
    <x v="864"/>
  </r>
  <r>
    <x v="36"/>
    <x v="36"/>
    <x v="63"/>
    <x v="327"/>
  </r>
  <r>
    <x v="57"/>
    <x v="57"/>
    <x v="63"/>
    <x v="964"/>
  </r>
  <r>
    <x v="62"/>
    <x v="62"/>
    <x v="63"/>
    <x v="965"/>
  </r>
  <r>
    <x v="63"/>
    <x v="63"/>
    <x v="63"/>
    <x v="146"/>
  </r>
  <r>
    <x v="8"/>
    <x v="8"/>
    <x v="63"/>
    <x v="524"/>
  </r>
  <r>
    <x v="9"/>
    <x v="9"/>
    <x v="63"/>
    <x v="408"/>
  </r>
  <r>
    <x v="10"/>
    <x v="10"/>
    <x v="63"/>
    <x v="737"/>
  </r>
  <r>
    <x v="11"/>
    <x v="11"/>
    <x v="63"/>
    <x v="966"/>
  </r>
  <r>
    <x v="12"/>
    <x v="12"/>
    <x v="63"/>
    <x v="715"/>
  </r>
  <r>
    <x v="29"/>
    <x v="29"/>
    <x v="63"/>
    <x v="314"/>
  </r>
  <r>
    <x v="97"/>
    <x v="97"/>
    <x v="63"/>
    <x v="673"/>
  </r>
  <r>
    <x v="73"/>
    <x v="73"/>
    <x v="63"/>
    <x v="891"/>
  </r>
  <r>
    <x v="46"/>
    <x v="46"/>
    <x v="63"/>
    <x v="967"/>
  </r>
  <r>
    <x v="14"/>
    <x v="14"/>
    <x v="63"/>
    <x v="376"/>
  </r>
  <r>
    <x v="78"/>
    <x v="78"/>
    <x v="63"/>
    <x v="62"/>
  </r>
  <r>
    <x v="15"/>
    <x v="15"/>
    <x v="63"/>
    <x v="210"/>
  </r>
  <r>
    <x v="17"/>
    <x v="17"/>
    <x v="63"/>
    <x v="208"/>
  </r>
  <r>
    <x v="19"/>
    <x v="19"/>
    <x v="64"/>
    <x v="968"/>
  </r>
  <r>
    <x v="76"/>
    <x v="76"/>
    <x v="64"/>
    <x v="969"/>
  </r>
  <r>
    <x v="2"/>
    <x v="2"/>
    <x v="64"/>
    <x v="703"/>
  </r>
  <r>
    <x v="34"/>
    <x v="34"/>
    <x v="64"/>
    <x v="192"/>
  </r>
  <r>
    <x v="21"/>
    <x v="21"/>
    <x v="64"/>
    <x v="970"/>
  </r>
  <r>
    <x v="3"/>
    <x v="3"/>
    <x v="64"/>
    <x v="44"/>
  </r>
  <r>
    <x v="35"/>
    <x v="35"/>
    <x v="64"/>
    <x v="539"/>
  </r>
  <r>
    <x v="4"/>
    <x v="4"/>
    <x v="64"/>
    <x v="910"/>
  </r>
  <r>
    <x v="5"/>
    <x v="5"/>
    <x v="64"/>
    <x v="422"/>
  </r>
  <r>
    <x v="36"/>
    <x v="36"/>
    <x v="64"/>
    <x v="327"/>
  </r>
  <r>
    <x v="92"/>
    <x v="92"/>
    <x v="64"/>
    <x v="673"/>
  </r>
  <r>
    <x v="77"/>
    <x v="77"/>
    <x v="64"/>
    <x v="435"/>
  </r>
  <r>
    <x v="98"/>
    <x v="98"/>
    <x v="64"/>
    <x v="971"/>
  </r>
  <r>
    <x v="8"/>
    <x v="8"/>
    <x v="64"/>
    <x v="238"/>
  </r>
  <r>
    <x v="9"/>
    <x v="9"/>
    <x v="64"/>
    <x v="972"/>
  </r>
  <r>
    <x v="68"/>
    <x v="68"/>
    <x v="64"/>
    <x v="973"/>
  </r>
  <r>
    <x v="38"/>
    <x v="38"/>
    <x v="64"/>
    <x v="974"/>
  </r>
  <r>
    <x v="10"/>
    <x v="10"/>
    <x v="64"/>
    <x v="975"/>
  </r>
  <r>
    <x v="27"/>
    <x v="27"/>
    <x v="64"/>
    <x v="497"/>
  </r>
  <r>
    <x v="11"/>
    <x v="11"/>
    <x v="64"/>
    <x v="899"/>
  </r>
  <r>
    <x v="12"/>
    <x v="12"/>
    <x v="64"/>
    <x v="429"/>
  </r>
  <r>
    <x v="31"/>
    <x v="31"/>
    <x v="64"/>
    <x v="60"/>
  </r>
  <r>
    <x v="13"/>
    <x v="13"/>
    <x v="64"/>
    <x v="111"/>
  </r>
  <r>
    <x v="46"/>
    <x v="46"/>
    <x v="64"/>
    <x v="976"/>
  </r>
  <r>
    <x v="14"/>
    <x v="14"/>
    <x v="64"/>
    <x v="14"/>
  </r>
  <r>
    <x v="47"/>
    <x v="47"/>
    <x v="64"/>
    <x v="14"/>
  </r>
  <r>
    <x v="15"/>
    <x v="15"/>
    <x v="64"/>
    <x v="98"/>
  </r>
  <r>
    <x v="16"/>
    <x v="16"/>
    <x v="64"/>
    <x v="162"/>
  </r>
  <r>
    <x v="17"/>
    <x v="17"/>
    <x v="64"/>
    <x v="16"/>
  </r>
  <r>
    <x v="2"/>
    <x v="2"/>
    <x v="65"/>
    <x v="508"/>
  </r>
  <r>
    <x v="21"/>
    <x v="21"/>
    <x v="65"/>
    <x v="43"/>
  </r>
  <r>
    <x v="3"/>
    <x v="3"/>
    <x v="65"/>
    <x v="44"/>
  </r>
  <r>
    <x v="4"/>
    <x v="4"/>
    <x v="65"/>
    <x v="977"/>
  </r>
  <r>
    <x v="87"/>
    <x v="87"/>
    <x v="65"/>
    <x v="978"/>
  </r>
  <r>
    <x v="5"/>
    <x v="5"/>
    <x v="65"/>
    <x v="519"/>
  </r>
  <r>
    <x v="23"/>
    <x v="23"/>
    <x v="65"/>
    <x v="979"/>
  </r>
  <r>
    <x v="89"/>
    <x v="89"/>
    <x v="65"/>
    <x v="980"/>
  </r>
  <r>
    <x v="36"/>
    <x v="36"/>
    <x v="65"/>
    <x v="495"/>
  </r>
  <r>
    <x v="37"/>
    <x v="37"/>
    <x v="65"/>
    <x v="91"/>
  </r>
  <r>
    <x v="8"/>
    <x v="8"/>
    <x v="65"/>
    <x v="710"/>
  </r>
  <r>
    <x v="9"/>
    <x v="9"/>
    <x v="65"/>
    <x v="148"/>
  </r>
  <r>
    <x v="38"/>
    <x v="38"/>
    <x v="65"/>
    <x v="293"/>
  </r>
  <r>
    <x v="10"/>
    <x v="10"/>
    <x v="65"/>
    <x v="981"/>
  </r>
  <r>
    <x v="11"/>
    <x v="11"/>
    <x v="65"/>
    <x v="982"/>
  </r>
  <r>
    <x v="29"/>
    <x v="29"/>
    <x v="65"/>
    <x v="868"/>
  </r>
  <r>
    <x v="72"/>
    <x v="72"/>
    <x v="65"/>
    <x v="983"/>
  </r>
  <r>
    <x v="43"/>
    <x v="43"/>
    <x v="65"/>
    <x v="984"/>
  </r>
  <r>
    <x v="30"/>
    <x v="30"/>
    <x v="65"/>
    <x v="985"/>
  </r>
  <r>
    <x v="44"/>
    <x v="44"/>
    <x v="65"/>
    <x v="986"/>
  </r>
  <r>
    <x v="96"/>
    <x v="96"/>
    <x v="65"/>
    <x v="62"/>
  </r>
  <r>
    <x v="46"/>
    <x v="46"/>
    <x v="65"/>
    <x v="98"/>
  </r>
  <r>
    <x v="78"/>
    <x v="78"/>
    <x v="65"/>
    <x v="40"/>
  </r>
  <r>
    <x v="15"/>
    <x v="15"/>
    <x v="65"/>
    <x v="160"/>
  </r>
  <r>
    <x v="16"/>
    <x v="16"/>
    <x v="65"/>
    <x v="160"/>
  </r>
  <r>
    <x v="0"/>
    <x v="0"/>
    <x v="66"/>
    <x v="987"/>
  </r>
  <r>
    <x v="1"/>
    <x v="1"/>
    <x v="66"/>
    <x v="415"/>
  </r>
  <r>
    <x v="2"/>
    <x v="2"/>
    <x v="66"/>
    <x v="86"/>
  </r>
  <r>
    <x v="20"/>
    <x v="20"/>
    <x v="66"/>
    <x v="435"/>
  </r>
  <r>
    <x v="21"/>
    <x v="21"/>
    <x v="66"/>
    <x v="704"/>
  </r>
  <r>
    <x v="35"/>
    <x v="35"/>
    <x v="66"/>
    <x v="988"/>
  </r>
  <r>
    <x v="4"/>
    <x v="4"/>
    <x v="66"/>
    <x v="166"/>
  </r>
  <r>
    <x v="23"/>
    <x v="23"/>
    <x v="66"/>
    <x v="989"/>
  </r>
  <r>
    <x v="55"/>
    <x v="55"/>
    <x v="66"/>
    <x v="990"/>
  </r>
  <r>
    <x v="99"/>
    <x v="99"/>
    <x v="66"/>
    <x v="864"/>
  </r>
  <r>
    <x v="67"/>
    <x v="67"/>
    <x v="66"/>
    <x v="991"/>
  </r>
  <r>
    <x v="26"/>
    <x v="26"/>
    <x v="66"/>
    <x v="992"/>
  </r>
  <r>
    <x v="79"/>
    <x v="79"/>
    <x v="66"/>
    <x v="993"/>
  </r>
  <r>
    <x v="7"/>
    <x v="7"/>
    <x v="66"/>
    <x v="7"/>
  </r>
  <r>
    <x v="8"/>
    <x v="8"/>
    <x v="66"/>
    <x v="288"/>
  </r>
  <r>
    <x v="9"/>
    <x v="9"/>
    <x v="66"/>
    <x v="289"/>
  </r>
  <r>
    <x v="10"/>
    <x v="10"/>
    <x v="66"/>
    <x v="994"/>
  </r>
  <r>
    <x v="11"/>
    <x v="11"/>
    <x v="66"/>
    <x v="274"/>
  </r>
  <r>
    <x v="12"/>
    <x v="12"/>
    <x v="66"/>
    <x v="871"/>
  </r>
  <r>
    <x v="30"/>
    <x v="30"/>
    <x v="66"/>
    <x v="995"/>
  </r>
  <r>
    <x v="84"/>
    <x v="84"/>
    <x v="66"/>
    <x v="501"/>
  </r>
  <r>
    <x v="46"/>
    <x v="46"/>
    <x v="66"/>
    <x v="98"/>
  </r>
  <r>
    <x v="14"/>
    <x v="14"/>
    <x v="66"/>
    <x v="16"/>
  </r>
  <r>
    <x v="47"/>
    <x v="47"/>
    <x v="66"/>
    <x v="40"/>
  </r>
  <r>
    <x v="78"/>
    <x v="78"/>
    <x v="66"/>
    <x v="996"/>
  </r>
  <r>
    <x v="15"/>
    <x v="15"/>
    <x v="66"/>
    <x v="84"/>
  </r>
  <r>
    <x v="17"/>
    <x v="17"/>
    <x v="66"/>
    <x v="98"/>
  </r>
  <r>
    <x v="0"/>
    <x v="0"/>
    <x v="67"/>
    <x v="646"/>
  </r>
  <r>
    <x v="2"/>
    <x v="2"/>
    <x v="67"/>
    <x v="860"/>
  </r>
  <r>
    <x v="34"/>
    <x v="34"/>
    <x v="67"/>
    <x v="51"/>
  </r>
  <r>
    <x v="21"/>
    <x v="21"/>
    <x v="67"/>
    <x v="997"/>
  </r>
  <r>
    <x v="35"/>
    <x v="35"/>
    <x v="67"/>
    <x v="345"/>
  </r>
  <r>
    <x v="4"/>
    <x v="4"/>
    <x v="67"/>
    <x v="234"/>
  </r>
  <r>
    <x v="65"/>
    <x v="65"/>
    <x v="67"/>
    <x v="998"/>
  </r>
  <r>
    <x v="55"/>
    <x v="55"/>
    <x v="67"/>
    <x v="366"/>
  </r>
  <r>
    <x v="7"/>
    <x v="7"/>
    <x v="67"/>
    <x v="653"/>
  </r>
  <r>
    <x v="71"/>
    <x v="71"/>
    <x v="67"/>
    <x v="999"/>
  </r>
  <r>
    <x v="9"/>
    <x v="9"/>
    <x v="67"/>
    <x v="1000"/>
  </r>
  <r>
    <x v="38"/>
    <x v="38"/>
    <x v="67"/>
    <x v="1001"/>
  </r>
  <r>
    <x v="10"/>
    <x v="10"/>
    <x v="67"/>
    <x v="1002"/>
  </r>
  <r>
    <x v="11"/>
    <x v="11"/>
    <x v="67"/>
    <x v="241"/>
  </r>
  <r>
    <x v="12"/>
    <x v="12"/>
    <x v="67"/>
    <x v="1003"/>
  </r>
  <r>
    <x v="29"/>
    <x v="29"/>
    <x v="67"/>
    <x v="430"/>
  </r>
  <r>
    <x v="40"/>
    <x v="40"/>
    <x v="67"/>
    <x v="465"/>
  </r>
  <r>
    <x v="69"/>
    <x v="69"/>
    <x v="67"/>
    <x v="16"/>
  </r>
  <r>
    <x v="13"/>
    <x v="13"/>
    <x v="67"/>
    <x v="98"/>
  </r>
  <r>
    <x v="46"/>
    <x v="46"/>
    <x v="67"/>
    <x v="15"/>
  </r>
  <r>
    <x v="14"/>
    <x v="14"/>
    <x v="67"/>
    <x v="160"/>
  </r>
  <r>
    <x v="15"/>
    <x v="15"/>
    <x v="67"/>
    <x v="111"/>
  </r>
  <r>
    <x v="17"/>
    <x v="17"/>
    <x v="67"/>
    <x v="1004"/>
  </r>
  <r>
    <x v="0"/>
    <x v="0"/>
    <x v="68"/>
    <x v="0"/>
  </r>
  <r>
    <x v="2"/>
    <x v="2"/>
    <x v="68"/>
    <x v="1005"/>
  </r>
  <r>
    <x v="20"/>
    <x v="20"/>
    <x v="68"/>
    <x v="435"/>
  </r>
  <r>
    <x v="35"/>
    <x v="35"/>
    <x v="68"/>
    <x v="1006"/>
  </r>
  <r>
    <x v="87"/>
    <x v="87"/>
    <x v="68"/>
    <x v="245"/>
  </r>
  <r>
    <x v="22"/>
    <x v="22"/>
    <x v="68"/>
    <x v="235"/>
  </r>
  <r>
    <x v="67"/>
    <x v="67"/>
    <x v="68"/>
    <x v="819"/>
  </r>
  <r>
    <x v="36"/>
    <x v="36"/>
    <x v="68"/>
    <x v="1007"/>
  </r>
  <r>
    <x v="98"/>
    <x v="98"/>
    <x v="68"/>
    <x v="1008"/>
  </r>
  <r>
    <x v="9"/>
    <x v="9"/>
    <x v="68"/>
    <x v="9"/>
  </r>
  <r>
    <x v="10"/>
    <x v="10"/>
    <x v="68"/>
    <x v="1009"/>
  </r>
  <r>
    <x v="11"/>
    <x v="11"/>
    <x v="68"/>
    <x v="738"/>
  </r>
  <r>
    <x v="28"/>
    <x v="28"/>
    <x v="68"/>
    <x v="513"/>
  </r>
  <r>
    <x v="12"/>
    <x v="12"/>
    <x v="68"/>
    <x v="871"/>
  </r>
  <r>
    <x v="30"/>
    <x v="30"/>
    <x v="68"/>
    <x v="243"/>
  </r>
  <r>
    <x v="84"/>
    <x v="84"/>
    <x v="68"/>
    <x v="1010"/>
  </r>
  <r>
    <x v="46"/>
    <x v="46"/>
    <x v="68"/>
    <x v="417"/>
  </r>
  <r>
    <x v="14"/>
    <x v="14"/>
    <x v="68"/>
    <x v="160"/>
  </r>
  <r>
    <x v="47"/>
    <x v="47"/>
    <x v="68"/>
    <x v="82"/>
  </r>
  <r>
    <x v="78"/>
    <x v="78"/>
    <x v="68"/>
    <x v="111"/>
  </r>
  <r>
    <x v="15"/>
    <x v="15"/>
    <x v="68"/>
    <x v="82"/>
  </r>
  <r>
    <x v="17"/>
    <x v="17"/>
    <x v="68"/>
    <x v="862"/>
  </r>
  <r>
    <x v="50"/>
    <x v="50"/>
    <x v="69"/>
    <x v="62"/>
  </r>
  <r>
    <x v="0"/>
    <x v="0"/>
    <x v="69"/>
    <x v="404"/>
  </r>
  <r>
    <x v="2"/>
    <x v="2"/>
    <x v="69"/>
    <x v="1011"/>
  </r>
  <r>
    <x v="20"/>
    <x v="20"/>
    <x v="69"/>
    <x v="342"/>
  </r>
  <r>
    <x v="21"/>
    <x v="21"/>
    <x v="69"/>
    <x v="1012"/>
  </r>
  <r>
    <x v="3"/>
    <x v="3"/>
    <x v="69"/>
    <x v="816"/>
  </r>
  <r>
    <x v="4"/>
    <x v="4"/>
    <x v="69"/>
    <x v="1013"/>
  </r>
  <r>
    <x v="52"/>
    <x v="52"/>
    <x v="69"/>
    <x v="215"/>
  </r>
  <r>
    <x v="5"/>
    <x v="5"/>
    <x v="69"/>
    <x v="474"/>
  </r>
  <r>
    <x v="23"/>
    <x v="23"/>
    <x v="69"/>
    <x v="51"/>
  </r>
  <r>
    <x v="55"/>
    <x v="55"/>
    <x v="69"/>
    <x v="1014"/>
  </r>
  <r>
    <x v="70"/>
    <x v="70"/>
    <x v="69"/>
    <x v="1015"/>
  </r>
  <r>
    <x v="26"/>
    <x v="26"/>
    <x v="69"/>
    <x v="369"/>
  </r>
  <r>
    <x v="36"/>
    <x v="36"/>
    <x v="69"/>
    <x v="477"/>
  </r>
  <r>
    <x v="37"/>
    <x v="37"/>
    <x v="69"/>
    <x v="1016"/>
  </r>
  <r>
    <x v="8"/>
    <x v="8"/>
    <x v="69"/>
    <x v="1017"/>
  </r>
  <r>
    <x v="9"/>
    <x v="9"/>
    <x v="69"/>
    <x v="148"/>
  </r>
  <r>
    <x v="38"/>
    <x v="38"/>
    <x v="69"/>
    <x v="611"/>
  </r>
  <r>
    <x v="10"/>
    <x v="10"/>
    <x v="69"/>
    <x v="1018"/>
  </r>
  <r>
    <x v="11"/>
    <x v="11"/>
    <x v="69"/>
    <x v="842"/>
  </r>
  <r>
    <x v="29"/>
    <x v="29"/>
    <x v="69"/>
    <x v="75"/>
  </r>
  <r>
    <x v="30"/>
    <x v="30"/>
    <x v="69"/>
    <x v="1019"/>
  </r>
  <r>
    <x v="91"/>
    <x v="91"/>
    <x v="69"/>
    <x v="947"/>
  </r>
  <r>
    <x v="73"/>
    <x v="73"/>
    <x v="69"/>
    <x v="1020"/>
  </r>
  <r>
    <x v="46"/>
    <x v="46"/>
    <x v="69"/>
    <x v="245"/>
  </r>
  <r>
    <x v="47"/>
    <x v="47"/>
    <x v="69"/>
    <x v="82"/>
  </r>
  <r>
    <x v="78"/>
    <x v="78"/>
    <x v="69"/>
    <x v="40"/>
  </r>
  <r>
    <x v="15"/>
    <x v="15"/>
    <x v="69"/>
    <x v="82"/>
  </r>
  <r>
    <x v="16"/>
    <x v="16"/>
    <x v="69"/>
    <x v="82"/>
  </r>
  <r>
    <x v="0"/>
    <x v="0"/>
    <x v="70"/>
    <x v="0"/>
  </r>
  <r>
    <x v="2"/>
    <x v="2"/>
    <x v="70"/>
    <x v="396"/>
  </r>
  <r>
    <x v="20"/>
    <x v="20"/>
    <x v="70"/>
    <x v="65"/>
  </r>
  <r>
    <x v="21"/>
    <x v="21"/>
    <x v="70"/>
    <x v="232"/>
  </r>
  <r>
    <x v="4"/>
    <x v="4"/>
    <x v="70"/>
    <x v="963"/>
  </r>
  <r>
    <x v="52"/>
    <x v="52"/>
    <x v="70"/>
    <x v="1021"/>
  </r>
  <r>
    <x v="5"/>
    <x v="5"/>
    <x v="70"/>
    <x v="347"/>
  </r>
  <r>
    <x v="65"/>
    <x v="65"/>
    <x v="70"/>
    <x v="761"/>
  </r>
  <r>
    <x v="23"/>
    <x v="23"/>
    <x v="70"/>
    <x v="921"/>
  </r>
  <r>
    <x v="70"/>
    <x v="70"/>
    <x v="70"/>
    <x v="193"/>
  </r>
  <r>
    <x v="89"/>
    <x v="89"/>
    <x v="70"/>
    <x v="1022"/>
  </r>
  <r>
    <x v="26"/>
    <x v="26"/>
    <x v="70"/>
    <x v="932"/>
  </r>
  <r>
    <x v="61"/>
    <x v="61"/>
    <x v="70"/>
    <x v="564"/>
  </r>
  <r>
    <x v="7"/>
    <x v="7"/>
    <x v="70"/>
    <x v="405"/>
  </r>
  <r>
    <x v="8"/>
    <x v="8"/>
    <x v="70"/>
    <x v="407"/>
  </r>
  <r>
    <x v="9"/>
    <x v="9"/>
    <x v="70"/>
    <x v="240"/>
  </r>
  <r>
    <x v="10"/>
    <x v="10"/>
    <x v="70"/>
    <x v="1023"/>
  </r>
  <r>
    <x v="11"/>
    <x v="11"/>
    <x v="70"/>
    <x v="842"/>
  </r>
  <r>
    <x v="28"/>
    <x v="28"/>
    <x v="70"/>
    <x v="253"/>
  </r>
  <r>
    <x v="29"/>
    <x v="29"/>
    <x v="70"/>
    <x v="514"/>
  </r>
  <r>
    <x v="97"/>
    <x v="97"/>
    <x v="70"/>
    <x v="1024"/>
  </r>
  <r>
    <x v="64"/>
    <x v="64"/>
    <x v="70"/>
    <x v="1025"/>
  </r>
  <r>
    <x v="46"/>
    <x v="46"/>
    <x v="70"/>
    <x v="82"/>
  </r>
  <r>
    <x v="47"/>
    <x v="47"/>
    <x v="70"/>
    <x v="111"/>
  </r>
  <r>
    <x v="15"/>
    <x v="15"/>
    <x v="70"/>
    <x v="16"/>
  </r>
  <r>
    <x v="76"/>
    <x v="76"/>
    <x v="71"/>
    <x v="1026"/>
  </r>
  <r>
    <x v="2"/>
    <x v="2"/>
    <x v="71"/>
    <x v="416"/>
  </r>
  <r>
    <x v="20"/>
    <x v="20"/>
    <x v="71"/>
    <x v="417"/>
  </r>
  <r>
    <x v="34"/>
    <x v="34"/>
    <x v="71"/>
    <x v="1027"/>
  </r>
  <r>
    <x v="21"/>
    <x v="21"/>
    <x v="71"/>
    <x v="43"/>
  </r>
  <r>
    <x v="3"/>
    <x v="3"/>
    <x v="71"/>
    <x v="572"/>
  </r>
  <r>
    <x v="35"/>
    <x v="35"/>
    <x v="71"/>
    <x v="1028"/>
  </r>
  <r>
    <x v="5"/>
    <x v="5"/>
    <x v="71"/>
    <x v="265"/>
  </r>
  <r>
    <x v="23"/>
    <x v="23"/>
    <x v="71"/>
    <x v="651"/>
  </r>
  <r>
    <x v="55"/>
    <x v="55"/>
    <x v="71"/>
    <x v="236"/>
  </r>
  <r>
    <x v="70"/>
    <x v="70"/>
    <x v="71"/>
    <x v="691"/>
  </r>
  <r>
    <x v="67"/>
    <x v="67"/>
    <x v="71"/>
    <x v="1029"/>
  </r>
  <r>
    <x v="26"/>
    <x v="26"/>
    <x v="71"/>
    <x v="1030"/>
  </r>
  <r>
    <x v="36"/>
    <x v="36"/>
    <x v="71"/>
    <x v="1031"/>
  </r>
  <r>
    <x v="92"/>
    <x v="92"/>
    <x v="71"/>
    <x v="1032"/>
  </r>
  <r>
    <x v="37"/>
    <x v="37"/>
    <x v="71"/>
    <x v="70"/>
  </r>
  <r>
    <x v="8"/>
    <x v="8"/>
    <x v="71"/>
    <x v="1033"/>
  </r>
  <r>
    <x v="38"/>
    <x v="38"/>
    <x v="71"/>
    <x v="1034"/>
  </r>
  <r>
    <x v="10"/>
    <x v="10"/>
    <x v="71"/>
    <x v="1035"/>
  </r>
  <r>
    <x v="11"/>
    <x v="11"/>
    <x v="71"/>
    <x v="1036"/>
  </r>
  <r>
    <x v="12"/>
    <x v="12"/>
    <x v="71"/>
    <x v="1037"/>
  </r>
  <r>
    <x v="39"/>
    <x v="39"/>
    <x v="71"/>
    <x v="1038"/>
  </r>
  <r>
    <x v="29"/>
    <x v="29"/>
    <x v="71"/>
    <x v="57"/>
  </r>
  <r>
    <x v="43"/>
    <x v="43"/>
    <x v="71"/>
    <x v="1039"/>
  </r>
  <r>
    <x v="30"/>
    <x v="30"/>
    <x v="71"/>
    <x v="161"/>
  </r>
  <r>
    <x v="84"/>
    <x v="84"/>
    <x v="71"/>
    <x v="1040"/>
  </r>
  <r>
    <x v="40"/>
    <x v="40"/>
    <x v="71"/>
    <x v="1041"/>
  </r>
  <r>
    <x v="31"/>
    <x v="31"/>
    <x v="71"/>
    <x v="391"/>
  </r>
  <r>
    <x v="46"/>
    <x v="46"/>
    <x v="71"/>
    <x v="996"/>
  </r>
  <r>
    <x v="14"/>
    <x v="14"/>
    <x v="71"/>
    <x v="16"/>
  </r>
  <r>
    <x v="47"/>
    <x v="47"/>
    <x v="71"/>
    <x v="82"/>
  </r>
  <r>
    <x v="15"/>
    <x v="15"/>
    <x v="71"/>
    <x v="533"/>
  </r>
  <r>
    <x v="17"/>
    <x v="17"/>
    <x v="71"/>
    <x v="209"/>
  </r>
  <r>
    <x v="0"/>
    <x v="0"/>
    <x v="72"/>
    <x v="340"/>
  </r>
  <r>
    <x v="76"/>
    <x v="76"/>
    <x v="72"/>
    <x v="1042"/>
  </r>
  <r>
    <x v="2"/>
    <x v="2"/>
    <x v="72"/>
    <x v="703"/>
  </r>
  <r>
    <x v="20"/>
    <x v="20"/>
    <x v="72"/>
    <x v="65"/>
  </r>
  <r>
    <x v="34"/>
    <x v="34"/>
    <x v="72"/>
    <x v="320"/>
  </r>
  <r>
    <x v="3"/>
    <x v="3"/>
    <x v="72"/>
    <x v="1043"/>
  </r>
  <r>
    <x v="35"/>
    <x v="35"/>
    <x v="72"/>
    <x v="382"/>
  </r>
  <r>
    <x v="4"/>
    <x v="4"/>
    <x v="72"/>
    <x v="1044"/>
  </r>
  <r>
    <x v="5"/>
    <x v="5"/>
    <x v="72"/>
    <x v="1045"/>
  </r>
  <r>
    <x v="23"/>
    <x v="23"/>
    <x v="72"/>
    <x v="305"/>
  </r>
  <r>
    <x v="26"/>
    <x v="26"/>
    <x v="72"/>
    <x v="1046"/>
  </r>
  <r>
    <x v="79"/>
    <x v="79"/>
    <x v="72"/>
    <x v="1047"/>
  </r>
  <r>
    <x v="37"/>
    <x v="37"/>
    <x v="72"/>
    <x v="1048"/>
  </r>
  <r>
    <x v="8"/>
    <x v="8"/>
    <x v="72"/>
    <x v="1049"/>
  </r>
  <r>
    <x v="68"/>
    <x v="68"/>
    <x v="72"/>
    <x v="180"/>
  </r>
  <r>
    <x v="38"/>
    <x v="38"/>
    <x v="72"/>
    <x v="293"/>
  </r>
  <r>
    <x v="10"/>
    <x v="10"/>
    <x v="72"/>
    <x v="1050"/>
  </r>
  <r>
    <x v="11"/>
    <x v="11"/>
    <x v="72"/>
    <x v="1051"/>
  </r>
  <r>
    <x v="12"/>
    <x v="12"/>
    <x v="72"/>
    <x v="1052"/>
  </r>
  <r>
    <x v="29"/>
    <x v="29"/>
    <x v="72"/>
    <x v="414"/>
  </r>
  <r>
    <x v="30"/>
    <x v="30"/>
    <x v="72"/>
    <x v="1053"/>
  </r>
  <r>
    <x v="40"/>
    <x v="40"/>
    <x v="72"/>
    <x v="1054"/>
  </r>
  <r>
    <x v="31"/>
    <x v="31"/>
    <x v="72"/>
    <x v="1055"/>
  </r>
  <r>
    <x v="13"/>
    <x v="13"/>
    <x v="72"/>
    <x v="294"/>
  </r>
  <r>
    <x v="46"/>
    <x v="46"/>
    <x v="72"/>
    <x v="1056"/>
  </r>
  <r>
    <x v="15"/>
    <x v="15"/>
    <x v="72"/>
    <x v="160"/>
  </r>
  <r>
    <x v="50"/>
    <x v="50"/>
    <x v="73"/>
    <x v="14"/>
  </r>
  <r>
    <x v="19"/>
    <x v="19"/>
    <x v="73"/>
    <x v="1057"/>
  </r>
  <r>
    <x v="1"/>
    <x v="1"/>
    <x v="73"/>
    <x v="1058"/>
  </r>
  <r>
    <x v="76"/>
    <x v="76"/>
    <x v="73"/>
    <x v="1059"/>
  </r>
  <r>
    <x v="2"/>
    <x v="2"/>
    <x v="73"/>
    <x v="361"/>
  </r>
  <r>
    <x v="21"/>
    <x v="21"/>
    <x v="73"/>
    <x v="1060"/>
  </r>
  <r>
    <x v="35"/>
    <x v="35"/>
    <x v="73"/>
    <x v="1061"/>
  </r>
  <r>
    <x v="4"/>
    <x v="4"/>
    <x v="73"/>
    <x v="1062"/>
  </r>
  <r>
    <x v="87"/>
    <x v="87"/>
    <x v="73"/>
    <x v="630"/>
  </r>
  <r>
    <x v="23"/>
    <x v="23"/>
    <x v="73"/>
    <x v="118"/>
  </r>
  <r>
    <x v="55"/>
    <x v="55"/>
    <x v="73"/>
    <x v="1063"/>
  </r>
  <r>
    <x v="26"/>
    <x v="26"/>
    <x v="73"/>
    <x v="1064"/>
  </r>
  <r>
    <x v="36"/>
    <x v="36"/>
    <x v="73"/>
    <x v="1065"/>
  </r>
  <r>
    <x v="37"/>
    <x v="37"/>
    <x v="73"/>
    <x v="91"/>
  </r>
  <r>
    <x v="38"/>
    <x v="38"/>
    <x v="73"/>
    <x v="1066"/>
  </r>
  <r>
    <x v="10"/>
    <x v="10"/>
    <x v="73"/>
    <x v="1067"/>
  </r>
  <r>
    <x v="27"/>
    <x v="27"/>
    <x v="73"/>
    <x v="1068"/>
  </r>
  <r>
    <x v="11"/>
    <x v="11"/>
    <x v="73"/>
    <x v="1069"/>
  </r>
  <r>
    <x v="28"/>
    <x v="28"/>
    <x v="73"/>
    <x v="1070"/>
  </r>
  <r>
    <x v="12"/>
    <x v="12"/>
    <x v="73"/>
    <x v="1071"/>
  </r>
  <r>
    <x v="29"/>
    <x v="29"/>
    <x v="73"/>
    <x v="1072"/>
  </r>
  <r>
    <x v="72"/>
    <x v="72"/>
    <x v="73"/>
    <x v="255"/>
  </r>
  <r>
    <x v="43"/>
    <x v="43"/>
    <x v="73"/>
    <x v="1073"/>
  </r>
  <r>
    <x v="30"/>
    <x v="30"/>
    <x v="73"/>
    <x v="1074"/>
  </r>
  <r>
    <x v="85"/>
    <x v="85"/>
    <x v="73"/>
    <x v="1075"/>
  </r>
  <r>
    <x v="69"/>
    <x v="69"/>
    <x v="73"/>
    <x v="1076"/>
  </r>
  <r>
    <x v="46"/>
    <x v="46"/>
    <x v="73"/>
    <x v="533"/>
  </r>
  <r>
    <x v="14"/>
    <x v="14"/>
    <x v="73"/>
    <x v="82"/>
  </r>
  <r>
    <x v="47"/>
    <x v="47"/>
    <x v="73"/>
    <x v="62"/>
  </r>
  <r>
    <x v="15"/>
    <x v="15"/>
    <x v="73"/>
    <x v="5"/>
  </r>
  <r>
    <x v="16"/>
    <x v="16"/>
    <x v="73"/>
    <x v="40"/>
  </r>
  <r>
    <x v="17"/>
    <x v="17"/>
    <x v="73"/>
    <x v="98"/>
  </r>
  <r>
    <x v="41"/>
    <x v="41"/>
    <x v="74"/>
    <x v="500"/>
  </r>
  <r>
    <x v="2"/>
    <x v="2"/>
    <x v="74"/>
    <x v="231"/>
  </r>
  <r>
    <x v="4"/>
    <x v="4"/>
    <x v="74"/>
    <x v="4"/>
  </r>
  <r>
    <x v="52"/>
    <x v="52"/>
    <x v="74"/>
    <x v="117"/>
  </r>
  <r>
    <x v="87"/>
    <x v="87"/>
    <x v="74"/>
    <x v="245"/>
  </r>
  <r>
    <x v="22"/>
    <x v="22"/>
    <x v="74"/>
    <x v="90"/>
  </r>
  <r>
    <x v="5"/>
    <x v="5"/>
    <x v="74"/>
    <x v="1077"/>
  </r>
  <r>
    <x v="23"/>
    <x v="23"/>
    <x v="74"/>
    <x v="995"/>
  </r>
  <r>
    <x v="70"/>
    <x v="70"/>
    <x v="74"/>
    <x v="1078"/>
  </r>
  <r>
    <x v="67"/>
    <x v="67"/>
    <x v="74"/>
    <x v="991"/>
  </r>
  <r>
    <x v="77"/>
    <x v="77"/>
    <x v="74"/>
    <x v="22"/>
  </r>
  <r>
    <x v="8"/>
    <x v="8"/>
    <x v="74"/>
    <x v="736"/>
  </r>
  <r>
    <x v="9"/>
    <x v="9"/>
    <x v="74"/>
    <x v="51"/>
  </r>
  <r>
    <x v="10"/>
    <x v="10"/>
    <x v="74"/>
    <x v="1079"/>
  </r>
  <r>
    <x v="11"/>
    <x v="11"/>
    <x v="74"/>
    <x v="899"/>
  </r>
  <r>
    <x v="12"/>
    <x v="12"/>
    <x v="74"/>
    <x v="1071"/>
  </r>
  <r>
    <x v="29"/>
    <x v="29"/>
    <x v="74"/>
    <x v="958"/>
  </r>
  <r>
    <x v="30"/>
    <x v="30"/>
    <x v="74"/>
    <x v="446"/>
  </r>
  <r>
    <x v="84"/>
    <x v="84"/>
    <x v="74"/>
    <x v="501"/>
  </r>
  <r>
    <x v="73"/>
    <x v="73"/>
    <x v="74"/>
    <x v="1080"/>
  </r>
  <r>
    <x v="46"/>
    <x v="46"/>
    <x v="74"/>
    <x v="160"/>
  </r>
  <r>
    <x v="14"/>
    <x v="14"/>
    <x v="74"/>
    <x v="230"/>
  </r>
  <r>
    <x v="16"/>
    <x v="16"/>
    <x v="74"/>
    <x v="996"/>
  </r>
  <r>
    <x v="17"/>
    <x v="17"/>
    <x v="74"/>
    <x v="230"/>
  </r>
  <r>
    <x v="0"/>
    <x v="0"/>
    <x v="75"/>
    <x v="1081"/>
  </r>
  <r>
    <x v="2"/>
    <x v="2"/>
    <x v="75"/>
    <x v="940"/>
  </r>
  <r>
    <x v="34"/>
    <x v="34"/>
    <x v="75"/>
    <x v="1082"/>
  </r>
  <r>
    <x v="21"/>
    <x v="21"/>
    <x v="75"/>
    <x v="1083"/>
  </r>
  <r>
    <x v="3"/>
    <x v="3"/>
    <x v="75"/>
    <x v="1084"/>
  </r>
  <r>
    <x v="35"/>
    <x v="35"/>
    <x v="75"/>
    <x v="1085"/>
  </r>
  <r>
    <x v="4"/>
    <x v="4"/>
    <x v="75"/>
    <x v="662"/>
  </r>
  <r>
    <x v="87"/>
    <x v="87"/>
    <x v="75"/>
    <x v="945"/>
  </r>
  <r>
    <x v="8"/>
    <x v="8"/>
    <x v="75"/>
    <x v="693"/>
  </r>
  <r>
    <x v="9"/>
    <x v="9"/>
    <x v="75"/>
    <x v="387"/>
  </r>
  <r>
    <x v="68"/>
    <x v="68"/>
    <x v="75"/>
    <x v="1086"/>
  </r>
  <r>
    <x v="38"/>
    <x v="38"/>
    <x v="75"/>
    <x v="239"/>
  </r>
  <r>
    <x v="10"/>
    <x v="10"/>
    <x v="75"/>
    <x v="1087"/>
  </r>
  <r>
    <x v="11"/>
    <x v="11"/>
    <x v="75"/>
    <x v="1088"/>
  </r>
  <r>
    <x v="53"/>
    <x v="53"/>
    <x v="75"/>
    <x v="1089"/>
  </r>
  <r>
    <x v="28"/>
    <x v="28"/>
    <x v="75"/>
    <x v="1090"/>
  </r>
  <r>
    <x v="12"/>
    <x v="12"/>
    <x v="75"/>
    <x v="429"/>
  </r>
  <r>
    <x v="29"/>
    <x v="29"/>
    <x v="75"/>
    <x v="227"/>
  </r>
  <r>
    <x v="30"/>
    <x v="30"/>
    <x v="75"/>
    <x v="304"/>
  </r>
  <r>
    <x v="97"/>
    <x v="97"/>
    <x v="75"/>
    <x v="1091"/>
  </r>
  <r>
    <x v="84"/>
    <x v="84"/>
    <x v="75"/>
    <x v="1040"/>
  </r>
  <r>
    <x v="40"/>
    <x v="40"/>
    <x v="75"/>
    <x v="465"/>
  </r>
  <r>
    <x v="13"/>
    <x v="13"/>
    <x v="75"/>
    <x v="15"/>
  </r>
  <r>
    <x v="96"/>
    <x v="96"/>
    <x v="75"/>
    <x v="16"/>
  </r>
  <r>
    <x v="46"/>
    <x v="46"/>
    <x v="75"/>
    <x v="339"/>
  </r>
  <r>
    <x v="14"/>
    <x v="14"/>
    <x v="75"/>
    <x v="162"/>
  </r>
  <r>
    <x v="15"/>
    <x v="15"/>
    <x v="75"/>
    <x v="230"/>
  </r>
  <r>
    <x v="83"/>
    <x v="83"/>
    <x v="75"/>
    <x v="40"/>
  </r>
  <r>
    <x v="16"/>
    <x v="16"/>
    <x v="75"/>
    <x v="62"/>
  </r>
  <r>
    <x v="0"/>
    <x v="0"/>
    <x v="76"/>
    <x v="752"/>
  </r>
  <r>
    <x v="1"/>
    <x v="1"/>
    <x v="76"/>
    <x v="1"/>
  </r>
  <r>
    <x v="2"/>
    <x v="2"/>
    <x v="76"/>
    <x v="219"/>
  </r>
  <r>
    <x v="20"/>
    <x v="20"/>
    <x v="76"/>
    <x v="342"/>
  </r>
  <r>
    <x v="21"/>
    <x v="21"/>
    <x v="76"/>
    <x v="1092"/>
  </r>
  <r>
    <x v="35"/>
    <x v="35"/>
    <x v="76"/>
    <x v="382"/>
  </r>
  <r>
    <x v="4"/>
    <x v="4"/>
    <x v="76"/>
    <x v="903"/>
  </r>
  <r>
    <x v="5"/>
    <x v="5"/>
    <x v="76"/>
    <x v="1093"/>
  </r>
  <r>
    <x v="67"/>
    <x v="67"/>
    <x v="76"/>
    <x v="1094"/>
  </r>
  <r>
    <x v="36"/>
    <x v="36"/>
    <x v="76"/>
    <x v="1031"/>
  </r>
  <r>
    <x v="77"/>
    <x v="77"/>
    <x v="76"/>
    <x v="536"/>
  </r>
  <r>
    <x v="8"/>
    <x v="8"/>
    <x v="76"/>
    <x v="50"/>
  </r>
  <r>
    <x v="9"/>
    <x v="9"/>
    <x v="76"/>
    <x v="9"/>
  </r>
  <r>
    <x v="10"/>
    <x v="10"/>
    <x v="76"/>
    <x v="1095"/>
  </r>
  <r>
    <x v="27"/>
    <x v="27"/>
    <x v="76"/>
    <x v="372"/>
  </r>
  <r>
    <x v="11"/>
    <x v="11"/>
    <x v="76"/>
    <x v="730"/>
  </r>
  <r>
    <x v="29"/>
    <x v="29"/>
    <x v="76"/>
    <x v="1096"/>
  </r>
  <r>
    <x v="30"/>
    <x v="30"/>
    <x v="76"/>
    <x v="161"/>
  </r>
  <r>
    <x v="64"/>
    <x v="64"/>
    <x v="76"/>
    <x v="1097"/>
  </r>
  <r>
    <x v="73"/>
    <x v="73"/>
    <x v="76"/>
    <x v="633"/>
  </r>
  <r>
    <x v="69"/>
    <x v="69"/>
    <x v="76"/>
    <x v="98"/>
  </r>
  <r>
    <x v="13"/>
    <x v="13"/>
    <x v="76"/>
    <x v="162"/>
  </r>
  <r>
    <x v="46"/>
    <x v="46"/>
    <x v="76"/>
    <x v="18"/>
  </r>
  <r>
    <x v="14"/>
    <x v="14"/>
    <x v="76"/>
    <x v="160"/>
  </r>
  <r>
    <x v="15"/>
    <x v="15"/>
    <x v="76"/>
    <x v="85"/>
  </r>
  <r>
    <x v="0"/>
    <x v="0"/>
    <x v="77"/>
    <x v="80"/>
  </r>
  <r>
    <x v="2"/>
    <x v="2"/>
    <x v="77"/>
    <x v="616"/>
  </r>
  <r>
    <x v="21"/>
    <x v="21"/>
    <x v="77"/>
    <x v="114"/>
  </r>
  <r>
    <x v="4"/>
    <x v="4"/>
    <x v="77"/>
    <x v="1098"/>
  </r>
  <r>
    <x v="87"/>
    <x v="87"/>
    <x v="77"/>
    <x v="914"/>
  </r>
  <r>
    <x v="22"/>
    <x v="22"/>
    <x v="77"/>
    <x v="90"/>
  </r>
  <r>
    <x v="23"/>
    <x v="23"/>
    <x v="77"/>
    <x v="118"/>
  </r>
  <r>
    <x v="26"/>
    <x v="26"/>
    <x v="77"/>
    <x v="89"/>
  </r>
  <r>
    <x v="61"/>
    <x v="61"/>
    <x v="77"/>
    <x v="1099"/>
  </r>
  <r>
    <x v="100"/>
    <x v="100"/>
    <x v="77"/>
    <x v="901"/>
  </r>
  <r>
    <x v="6"/>
    <x v="6"/>
    <x v="77"/>
    <x v="6"/>
  </r>
  <r>
    <x v="77"/>
    <x v="77"/>
    <x v="77"/>
    <x v="1100"/>
  </r>
  <r>
    <x v="62"/>
    <x v="62"/>
    <x v="77"/>
    <x v="965"/>
  </r>
  <r>
    <x v="8"/>
    <x v="8"/>
    <x v="77"/>
    <x v="524"/>
  </r>
  <r>
    <x v="10"/>
    <x v="10"/>
    <x v="77"/>
    <x v="310"/>
  </r>
  <r>
    <x v="11"/>
    <x v="11"/>
    <x v="77"/>
    <x v="106"/>
  </r>
  <r>
    <x v="29"/>
    <x v="29"/>
    <x v="77"/>
    <x v="851"/>
  </r>
  <r>
    <x v="30"/>
    <x v="30"/>
    <x v="77"/>
    <x v="17"/>
  </r>
  <r>
    <x v="97"/>
    <x v="97"/>
    <x v="77"/>
    <x v="673"/>
  </r>
  <r>
    <x v="64"/>
    <x v="64"/>
    <x v="77"/>
    <x v="503"/>
  </r>
  <r>
    <x v="46"/>
    <x v="46"/>
    <x v="77"/>
    <x v="630"/>
  </r>
  <r>
    <x v="14"/>
    <x v="14"/>
    <x v="77"/>
    <x v="230"/>
  </r>
  <r>
    <x v="15"/>
    <x v="15"/>
    <x v="77"/>
    <x v="376"/>
  </r>
  <r>
    <x v="16"/>
    <x v="16"/>
    <x v="77"/>
    <x v="40"/>
  </r>
  <r>
    <x v="17"/>
    <x v="17"/>
    <x v="77"/>
    <x v="13"/>
  </r>
  <r>
    <x v="1"/>
    <x v="1"/>
    <x v="78"/>
    <x v="134"/>
  </r>
  <r>
    <x v="2"/>
    <x v="2"/>
    <x v="78"/>
    <x v="231"/>
  </r>
  <r>
    <x v="20"/>
    <x v="20"/>
    <x v="78"/>
    <x v="342"/>
  </r>
  <r>
    <x v="21"/>
    <x v="21"/>
    <x v="78"/>
    <x v="647"/>
  </r>
  <r>
    <x v="3"/>
    <x v="3"/>
    <x v="78"/>
    <x v="572"/>
  </r>
  <r>
    <x v="4"/>
    <x v="4"/>
    <x v="78"/>
    <x v="1101"/>
  </r>
  <r>
    <x v="5"/>
    <x v="5"/>
    <x v="78"/>
    <x v="1102"/>
  </r>
  <r>
    <x v="26"/>
    <x v="26"/>
    <x v="78"/>
    <x v="864"/>
  </r>
  <r>
    <x v="8"/>
    <x v="8"/>
    <x v="78"/>
    <x v="693"/>
  </r>
  <r>
    <x v="9"/>
    <x v="9"/>
    <x v="78"/>
    <x v="303"/>
  </r>
  <r>
    <x v="10"/>
    <x v="10"/>
    <x v="78"/>
    <x v="1103"/>
  </r>
  <r>
    <x v="11"/>
    <x v="11"/>
    <x v="78"/>
    <x v="1104"/>
  </r>
  <r>
    <x v="12"/>
    <x v="12"/>
    <x v="78"/>
    <x v="12"/>
  </r>
  <r>
    <x v="29"/>
    <x v="29"/>
    <x v="78"/>
    <x v="872"/>
  </r>
  <r>
    <x v="30"/>
    <x v="30"/>
    <x v="78"/>
    <x v="1105"/>
  </r>
  <r>
    <x v="84"/>
    <x v="84"/>
    <x v="78"/>
    <x v="1106"/>
  </r>
  <r>
    <x v="31"/>
    <x v="31"/>
    <x v="78"/>
    <x v="37"/>
  </r>
  <r>
    <x v="69"/>
    <x v="69"/>
    <x v="78"/>
    <x v="14"/>
  </r>
  <r>
    <x v="46"/>
    <x v="46"/>
    <x v="78"/>
    <x v="161"/>
  </r>
  <r>
    <x v="14"/>
    <x v="14"/>
    <x v="78"/>
    <x v="14"/>
  </r>
  <r>
    <x v="15"/>
    <x v="15"/>
    <x v="78"/>
    <x v="40"/>
  </r>
  <r>
    <x v="16"/>
    <x v="16"/>
    <x v="78"/>
    <x v="62"/>
  </r>
  <r>
    <x v="49"/>
    <x v="49"/>
    <x v="79"/>
    <x v="111"/>
  </r>
  <r>
    <x v="19"/>
    <x v="19"/>
    <x v="79"/>
    <x v="1107"/>
  </r>
  <r>
    <x v="1"/>
    <x v="1"/>
    <x v="79"/>
    <x v="1108"/>
  </r>
  <r>
    <x v="76"/>
    <x v="76"/>
    <x v="79"/>
    <x v="1043"/>
  </r>
  <r>
    <x v="2"/>
    <x v="2"/>
    <x v="79"/>
    <x v="188"/>
  </r>
  <r>
    <x v="20"/>
    <x v="20"/>
    <x v="79"/>
    <x v="269"/>
  </r>
  <r>
    <x v="34"/>
    <x v="34"/>
    <x v="79"/>
    <x v="536"/>
  </r>
  <r>
    <x v="21"/>
    <x v="21"/>
    <x v="79"/>
    <x v="517"/>
  </r>
  <r>
    <x v="101"/>
    <x v="101"/>
    <x v="79"/>
    <x v="922"/>
  </r>
  <r>
    <x v="35"/>
    <x v="35"/>
    <x v="79"/>
    <x v="574"/>
  </r>
  <r>
    <x v="4"/>
    <x v="4"/>
    <x v="79"/>
    <x v="4"/>
  </r>
  <r>
    <x v="22"/>
    <x v="22"/>
    <x v="79"/>
    <x v="1109"/>
  </r>
  <r>
    <x v="70"/>
    <x v="70"/>
    <x v="79"/>
    <x v="1110"/>
  </r>
  <r>
    <x v="56"/>
    <x v="56"/>
    <x v="79"/>
    <x v="1111"/>
  </r>
  <r>
    <x v="26"/>
    <x v="26"/>
    <x v="79"/>
    <x v="1030"/>
  </r>
  <r>
    <x v="36"/>
    <x v="36"/>
    <x v="79"/>
    <x v="423"/>
  </r>
  <r>
    <x v="92"/>
    <x v="92"/>
    <x v="79"/>
    <x v="1112"/>
  </r>
  <r>
    <x v="88"/>
    <x v="88"/>
    <x v="79"/>
    <x v="1113"/>
  </r>
  <r>
    <x v="7"/>
    <x v="7"/>
    <x v="79"/>
    <x v="653"/>
  </r>
  <r>
    <x v="8"/>
    <x v="8"/>
    <x v="79"/>
    <x v="736"/>
  </r>
  <r>
    <x v="9"/>
    <x v="9"/>
    <x v="79"/>
    <x v="443"/>
  </r>
  <r>
    <x v="38"/>
    <x v="38"/>
    <x v="79"/>
    <x v="1114"/>
  </r>
  <r>
    <x v="10"/>
    <x v="10"/>
    <x v="79"/>
    <x v="240"/>
  </r>
  <r>
    <x v="11"/>
    <x v="11"/>
    <x v="79"/>
    <x v="1115"/>
  </r>
  <r>
    <x v="53"/>
    <x v="53"/>
    <x v="79"/>
    <x v="641"/>
  </r>
  <r>
    <x v="12"/>
    <x v="12"/>
    <x v="79"/>
    <x v="12"/>
  </r>
  <r>
    <x v="29"/>
    <x v="29"/>
    <x v="79"/>
    <x v="277"/>
  </r>
  <r>
    <x v="30"/>
    <x v="30"/>
    <x v="79"/>
    <x v="304"/>
  </r>
  <r>
    <x v="73"/>
    <x v="73"/>
    <x v="79"/>
    <x v="891"/>
  </r>
  <r>
    <x v="60"/>
    <x v="60"/>
    <x v="79"/>
    <x v="298"/>
  </r>
  <r>
    <x v="69"/>
    <x v="69"/>
    <x v="79"/>
    <x v="117"/>
  </r>
  <r>
    <x v="46"/>
    <x v="46"/>
    <x v="79"/>
    <x v="1116"/>
  </r>
  <r>
    <x v="47"/>
    <x v="47"/>
    <x v="79"/>
    <x v="162"/>
  </r>
  <r>
    <x v="15"/>
    <x v="15"/>
    <x v="79"/>
    <x v="14"/>
  </r>
  <r>
    <x v="16"/>
    <x v="16"/>
    <x v="79"/>
    <x v="84"/>
  </r>
  <r>
    <x v="17"/>
    <x v="17"/>
    <x v="79"/>
    <x v="14"/>
  </r>
  <r>
    <x v="1"/>
    <x v="1"/>
    <x v="80"/>
    <x v="165"/>
  </r>
  <r>
    <x v="2"/>
    <x v="2"/>
    <x v="80"/>
    <x v="416"/>
  </r>
  <r>
    <x v="20"/>
    <x v="20"/>
    <x v="80"/>
    <x v="1117"/>
  </r>
  <r>
    <x v="34"/>
    <x v="34"/>
    <x v="80"/>
    <x v="418"/>
  </r>
  <r>
    <x v="21"/>
    <x v="21"/>
    <x v="80"/>
    <x v="419"/>
  </r>
  <r>
    <x v="3"/>
    <x v="3"/>
    <x v="80"/>
    <x v="1118"/>
  </r>
  <r>
    <x v="35"/>
    <x v="35"/>
    <x v="80"/>
    <x v="636"/>
  </r>
  <r>
    <x v="4"/>
    <x v="4"/>
    <x v="80"/>
    <x v="1119"/>
  </r>
  <r>
    <x v="5"/>
    <x v="5"/>
    <x v="80"/>
    <x v="47"/>
  </r>
  <r>
    <x v="23"/>
    <x v="23"/>
    <x v="80"/>
    <x v="651"/>
  </r>
  <r>
    <x v="36"/>
    <x v="36"/>
    <x v="80"/>
    <x v="865"/>
  </r>
  <r>
    <x v="82"/>
    <x v="82"/>
    <x v="80"/>
    <x v="1120"/>
  </r>
  <r>
    <x v="77"/>
    <x v="77"/>
    <x v="80"/>
    <x v="435"/>
  </r>
  <r>
    <x v="8"/>
    <x v="8"/>
    <x v="80"/>
    <x v="821"/>
  </r>
  <r>
    <x v="9"/>
    <x v="9"/>
    <x v="80"/>
    <x v="1121"/>
  </r>
  <r>
    <x v="38"/>
    <x v="38"/>
    <x v="80"/>
    <x v="1122"/>
  </r>
  <r>
    <x v="10"/>
    <x v="10"/>
    <x v="80"/>
    <x v="1123"/>
  </r>
  <r>
    <x v="11"/>
    <x v="11"/>
    <x v="80"/>
    <x v="1124"/>
  </r>
  <r>
    <x v="28"/>
    <x v="28"/>
    <x v="80"/>
    <x v="185"/>
  </r>
  <r>
    <x v="73"/>
    <x v="73"/>
    <x v="80"/>
    <x v="1125"/>
  </r>
  <r>
    <x v="51"/>
    <x v="51"/>
    <x v="80"/>
    <x v="96"/>
  </r>
  <r>
    <x v="69"/>
    <x v="69"/>
    <x v="80"/>
    <x v="16"/>
  </r>
  <r>
    <x v="96"/>
    <x v="96"/>
    <x v="80"/>
    <x v="62"/>
  </r>
  <r>
    <x v="46"/>
    <x v="46"/>
    <x v="80"/>
    <x v="209"/>
  </r>
  <r>
    <x v="47"/>
    <x v="47"/>
    <x v="80"/>
    <x v="160"/>
  </r>
  <r>
    <x v="15"/>
    <x v="15"/>
    <x v="80"/>
    <x v="63"/>
  </r>
  <r>
    <x v="16"/>
    <x v="16"/>
    <x v="80"/>
    <x v="40"/>
  </r>
  <r>
    <x v="17"/>
    <x v="17"/>
    <x v="80"/>
    <x v="15"/>
  </r>
  <r>
    <x v="1"/>
    <x v="1"/>
    <x v="81"/>
    <x v="1126"/>
  </r>
  <r>
    <x v="76"/>
    <x v="76"/>
    <x v="81"/>
    <x v="687"/>
  </r>
  <r>
    <x v="2"/>
    <x v="2"/>
    <x v="81"/>
    <x v="81"/>
  </r>
  <r>
    <x v="21"/>
    <x v="21"/>
    <x v="81"/>
    <x v="102"/>
  </r>
  <r>
    <x v="3"/>
    <x v="3"/>
    <x v="81"/>
    <x v="344"/>
  </r>
  <r>
    <x v="4"/>
    <x v="4"/>
    <x v="81"/>
    <x v="618"/>
  </r>
  <r>
    <x v="5"/>
    <x v="5"/>
    <x v="81"/>
    <x v="400"/>
  </r>
  <r>
    <x v="23"/>
    <x v="23"/>
    <x v="81"/>
    <x v="1127"/>
  </r>
  <r>
    <x v="70"/>
    <x v="70"/>
    <x v="81"/>
    <x v="1128"/>
  </r>
  <r>
    <x v="26"/>
    <x v="26"/>
    <x v="81"/>
    <x v="1129"/>
  </r>
  <r>
    <x v="77"/>
    <x v="77"/>
    <x v="81"/>
    <x v="1100"/>
  </r>
  <r>
    <x v="58"/>
    <x v="58"/>
    <x v="81"/>
    <x v="479"/>
  </r>
  <r>
    <x v="9"/>
    <x v="9"/>
    <x v="81"/>
    <x v="9"/>
  </r>
  <r>
    <x v="10"/>
    <x v="10"/>
    <x v="81"/>
    <x v="1130"/>
  </r>
  <r>
    <x v="27"/>
    <x v="27"/>
    <x v="81"/>
    <x v="1131"/>
  </r>
  <r>
    <x v="11"/>
    <x v="11"/>
    <x v="81"/>
    <x v="1132"/>
  </r>
  <r>
    <x v="29"/>
    <x v="29"/>
    <x v="81"/>
    <x v="293"/>
  </r>
  <r>
    <x v="30"/>
    <x v="30"/>
    <x v="81"/>
    <x v="1133"/>
  </r>
  <r>
    <x v="97"/>
    <x v="97"/>
    <x v="81"/>
    <x v="1134"/>
  </r>
  <r>
    <x v="84"/>
    <x v="84"/>
    <x v="81"/>
    <x v="951"/>
  </r>
  <r>
    <x v="31"/>
    <x v="31"/>
    <x v="81"/>
    <x v="279"/>
  </r>
  <r>
    <x v="46"/>
    <x v="46"/>
    <x v="81"/>
    <x v="245"/>
  </r>
  <r>
    <x v="83"/>
    <x v="83"/>
    <x v="81"/>
    <x v="62"/>
  </r>
  <r>
    <x v="16"/>
    <x v="16"/>
    <x v="81"/>
    <x v="16"/>
  </r>
  <r>
    <x v="0"/>
    <x v="0"/>
    <x v="82"/>
    <x v="1135"/>
  </r>
  <r>
    <x v="2"/>
    <x v="2"/>
    <x v="82"/>
    <x v="1136"/>
  </r>
  <r>
    <x v="20"/>
    <x v="20"/>
    <x v="82"/>
    <x v="1137"/>
  </r>
  <r>
    <x v="21"/>
    <x v="21"/>
    <x v="82"/>
    <x v="1138"/>
  </r>
  <r>
    <x v="3"/>
    <x v="3"/>
    <x v="82"/>
    <x v="344"/>
  </r>
  <r>
    <x v="4"/>
    <x v="4"/>
    <x v="82"/>
    <x v="281"/>
  </r>
  <r>
    <x v="87"/>
    <x v="87"/>
    <x v="82"/>
    <x v="862"/>
  </r>
  <r>
    <x v="23"/>
    <x v="23"/>
    <x v="82"/>
    <x v="1139"/>
  </r>
  <r>
    <x v="70"/>
    <x v="70"/>
    <x v="82"/>
    <x v="1140"/>
  </r>
  <r>
    <x v="26"/>
    <x v="26"/>
    <x v="82"/>
    <x v="1141"/>
  </r>
  <r>
    <x v="98"/>
    <x v="98"/>
    <x v="82"/>
    <x v="1008"/>
  </r>
  <r>
    <x v="8"/>
    <x v="8"/>
    <x v="82"/>
    <x v="147"/>
  </r>
  <r>
    <x v="9"/>
    <x v="9"/>
    <x v="82"/>
    <x v="218"/>
  </r>
  <r>
    <x v="38"/>
    <x v="38"/>
    <x v="82"/>
    <x v="293"/>
  </r>
  <r>
    <x v="10"/>
    <x v="10"/>
    <x v="82"/>
    <x v="1142"/>
  </r>
  <r>
    <x v="27"/>
    <x v="27"/>
    <x v="82"/>
    <x v="1143"/>
  </r>
  <r>
    <x v="11"/>
    <x v="11"/>
    <x v="82"/>
    <x v="1144"/>
  </r>
  <r>
    <x v="53"/>
    <x v="53"/>
    <x v="82"/>
    <x v="1116"/>
  </r>
  <r>
    <x v="12"/>
    <x v="12"/>
    <x v="82"/>
    <x v="55"/>
  </r>
  <r>
    <x v="29"/>
    <x v="29"/>
    <x v="82"/>
    <x v="1145"/>
  </r>
  <r>
    <x v="30"/>
    <x v="30"/>
    <x v="82"/>
    <x v="304"/>
  </r>
  <r>
    <x v="84"/>
    <x v="84"/>
    <x v="82"/>
    <x v="1146"/>
  </r>
  <r>
    <x v="13"/>
    <x v="13"/>
    <x v="82"/>
    <x v="133"/>
  </r>
  <r>
    <x v="46"/>
    <x v="46"/>
    <x v="82"/>
    <x v="500"/>
  </r>
  <r>
    <x v="14"/>
    <x v="14"/>
    <x v="82"/>
    <x v="40"/>
  </r>
  <r>
    <x v="47"/>
    <x v="47"/>
    <x v="82"/>
    <x v="111"/>
  </r>
  <r>
    <x v="15"/>
    <x v="15"/>
    <x v="82"/>
    <x v="160"/>
  </r>
  <r>
    <x v="20"/>
    <x v="20"/>
    <x v="83"/>
    <x v="22"/>
  </r>
  <r>
    <x v="21"/>
    <x v="21"/>
    <x v="83"/>
    <x v="928"/>
  </r>
  <r>
    <x v="3"/>
    <x v="3"/>
    <x v="83"/>
    <x v="115"/>
  </r>
  <r>
    <x v="4"/>
    <x v="4"/>
    <x v="83"/>
    <x v="910"/>
  </r>
  <r>
    <x v="5"/>
    <x v="5"/>
    <x v="83"/>
    <x v="520"/>
  </r>
  <r>
    <x v="55"/>
    <x v="55"/>
    <x v="83"/>
    <x v="1014"/>
  </r>
  <r>
    <x v="36"/>
    <x v="36"/>
    <x v="83"/>
    <x v="456"/>
  </r>
  <r>
    <x v="77"/>
    <x v="77"/>
    <x v="83"/>
    <x v="1147"/>
  </r>
  <r>
    <x v="8"/>
    <x v="8"/>
    <x v="83"/>
    <x v="147"/>
  </r>
  <r>
    <x v="9"/>
    <x v="9"/>
    <x v="83"/>
    <x v="9"/>
  </r>
  <r>
    <x v="38"/>
    <x v="38"/>
    <x v="83"/>
    <x v="1148"/>
  </r>
  <r>
    <x v="10"/>
    <x v="10"/>
    <x v="83"/>
    <x v="1149"/>
  </r>
  <r>
    <x v="27"/>
    <x v="27"/>
    <x v="83"/>
    <x v="1150"/>
  </r>
  <r>
    <x v="11"/>
    <x v="11"/>
    <x v="83"/>
    <x v="1151"/>
  </r>
  <r>
    <x v="28"/>
    <x v="28"/>
    <x v="83"/>
    <x v="34"/>
  </r>
  <r>
    <x v="12"/>
    <x v="12"/>
    <x v="83"/>
    <x v="1152"/>
  </r>
  <r>
    <x v="72"/>
    <x v="72"/>
    <x v="83"/>
    <x v="888"/>
  </r>
  <r>
    <x v="30"/>
    <x v="30"/>
    <x v="83"/>
    <x v="1153"/>
  </r>
  <r>
    <x v="97"/>
    <x v="97"/>
    <x v="83"/>
    <x v="1154"/>
  </r>
  <r>
    <x v="31"/>
    <x v="31"/>
    <x v="83"/>
    <x v="37"/>
  </r>
  <r>
    <x v="46"/>
    <x v="46"/>
    <x v="83"/>
    <x v="419"/>
  </r>
  <r>
    <x v="15"/>
    <x v="15"/>
    <x v="83"/>
    <x v="98"/>
  </r>
  <r>
    <x v="83"/>
    <x v="83"/>
    <x v="83"/>
    <x v="16"/>
  </r>
  <r>
    <x v="50"/>
    <x v="50"/>
    <x v="84"/>
    <x v="18"/>
  </r>
  <r>
    <x v="0"/>
    <x v="0"/>
    <x v="84"/>
    <x v="20"/>
  </r>
  <r>
    <x v="2"/>
    <x v="2"/>
    <x v="84"/>
    <x v="1155"/>
  </r>
  <r>
    <x v="20"/>
    <x v="20"/>
    <x v="84"/>
    <x v="1156"/>
  </r>
  <r>
    <x v="21"/>
    <x v="21"/>
    <x v="84"/>
    <x v="517"/>
  </r>
  <r>
    <x v="3"/>
    <x v="3"/>
    <x v="84"/>
    <x v="1084"/>
  </r>
  <r>
    <x v="35"/>
    <x v="35"/>
    <x v="84"/>
    <x v="438"/>
  </r>
  <r>
    <x v="4"/>
    <x v="4"/>
    <x v="84"/>
    <x v="191"/>
  </r>
  <r>
    <x v="87"/>
    <x v="87"/>
    <x v="84"/>
    <x v="862"/>
  </r>
  <r>
    <x v="5"/>
    <x v="5"/>
    <x v="84"/>
    <x v="778"/>
  </r>
  <r>
    <x v="82"/>
    <x v="82"/>
    <x v="84"/>
    <x v="404"/>
  </r>
  <r>
    <x v="6"/>
    <x v="6"/>
    <x v="84"/>
    <x v="1157"/>
  </r>
  <r>
    <x v="8"/>
    <x v="8"/>
    <x v="84"/>
    <x v="147"/>
  </r>
  <r>
    <x v="9"/>
    <x v="9"/>
    <x v="84"/>
    <x v="148"/>
  </r>
  <r>
    <x v="68"/>
    <x v="68"/>
    <x v="84"/>
    <x v="1158"/>
  </r>
  <r>
    <x v="38"/>
    <x v="38"/>
    <x v="84"/>
    <x v="1159"/>
  </r>
  <r>
    <x v="10"/>
    <x v="10"/>
    <x v="84"/>
    <x v="1160"/>
  </r>
  <r>
    <x v="11"/>
    <x v="11"/>
    <x v="84"/>
    <x v="612"/>
  </r>
  <r>
    <x v="53"/>
    <x v="53"/>
    <x v="84"/>
    <x v="252"/>
  </r>
  <r>
    <x v="28"/>
    <x v="28"/>
    <x v="84"/>
    <x v="224"/>
  </r>
  <r>
    <x v="12"/>
    <x v="12"/>
    <x v="84"/>
    <x v="1161"/>
  </r>
  <r>
    <x v="30"/>
    <x v="30"/>
    <x v="84"/>
    <x v="1162"/>
  </r>
  <r>
    <x v="97"/>
    <x v="97"/>
    <x v="84"/>
    <x v="1163"/>
  </r>
  <r>
    <x v="84"/>
    <x v="84"/>
    <x v="84"/>
    <x v="1164"/>
  </r>
  <r>
    <x v="91"/>
    <x v="91"/>
    <x v="84"/>
    <x v="597"/>
  </r>
  <r>
    <x v="40"/>
    <x v="40"/>
    <x v="84"/>
    <x v="1165"/>
  </r>
  <r>
    <x v="32"/>
    <x v="32"/>
    <x v="84"/>
    <x v="467"/>
  </r>
  <r>
    <x v="13"/>
    <x v="13"/>
    <x v="84"/>
    <x v="230"/>
  </r>
  <r>
    <x v="46"/>
    <x v="46"/>
    <x v="84"/>
    <x v="40"/>
  </r>
  <r>
    <x v="14"/>
    <x v="14"/>
    <x v="84"/>
    <x v="111"/>
  </r>
  <r>
    <x v="15"/>
    <x v="15"/>
    <x v="84"/>
    <x v="209"/>
  </r>
  <r>
    <x v="16"/>
    <x v="16"/>
    <x v="84"/>
    <x v="111"/>
  </r>
  <r>
    <x v="17"/>
    <x v="17"/>
    <x v="84"/>
    <x v="162"/>
  </r>
  <r>
    <x v="2"/>
    <x v="2"/>
    <x v="85"/>
    <x v="1166"/>
  </r>
  <r>
    <x v="34"/>
    <x v="34"/>
    <x v="85"/>
    <x v="1167"/>
  </r>
  <r>
    <x v="3"/>
    <x v="3"/>
    <x v="85"/>
    <x v="518"/>
  </r>
  <r>
    <x v="35"/>
    <x v="35"/>
    <x v="85"/>
    <x v="1168"/>
  </r>
  <r>
    <x v="5"/>
    <x v="5"/>
    <x v="85"/>
    <x v="1169"/>
  </r>
  <r>
    <x v="23"/>
    <x v="23"/>
    <x v="85"/>
    <x v="118"/>
  </r>
  <r>
    <x v="55"/>
    <x v="55"/>
    <x v="85"/>
    <x v="366"/>
  </r>
  <r>
    <x v="26"/>
    <x v="26"/>
    <x v="85"/>
    <x v="1064"/>
  </r>
  <r>
    <x v="61"/>
    <x v="61"/>
    <x v="85"/>
    <x v="326"/>
  </r>
  <r>
    <x v="36"/>
    <x v="36"/>
    <x v="85"/>
    <x v="423"/>
  </r>
  <r>
    <x v="92"/>
    <x v="92"/>
    <x v="85"/>
    <x v="866"/>
  </r>
  <r>
    <x v="82"/>
    <x v="82"/>
    <x v="85"/>
    <x v="1170"/>
  </r>
  <r>
    <x v="7"/>
    <x v="7"/>
    <x v="85"/>
    <x v="76"/>
  </r>
  <r>
    <x v="8"/>
    <x v="8"/>
    <x v="85"/>
    <x v="566"/>
  </r>
  <r>
    <x v="9"/>
    <x v="9"/>
    <x v="85"/>
    <x v="1171"/>
  </r>
  <r>
    <x v="38"/>
    <x v="38"/>
    <x v="85"/>
    <x v="149"/>
  </r>
  <r>
    <x v="10"/>
    <x v="10"/>
    <x v="85"/>
    <x v="1172"/>
  </r>
  <r>
    <x v="27"/>
    <x v="27"/>
    <x v="85"/>
    <x v="372"/>
  </r>
  <r>
    <x v="11"/>
    <x v="11"/>
    <x v="85"/>
    <x v="1173"/>
  </r>
  <r>
    <x v="12"/>
    <x v="12"/>
    <x v="85"/>
    <x v="55"/>
  </r>
  <r>
    <x v="29"/>
    <x v="29"/>
    <x v="85"/>
    <x v="35"/>
  </r>
  <r>
    <x v="30"/>
    <x v="30"/>
    <x v="85"/>
    <x v="158"/>
  </r>
  <r>
    <x v="84"/>
    <x v="84"/>
    <x v="85"/>
    <x v="1164"/>
  </r>
  <r>
    <x v="69"/>
    <x v="69"/>
    <x v="85"/>
    <x v="111"/>
  </r>
  <r>
    <x v="13"/>
    <x v="13"/>
    <x v="85"/>
    <x v="18"/>
  </r>
  <r>
    <x v="96"/>
    <x v="96"/>
    <x v="85"/>
    <x v="14"/>
  </r>
  <r>
    <x v="46"/>
    <x v="46"/>
    <x v="85"/>
    <x v="62"/>
  </r>
  <r>
    <x v="14"/>
    <x v="14"/>
    <x v="85"/>
    <x v="507"/>
  </r>
  <r>
    <x v="47"/>
    <x v="47"/>
    <x v="85"/>
    <x v="85"/>
  </r>
  <r>
    <x v="15"/>
    <x v="15"/>
    <x v="85"/>
    <x v="1174"/>
  </r>
  <r>
    <x v="16"/>
    <x v="16"/>
    <x v="85"/>
    <x v="507"/>
  </r>
  <r>
    <x v="17"/>
    <x v="17"/>
    <x v="85"/>
    <x v="1175"/>
  </r>
  <r>
    <x v="76"/>
    <x v="76"/>
    <x v="86"/>
    <x v="561"/>
  </r>
  <r>
    <x v="2"/>
    <x v="2"/>
    <x v="86"/>
    <x v="416"/>
  </r>
  <r>
    <x v="34"/>
    <x v="34"/>
    <x v="86"/>
    <x v="418"/>
  </r>
  <r>
    <x v="21"/>
    <x v="21"/>
    <x v="86"/>
    <x v="1176"/>
  </r>
  <r>
    <x v="35"/>
    <x v="35"/>
    <x v="86"/>
    <x v="263"/>
  </r>
  <r>
    <x v="4"/>
    <x v="4"/>
    <x v="86"/>
    <x v="1177"/>
  </r>
  <r>
    <x v="52"/>
    <x v="52"/>
    <x v="86"/>
    <x v="364"/>
  </r>
  <r>
    <x v="5"/>
    <x v="5"/>
    <x v="86"/>
    <x v="1178"/>
  </r>
  <r>
    <x v="8"/>
    <x v="8"/>
    <x v="86"/>
    <x v="693"/>
  </r>
  <r>
    <x v="38"/>
    <x v="38"/>
    <x v="86"/>
    <x v="1179"/>
  </r>
  <r>
    <x v="10"/>
    <x v="10"/>
    <x v="86"/>
    <x v="1180"/>
  </r>
  <r>
    <x v="11"/>
    <x v="11"/>
    <x v="86"/>
    <x v="1181"/>
  </r>
  <r>
    <x v="28"/>
    <x v="28"/>
    <x v="86"/>
    <x v="1182"/>
  </r>
  <r>
    <x v="12"/>
    <x v="12"/>
    <x v="86"/>
    <x v="1183"/>
  </r>
  <r>
    <x v="29"/>
    <x v="29"/>
    <x v="86"/>
    <x v="529"/>
  </r>
  <r>
    <x v="30"/>
    <x v="30"/>
    <x v="86"/>
    <x v="1184"/>
  </r>
  <r>
    <x v="80"/>
    <x v="80"/>
    <x v="86"/>
    <x v="1185"/>
  </r>
  <r>
    <x v="97"/>
    <x v="97"/>
    <x v="86"/>
    <x v="1186"/>
  </r>
  <r>
    <x v="51"/>
    <x v="51"/>
    <x v="86"/>
    <x v="807"/>
  </r>
  <r>
    <x v="13"/>
    <x v="13"/>
    <x v="86"/>
    <x v="1187"/>
  </r>
  <r>
    <x v="96"/>
    <x v="96"/>
    <x v="86"/>
    <x v="82"/>
  </r>
  <r>
    <x v="46"/>
    <x v="46"/>
    <x v="86"/>
    <x v="83"/>
  </r>
  <r>
    <x v="14"/>
    <x v="14"/>
    <x v="86"/>
    <x v="111"/>
  </r>
  <r>
    <x v="15"/>
    <x v="15"/>
    <x v="86"/>
    <x v="245"/>
  </r>
  <r>
    <x v="16"/>
    <x v="16"/>
    <x v="86"/>
    <x v="62"/>
  </r>
  <r>
    <x v="19"/>
    <x v="19"/>
    <x v="87"/>
    <x v="1188"/>
  </r>
  <r>
    <x v="0"/>
    <x v="0"/>
    <x v="87"/>
    <x v="1189"/>
  </r>
  <r>
    <x v="76"/>
    <x v="76"/>
    <x v="87"/>
    <x v="1059"/>
  </r>
  <r>
    <x v="2"/>
    <x v="2"/>
    <x v="87"/>
    <x v="21"/>
  </r>
  <r>
    <x v="20"/>
    <x v="20"/>
    <x v="87"/>
    <x v="65"/>
  </r>
  <r>
    <x v="34"/>
    <x v="34"/>
    <x v="87"/>
    <x v="543"/>
  </r>
  <r>
    <x v="35"/>
    <x v="35"/>
    <x v="87"/>
    <x v="790"/>
  </r>
  <r>
    <x v="4"/>
    <x v="4"/>
    <x v="87"/>
    <x v="1190"/>
  </r>
  <r>
    <x v="65"/>
    <x v="65"/>
    <x v="87"/>
    <x v="1191"/>
  </r>
  <r>
    <x v="55"/>
    <x v="55"/>
    <x v="87"/>
    <x v="1192"/>
  </r>
  <r>
    <x v="26"/>
    <x v="26"/>
    <x v="87"/>
    <x v="1193"/>
  </r>
  <r>
    <x v="36"/>
    <x v="36"/>
    <x v="87"/>
    <x v="933"/>
  </r>
  <r>
    <x v="92"/>
    <x v="92"/>
    <x v="87"/>
    <x v="1194"/>
  </r>
  <r>
    <x v="8"/>
    <x v="8"/>
    <x v="87"/>
    <x v="524"/>
  </r>
  <r>
    <x v="9"/>
    <x v="9"/>
    <x v="87"/>
    <x v="148"/>
  </r>
  <r>
    <x v="38"/>
    <x v="38"/>
    <x v="87"/>
    <x v="1195"/>
  </r>
  <r>
    <x v="10"/>
    <x v="10"/>
    <x v="87"/>
    <x v="1196"/>
  </r>
  <r>
    <x v="27"/>
    <x v="27"/>
    <x v="87"/>
    <x v="460"/>
  </r>
  <r>
    <x v="11"/>
    <x v="11"/>
    <x v="87"/>
    <x v="1197"/>
  </r>
  <r>
    <x v="28"/>
    <x v="28"/>
    <x v="87"/>
    <x v="151"/>
  </r>
  <r>
    <x v="12"/>
    <x v="12"/>
    <x v="87"/>
    <x v="55"/>
  </r>
  <r>
    <x v="29"/>
    <x v="29"/>
    <x v="87"/>
    <x v="227"/>
  </r>
  <r>
    <x v="72"/>
    <x v="72"/>
    <x v="87"/>
    <x v="414"/>
  </r>
  <r>
    <x v="30"/>
    <x v="30"/>
    <x v="87"/>
    <x v="464"/>
  </r>
  <r>
    <x v="31"/>
    <x v="31"/>
    <x v="87"/>
    <x v="295"/>
  </r>
  <r>
    <x v="51"/>
    <x v="51"/>
    <x v="87"/>
    <x v="96"/>
  </r>
  <r>
    <x v="69"/>
    <x v="69"/>
    <x v="87"/>
    <x v="111"/>
  </r>
  <r>
    <x v="13"/>
    <x v="13"/>
    <x v="87"/>
    <x v="111"/>
  </r>
  <r>
    <x v="96"/>
    <x v="96"/>
    <x v="87"/>
    <x v="85"/>
  </r>
  <r>
    <x v="46"/>
    <x v="46"/>
    <x v="87"/>
    <x v="62"/>
  </r>
  <r>
    <x v="47"/>
    <x v="47"/>
    <x v="87"/>
    <x v="40"/>
  </r>
  <r>
    <x v="15"/>
    <x v="15"/>
    <x v="87"/>
    <x v="230"/>
  </r>
  <r>
    <x v="16"/>
    <x v="16"/>
    <x v="87"/>
    <x v="63"/>
  </r>
  <r>
    <x v="18"/>
    <x v="18"/>
    <x v="88"/>
    <x v="111"/>
  </r>
  <r>
    <x v="76"/>
    <x v="76"/>
    <x v="88"/>
    <x v="1198"/>
  </r>
  <r>
    <x v="20"/>
    <x v="20"/>
    <x v="88"/>
    <x v="417"/>
  </r>
  <r>
    <x v="21"/>
    <x v="21"/>
    <x v="88"/>
    <x v="598"/>
  </r>
  <r>
    <x v="4"/>
    <x v="4"/>
    <x v="88"/>
    <x v="1199"/>
  </r>
  <r>
    <x v="5"/>
    <x v="5"/>
    <x v="88"/>
    <x v="400"/>
  </r>
  <r>
    <x v="23"/>
    <x v="23"/>
    <x v="88"/>
    <x v="1200"/>
  </r>
  <r>
    <x v="26"/>
    <x v="26"/>
    <x v="88"/>
    <x v="1201"/>
  </r>
  <r>
    <x v="61"/>
    <x v="61"/>
    <x v="88"/>
    <x v="1202"/>
  </r>
  <r>
    <x v="98"/>
    <x v="98"/>
    <x v="88"/>
    <x v="1187"/>
  </r>
  <r>
    <x v="8"/>
    <x v="8"/>
    <x v="88"/>
    <x v="50"/>
  </r>
  <r>
    <x v="38"/>
    <x v="38"/>
    <x v="88"/>
    <x v="868"/>
  </r>
  <r>
    <x v="10"/>
    <x v="10"/>
    <x v="88"/>
    <x v="1203"/>
  </r>
  <r>
    <x v="11"/>
    <x v="11"/>
    <x v="88"/>
    <x v="749"/>
  </r>
  <r>
    <x v="28"/>
    <x v="28"/>
    <x v="88"/>
    <x v="1204"/>
  </r>
  <r>
    <x v="12"/>
    <x v="12"/>
    <x v="88"/>
    <x v="1037"/>
  </r>
  <r>
    <x v="30"/>
    <x v="30"/>
    <x v="88"/>
    <x v="657"/>
  </r>
  <r>
    <x v="84"/>
    <x v="84"/>
    <x v="88"/>
    <x v="1106"/>
  </r>
  <r>
    <x v="13"/>
    <x v="13"/>
    <x v="88"/>
    <x v="62"/>
  </r>
  <r>
    <x v="96"/>
    <x v="96"/>
    <x v="88"/>
    <x v="111"/>
  </r>
  <r>
    <x v="46"/>
    <x v="46"/>
    <x v="88"/>
    <x v="533"/>
  </r>
  <r>
    <x v="14"/>
    <x v="14"/>
    <x v="88"/>
    <x v="111"/>
  </r>
  <r>
    <x v="15"/>
    <x v="15"/>
    <x v="88"/>
    <x v="14"/>
  </r>
  <r>
    <x v="16"/>
    <x v="16"/>
    <x v="88"/>
    <x v="40"/>
  </r>
  <r>
    <x v="17"/>
    <x v="17"/>
    <x v="88"/>
    <x v="862"/>
  </r>
  <r>
    <x v="75"/>
    <x v="75"/>
    <x v="89"/>
    <x v="85"/>
  </r>
  <r>
    <x v="0"/>
    <x v="0"/>
    <x v="89"/>
    <x v="1205"/>
  </r>
  <r>
    <x v="76"/>
    <x v="76"/>
    <x v="89"/>
    <x v="687"/>
  </r>
  <r>
    <x v="2"/>
    <x v="2"/>
    <x v="89"/>
    <x v="1206"/>
  </r>
  <r>
    <x v="20"/>
    <x v="20"/>
    <x v="89"/>
    <x v="118"/>
  </r>
  <r>
    <x v="5"/>
    <x v="5"/>
    <x v="89"/>
    <x v="796"/>
  </r>
  <r>
    <x v="23"/>
    <x v="23"/>
    <x v="89"/>
    <x v="305"/>
  </r>
  <r>
    <x v="70"/>
    <x v="70"/>
    <x v="89"/>
    <x v="796"/>
  </r>
  <r>
    <x v="99"/>
    <x v="99"/>
    <x v="89"/>
    <x v="1207"/>
  </r>
  <r>
    <x v="61"/>
    <x v="61"/>
    <x v="89"/>
    <x v="1208"/>
  </r>
  <r>
    <x v="62"/>
    <x v="62"/>
    <x v="89"/>
    <x v="912"/>
  </r>
  <r>
    <x v="8"/>
    <x v="8"/>
    <x v="89"/>
    <x v="1209"/>
  </r>
  <r>
    <x v="9"/>
    <x v="9"/>
    <x v="89"/>
    <x v="352"/>
  </r>
  <r>
    <x v="38"/>
    <x v="38"/>
    <x v="89"/>
    <x v="915"/>
  </r>
  <r>
    <x v="10"/>
    <x v="10"/>
    <x v="89"/>
    <x v="603"/>
  </r>
  <r>
    <x v="11"/>
    <x v="11"/>
    <x v="89"/>
    <x v="291"/>
  </r>
  <r>
    <x v="28"/>
    <x v="28"/>
    <x v="89"/>
    <x v="1210"/>
  </r>
  <r>
    <x v="12"/>
    <x v="12"/>
    <x v="89"/>
    <x v="1211"/>
  </r>
  <r>
    <x v="29"/>
    <x v="29"/>
    <x v="89"/>
    <x v="1212"/>
  </r>
  <r>
    <x v="30"/>
    <x v="30"/>
    <x v="89"/>
    <x v="294"/>
  </r>
  <r>
    <x v="73"/>
    <x v="73"/>
    <x v="89"/>
    <x v="1213"/>
  </r>
  <r>
    <x v="51"/>
    <x v="51"/>
    <x v="89"/>
    <x v="96"/>
  </r>
  <r>
    <x v="69"/>
    <x v="69"/>
    <x v="89"/>
    <x v="230"/>
  </r>
  <r>
    <x v="96"/>
    <x v="96"/>
    <x v="89"/>
    <x v="40"/>
  </r>
  <r>
    <x v="46"/>
    <x v="46"/>
    <x v="89"/>
    <x v="16"/>
  </r>
  <r>
    <x v="14"/>
    <x v="14"/>
    <x v="89"/>
    <x v="62"/>
  </r>
  <r>
    <x v="15"/>
    <x v="15"/>
    <x v="89"/>
    <x v="1214"/>
  </r>
  <r>
    <x v="17"/>
    <x v="17"/>
    <x v="89"/>
    <x v="40"/>
  </r>
  <r>
    <x v="49"/>
    <x v="49"/>
    <x v="90"/>
    <x v="16"/>
  </r>
  <r>
    <x v="0"/>
    <x v="0"/>
    <x v="90"/>
    <x v="1215"/>
  </r>
  <r>
    <x v="2"/>
    <x v="2"/>
    <x v="90"/>
    <x v="1155"/>
  </r>
  <r>
    <x v="20"/>
    <x v="20"/>
    <x v="90"/>
    <x v="65"/>
  </r>
  <r>
    <x v="3"/>
    <x v="3"/>
    <x v="90"/>
    <x v="1216"/>
  </r>
  <r>
    <x v="4"/>
    <x v="4"/>
    <x v="90"/>
    <x v="234"/>
  </r>
  <r>
    <x v="87"/>
    <x v="87"/>
    <x v="90"/>
    <x v="876"/>
  </r>
  <r>
    <x v="5"/>
    <x v="5"/>
    <x v="90"/>
    <x v="953"/>
  </r>
  <r>
    <x v="65"/>
    <x v="65"/>
    <x v="90"/>
    <x v="1217"/>
  </r>
  <r>
    <x v="55"/>
    <x v="55"/>
    <x v="90"/>
    <x v="1218"/>
  </r>
  <r>
    <x v="67"/>
    <x v="67"/>
    <x v="90"/>
    <x v="440"/>
  </r>
  <r>
    <x v="26"/>
    <x v="26"/>
    <x v="90"/>
    <x v="1219"/>
  </r>
  <r>
    <x v="36"/>
    <x v="36"/>
    <x v="90"/>
    <x v="327"/>
  </r>
  <r>
    <x v="74"/>
    <x v="74"/>
    <x v="90"/>
    <x v="403"/>
  </r>
  <r>
    <x v="6"/>
    <x v="6"/>
    <x v="90"/>
    <x v="1157"/>
  </r>
  <r>
    <x v="38"/>
    <x v="38"/>
    <x v="90"/>
    <x v="851"/>
  </r>
  <r>
    <x v="10"/>
    <x v="10"/>
    <x v="90"/>
    <x v="1220"/>
  </r>
  <r>
    <x v="11"/>
    <x v="11"/>
    <x v="90"/>
    <x v="1221"/>
  </r>
  <r>
    <x v="12"/>
    <x v="12"/>
    <x v="90"/>
    <x v="715"/>
  </r>
  <r>
    <x v="29"/>
    <x v="29"/>
    <x v="90"/>
    <x v="414"/>
  </r>
  <r>
    <x v="30"/>
    <x v="30"/>
    <x v="90"/>
    <x v="161"/>
  </r>
  <r>
    <x v="73"/>
    <x v="73"/>
    <x v="90"/>
    <x v="207"/>
  </r>
  <r>
    <x v="69"/>
    <x v="69"/>
    <x v="90"/>
    <x v="339"/>
  </r>
  <r>
    <x v="96"/>
    <x v="96"/>
    <x v="90"/>
    <x v="18"/>
  </r>
  <r>
    <x v="46"/>
    <x v="46"/>
    <x v="90"/>
    <x v="1076"/>
  </r>
  <r>
    <x v="14"/>
    <x v="14"/>
    <x v="90"/>
    <x v="98"/>
  </r>
  <r>
    <x v="47"/>
    <x v="47"/>
    <x v="90"/>
    <x v="160"/>
  </r>
  <r>
    <x v="15"/>
    <x v="15"/>
    <x v="90"/>
    <x v="16"/>
  </r>
  <r>
    <x v="16"/>
    <x v="16"/>
    <x v="90"/>
    <x v="14"/>
  </r>
  <r>
    <x v="17"/>
    <x v="17"/>
    <x v="90"/>
    <x v="62"/>
  </r>
  <r>
    <x v="0"/>
    <x v="0"/>
    <x v="91"/>
    <x v="516"/>
  </r>
  <r>
    <x v="2"/>
    <x v="2"/>
    <x v="91"/>
    <x v="902"/>
  </r>
  <r>
    <x v="20"/>
    <x v="20"/>
    <x v="91"/>
    <x v="63"/>
  </r>
  <r>
    <x v="21"/>
    <x v="21"/>
    <x v="91"/>
    <x v="280"/>
  </r>
  <r>
    <x v="3"/>
    <x v="3"/>
    <x v="91"/>
    <x v="44"/>
  </r>
  <r>
    <x v="35"/>
    <x v="35"/>
    <x v="91"/>
    <x v="1222"/>
  </r>
  <r>
    <x v="4"/>
    <x v="4"/>
    <x v="91"/>
    <x v="46"/>
  </r>
  <r>
    <x v="5"/>
    <x v="5"/>
    <x v="91"/>
    <x v="953"/>
  </r>
  <r>
    <x v="23"/>
    <x v="23"/>
    <x v="91"/>
    <x v="1223"/>
  </r>
  <r>
    <x v="55"/>
    <x v="55"/>
    <x v="91"/>
    <x v="1224"/>
  </r>
  <r>
    <x v="26"/>
    <x v="26"/>
    <x v="91"/>
    <x v="1225"/>
  </r>
  <r>
    <x v="36"/>
    <x v="36"/>
    <x v="91"/>
    <x v="1226"/>
  </r>
  <r>
    <x v="82"/>
    <x v="82"/>
    <x v="91"/>
    <x v="68"/>
  </r>
  <r>
    <x v="88"/>
    <x v="88"/>
    <x v="91"/>
    <x v="1227"/>
  </r>
  <r>
    <x v="37"/>
    <x v="37"/>
    <x v="91"/>
    <x v="91"/>
  </r>
  <r>
    <x v="8"/>
    <x v="8"/>
    <x v="91"/>
    <x v="324"/>
  </r>
  <r>
    <x v="9"/>
    <x v="9"/>
    <x v="91"/>
    <x v="9"/>
  </r>
  <r>
    <x v="10"/>
    <x v="10"/>
    <x v="91"/>
    <x v="1228"/>
  </r>
  <r>
    <x v="11"/>
    <x v="11"/>
    <x v="91"/>
    <x v="183"/>
  </r>
  <r>
    <x v="53"/>
    <x v="53"/>
    <x v="91"/>
    <x v="1229"/>
  </r>
  <r>
    <x v="28"/>
    <x v="28"/>
    <x v="91"/>
    <x v="412"/>
  </r>
  <r>
    <x v="29"/>
    <x v="29"/>
    <x v="91"/>
    <x v="463"/>
  </r>
  <r>
    <x v="30"/>
    <x v="30"/>
    <x v="91"/>
    <x v="1230"/>
  </r>
  <r>
    <x v="97"/>
    <x v="97"/>
    <x v="91"/>
    <x v="1231"/>
  </r>
  <r>
    <x v="31"/>
    <x v="31"/>
    <x v="91"/>
    <x v="486"/>
  </r>
  <r>
    <x v="51"/>
    <x v="51"/>
    <x v="91"/>
    <x v="807"/>
  </r>
  <r>
    <x v="13"/>
    <x v="13"/>
    <x v="91"/>
    <x v="1232"/>
  </r>
  <r>
    <x v="46"/>
    <x v="46"/>
    <x v="91"/>
    <x v="83"/>
  </r>
  <r>
    <x v="14"/>
    <x v="14"/>
    <x v="91"/>
    <x v="62"/>
  </r>
  <r>
    <x v="15"/>
    <x v="15"/>
    <x v="91"/>
    <x v="62"/>
  </r>
  <r>
    <x v="16"/>
    <x v="16"/>
    <x v="91"/>
    <x v="507"/>
  </r>
  <r>
    <x v="76"/>
    <x v="76"/>
    <x v="92"/>
    <x v="1233"/>
  </r>
  <r>
    <x v="2"/>
    <x v="2"/>
    <x v="92"/>
    <x v="81"/>
  </r>
  <r>
    <x v="20"/>
    <x v="20"/>
    <x v="92"/>
    <x v="435"/>
  </r>
  <r>
    <x v="21"/>
    <x v="21"/>
    <x v="92"/>
    <x v="1234"/>
  </r>
  <r>
    <x v="4"/>
    <x v="4"/>
    <x v="92"/>
    <x v="903"/>
  </r>
  <r>
    <x v="22"/>
    <x v="22"/>
    <x v="92"/>
    <x v="510"/>
  </r>
  <r>
    <x v="66"/>
    <x v="66"/>
    <x v="92"/>
    <x v="1235"/>
  </r>
  <r>
    <x v="74"/>
    <x v="74"/>
    <x v="92"/>
    <x v="403"/>
  </r>
  <r>
    <x v="37"/>
    <x v="37"/>
    <x v="92"/>
    <x v="178"/>
  </r>
  <r>
    <x v="8"/>
    <x v="8"/>
    <x v="92"/>
    <x v="666"/>
  </r>
  <r>
    <x v="9"/>
    <x v="9"/>
    <x v="92"/>
    <x v="1236"/>
  </r>
  <r>
    <x v="38"/>
    <x v="38"/>
    <x v="92"/>
    <x v="1237"/>
  </r>
  <r>
    <x v="10"/>
    <x v="10"/>
    <x v="92"/>
    <x v="1238"/>
  </r>
  <r>
    <x v="11"/>
    <x v="11"/>
    <x v="92"/>
    <x v="274"/>
  </r>
  <r>
    <x v="39"/>
    <x v="39"/>
    <x v="92"/>
    <x v="226"/>
  </r>
  <r>
    <x v="30"/>
    <x v="30"/>
    <x v="92"/>
    <x v="36"/>
  </r>
  <r>
    <x v="31"/>
    <x v="31"/>
    <x v="92"/>
    <x v="60"/>
  </r>
  <r>
    <x v="73"/>
    <x v="73"/>
    <x v="92"/>
    <x v="207"/>
  </r>
  <r>
    <x v="0"/>
    <x v="0"/>
    <x v="93"/>
    <x v="80"/>
  </r>
  <r>
    <x v="2"/>
    <x v="2"/>
    <x v="93"/>
    <x v="1239"/>
  </r>
  <r>
    <x v="20"/>
    <x v="20"/>
    <x v="93"/>
    <x v="65"/>
  </r>
  <r>
    <x v="21"/>
    <x v="21"/>
    <x v="93"/>
    <x v="437"/>
  </r>
  <r>
    <x v="3"/>
    <x v="3"/>
    <x v="93"/>
    <x v="1240"/>
  </r>
  <r>
    <x v="4"/>
    <x v="4"/>
    <x v="93"/>
    <x v="1101"/>
  </r>
  <r>
    <x v="22"/>
    <x v="22"/>
    <x v="93"/>
    <x v="25"/>
  </r>
  <r>
    <x v="5"/>
    <x v="5"/>
    <x v="93"/>
    <x v="520"/>
  </r>
  <r>
    <x v="23"/>
    <x v="23"/>
    <x v="93"/>
    <x v="651"/>
  </r>
  <r>
    <x v="55"/>
    <x v="55"/>
    <x v="93"/>
    <x v="139"/>
  </r>
  <r>
    <x v="99"/>
    <x v="99"/>
    <x v="93"/>
    <x v="1241"/>
  </r>
  <r>
    <x v="67"/>
    <x v="67"/>
    <x v="93"/>
    <x v="734"/>
  </r>
  <r>
    <x v="36"/>
    <x v="36"/>
    <x v="93"/>
    <x v="1242"/>
  </r>
  <r>
    <x v="8"/>
    <x v="8"/>
    <x v="93"/>
    <x v="710"/>
  </r>
  <r>
    <x v="9"/>
    <x v="9"/>
    <x v="93"/>
    <x v="148"/>
  </r>
  <r>
    <x v="10"/>
    <x v="10"/>
    <x v="93"/>
    <x v="1243"/>
  </r>
  <r>
    <x v="27"/>
    <x v="27"/>
    <x v="93"/>
    <x v="1244"/>
  </r>
  <r>
    <x v="11"/>
    <x v="11"/>
    <x v="93"/>
    <x v="1245"/>
  </r>
  <r>
    <x v="12"/>
    <x v="12"/>
    <x v="93"/>
    <x v="1211"/>
  </r>
  <r>
    <x v="29"/>
    <x v="29"/>
    <x v="93"/>
    <x v="227"/>
  </r>
  <r>
    <x v="30"/>
    <x v="30"/>
    <x v="93"/>
    <x v="1246"/>
  </r>
  <r>
    <x v="73"/>
    <x v="73"/>
    <x v="93"/>
    <x v="1247"/>
  </r>
  <r>
    <x v="96"/>
    <x v="96"/>
    <x v="93"/>
    <x v="62"/>
  </r>
  <r>
    <x v="46"/>
    <x v="46"/>
    <x v="93"/>
    <x v="1248"/>
  </r>
  <r>
    <x v="15"/>
    <x v="15"/>
    <x v="93"/>
    <x v="98"/>
  </r>
  <r>
    <x v="83"/>
    <x v="83"/>
    <x v="93"/>
    <x v="98"/>
  </r>
  <r>
    <x v="16"/>
    <x v="16"/>
    <x v="93"/>
    <x v="160"/>
  </r>
  <r>
    <x v="17"/>
    <x v="17"/>
    <x v="93"/>
    <x v="294"/>
  </r>
  <r>
    <x v="1"/>
    <x v="1"/>
    <x v="94"/>
    <x v="1249"/>
  </r>
  <r>
    <x v="76"/>
    <x v="76"/>
    <x v="94"/>
    <x v="1250"/>
  </r>
  <r>
    <x v="2"/>
    <x v="2"/>
    <x v="94"/>
    <x v="86"/>
  </r>
  <r>
    <x v="20"/>
    <x v="20"/>
    <x v="94"/>
    <x v="1251"/>
  </r>
  <r>
    <x v="21"/>
    <x v="21"/>
    <x v="94"/>
    <x v="1252"/>
  </r>
  <r>
    <x v="4"/>
    <x v="4"/>
    <x v="94"/>
    <x v="1253"/>
  </r>
  <r>
    <x v="22"/>
    <x v="22"/>
    <x v="94"/>
    <x v="1254"/>
  </r>
  <r>
    <x v="23"/>
    <x v="23"/>
    <x v="94"/>
    <x v="1255"/>
  </r>
  <r>
    <x v="55"/>
    <x v="55"/>
    <x v="94"/>
    <x v="930"/>
  </r>
  <r>
    <x v="70"/>
    <x v="70"/>
    <x v="94"/>
    <x v="1256"/>
  </r>
  <r>
    <x v="26"/>
    <x v="26"/>
    <x v="94"/>
    <x v="89"/>
  </r>
  <r>
    <x v="36"/>
    <x v="36"/>
    <x v="94"/>
    <x v="708"/>
  </r>
  <r>
    <x v="74"/>
    <x v="74"/>
    <x v="94"/>
    <x v="104"/>
  </r>
  <r>
    <x v="8"/>
    <x v="8"/>
    <x v="94"/>
    <x v="50"/>
  </r>
  <r>
    <x v="9"/>
    <x v="9"/>
    <x v="94"/>
    <x v="148"/>
  </r>
  <r>
    <x v="38"/>
    <x v="38"/>
    <x v="94"/>
    <x v="1257"/>
  </r>
  <r>
    <x v="10"/>
    <x v="10"/>
    <x v="94"/>
    <x v="1258"/>
  </r>
  <r>
    <x v="27"/>
    <x v="27"/>
    <x v="94"/>
    <x v="222"/>
  </r>
  <r>
    <x v="11"/>
    <x v="11"/>
    <x v="94"/>
    <x v="1259"/>
  </r>
  <r>
    <x v="29"/>
    <x v="29"/>
    <x v="94"/>
    <x v="242"/>
  </r>
  <r>
    <x v="72"/>
    <x v="72"/>
    <x v="94"/>
    <x v="1260"/>
  </r>
  <r>
    <x v="30"/>
    <x v="30"/>
    <x v="94"/>
    <x v="58"/>
  </r>
  <r>
    <x v="80"/>
    <x v="80"/>
    <x v="94"/>
    <x v="573"/>
  </r>
  <r>
    <x v="31"/>
    <x v="31"/>
    <x v="94"/>
    <x v="1261"/>
  </r>
  <r>
    <x v="45"/>
    <x v="45"/>
    <x v="94"/>
    <x v="80"/>
  </r>
  <r>
    <x v="51"/>
    <x v="51"/>
    <x v="94"/>
    <x v="1262"/>
  </r>
  <r>
    <x v="96"/>
    <x v="96"/>
    <x v="94"/>
    <x v="82"/>
  </r>
  <r>
    <x v="46"/>
    <x v="46"/>
    <x v="94"/>
    <x v="28"/>
  </r>
  <r>
    <x v="14"/>
    <x v="14"/>
    <x v="94"/>
    <x v="717"/>
  </r>
  <r>
    <x v="17"/>
    <x v="17"/>
    <x v="94"/>
    <x v="230"/>
  </r>
  <r>
    <x v="76"/>
    <x v="76"/>
    <x v="95"/>
    <x v="1263"/>
  </r>
  <r>
    <x v="2"/>
    <x v="2"/>
    <x v="95"/>
    <x v="81"/>
  </r>
  <r>
    <x v="20"/>
    <x v="20"/>
    <x v="95"/>
    <x v="65"/>
  </r>
  <r>
    <x v="3"/>
    <x v="3"/>
    <x v="95"/>
    <x v="344"/>
  </r>
  <r>
    <x v="35"/>
    <x v="35"/>
    <x v="95"/>
    <x v="1264"/>
  </r>
  <r>
    <x v="4"/>
    <x v="4"/>
    <x v="95"/>
    <x v="1265"/>
  </r>
  <r>
    <x v="23"/>
    <x v="23"/>
    <x v="95"/>
    <x v="744"/>
  </r>
  <r>
    <x v="55"/>
    <x v="55"/>
    <x v="95"/>
    <x v="1266"/>
  </r>
  <r>
    <x v="61"/>
    <x v="61"/>
    <x v="95"/>
    <x v="1267"/>
  </r>
  <r>
    <x v="36"/>
    <x v="36"/>
    <x v="95"/>
    <x v="327"/>
  </r>
  <r>
    <x v="6"/>
    <x v="6"/>
    <x v="95"/>
    <x v="1268"/>
  </r>
  <r>
    <x v="8"/>
    <x v="8"/>
    <x v="95"/>
    <x v="551"/>
  </r>
  <r>
    <x v="9"/>
    <x v="9"/>
    <x v="95"/>
    <x v="443"/>
  </r>
  <r>
    <x v="10"/>
    <x v="10"/>
    <x v="95"/>
    <x v="1095"/>
  </r>
  <r>
    <x v="27"/>
    <x v="27"/>
    <x v="95"/>
    <x v="1143"/>
  </r>
  <r>
    <x v="11"/>
    <x v="11"/>
    <x v="95"/>
    <x v="770"/>
  </r>
  <r>
    <x v="28"/>
    <x v="28"/>
    <x v="95"/>
    <x v="1269"/>
  </r>
  <r>
    <x v="29"/>
    <x v="29"/>
    <x v="95"/>
    <x v="430"/>
  </r>
  <r>
    <x v="30"/>
    <x v="30"/>
    <x v="95"/>
    <x v="158"/>
  </r>
  <r>
    <x v="84"/>
    <x v="84"/>
    <x v="95"/>
    <x v="501"/>
  </r>
  <r>
    <x v="31"/>
    <x v="31"/>
    <x v="95"/>
    <x v="60"/>
  </r>
  <r>
    <x v="45"/>
    <x v="45"/>
    <x v="95"/>
    <x v="488"/>
  </r>
  <r>
    <x v="51"/>
    <x v="51"/>
    <x v="95"/>
    <x v="96"/>
  </r>
  <r>
    <x v="69"/>
    <x v="69"/>
    <x v="95"/>
    <x v="18"/>
  </r>
  <r>
    <x v="46"/>
    <x v="46"/>
    <x v="95"/>
    <x v="208"/>
  </r>
  <r>
    <x v="14"/>
    <x v="14"/>
    <x v="95"/>
    <x v="40"/>
  </r>
  <r>
    <x v="15"/>
    <x v="15"/>
    <x v="95"/>
    <x v="62"/>
  </r>
  <r>
    <x v="16"/>
    <x v="16"/>
    <x v="95"/>
    <x v="62"/>
  </r>
  <r>
    <x v="49"/>
    <x v="49"/>
    <x v="96"/>
    <x v="85"/>
  </r>
  <r>
    <x v="75"/>
    <x v="75"/>
    <x v="96"/>
    <x v="18"/>
  </r>
  <r>
    <x v="2"/>
    <x v="2"/>
    <x v="96"/>
    <x v="113"/>
  </r>
  <r>
    <x v="20"/>
    <x v="20"/>
    <x v="96"/>
    <x v="118"/>
  </r>
  <r>
    <x v="21"/>
    <x v="21"/>
    <x v="96"/>
    <x v="419"/>
  </r>
  <r>
    <x v="3"/>
    <x v="3"/>
    <x v="96"/>
    <x v="1084"/>
  </r>
  <r>
    <x v="4"/>
    <x v="4"/>
    <x v="96"/>
    <x v="519"/>
  </r>
  <r>
    <x v="22"/>
    <x v="22"/>
    <x v="96"/>
    <x v="235"/>
  </r>
  <r>
    <x v="23"/>
    <x v="23"/>
    <x v="96"/>
    <x v="305"/>
  </r>
  <r>
    <x v="67"/>
    <x v="67"/>
    <x v="96"/>
    <x v="991"/>
  </r>
  <r>
    <x v="88"/>
    <x v="88"/>
    <x v="96"/>
    <x v="1121"/>
  </r>
  <r>
    <x v="98"/>
    <x v="98"/>
    <x v="96"/>
    <x v="1187"/>
  </r>
  <r>
    <x v="8"/>
    <x v="8"/>
    <x v="96"/>
    <x v="666"/>
  </r>
  <r>
    <x v="9"/>
    <x v="9"/>
    <x v="96"/>
    <x v="443"/>
  </r>
  <r>
    <x v="10"/>
    <x v="10"/>
    <x v="96"/>
    <x v="480"/>
  </r>
  <r>
    <x v="11"/>
    <x v="11"/>
    <x v="96"/>
    <x v="1270"/>
  </r>
  <r>
    <x v="12"/>
    <x v="12"/>
    <x v="96"/>
    <x v="1271"/>
  </r>
  <r>
    <x v="29"/>
    <x v="29"/>
    <x v="96"/>
    <x v="656"/>
  </r>
  <r>
    <x v="84"/>
    <x v="84"/>
    <x v="96"/>
    <x v="1164"/>
  </r>
  <r>
    <x v="102"/>
    <x v="102"/>
    <x v="96"/>
    <x v="710"/>
  </r>
  <r>
    <x v="69"/>
    <x v="69"/>
    <x v="96"/>
    <x v="230"/>
  </r>
  <r>
    <x v="46"/>
    <x v="46"/>
    <x v="96"/>
    <x v="533"/>
  </r>
  <r>
    <x v="14"/>
    <x v="14"/>
    <x v="96"/>
    <x v="339"/>
  </r>
  <r>
    <x v="75"/>
    <x v="75"/>
    <x v="97"/>
    <x v="245"/>
  </r>
  <r>
    <x v="19"/>
    <x v="19"/>
    <x v="97"/>
    <x v="1272"/>
  </r>
  <r>
    <x v="0"/>
    <x v="0"/>
    <x v="97"/>
    <x v="394"/>
  </r>
  <r>
    <x v="76"/>
    <x v="76"/>
    <x v="97"/>
    <x v="1273"/>
  </r>
  <r>
    <x v="2"/>
    <x v="2"/>
    <x v="97"/>
    <x v="361"/>
  </r>
  <r>
    <x v="20"/>
    <x v="20"/>
    <x v="97"/>
    <x v="65"/>
  </r>
  <r>
    <x v="34"/>
    <x v="34"/>
    <x v="97"/>
    <x v="650"/>
  </r>
  <r>
    <x v="21"/>
    <x v="21"/>
    <x v="97"/>
    <x v="1274"/>
  </r>
  <r>
    <x v="35"/>
    <x v="35"/>
    <x v="97"/>
    <x v="1222"/>
  </r>
  <r>
    <x v="52"/>
    <x v="52"/>
    <x v="97"/>
    <x v="1021"/>
  </r>
  <r>
    <x v="87"/>
    <x v="87"/>
    <x v="97"/>
    <x v="862"/>
  </r>
  <r>
    <x v="5"/>
    <x v="5"/>
    <x v="97"/>
    <x v="904"/>
  </r>
  <r>
    <x v="61"/>
    <x v="61"/>
    <x v="97"/>
    <x v="1275"/>
  </r>
  <r>
    <x v="92"/>
    <x v="92"/>
    <x v="97"/>
    <x v="607"/>
  </r>
  <r>
    <x v="6"/>
    <x v="6"/>
    <x v="97"/>
    <x v="1276"/>
  </r>
  <r>
    <x v="8"/>
    <x v="8"/>
    <x v="97"/>
    <x v="799"/>
  </r>
  <r>
    <x v="38"/>
    <x v="38"/>
    <x v="97"/>
    <x v="1277"/>
  </r>
  <r>
    <x v="10"/>
    <x v="10"/>
    <x v="97"/>
    <x v="240"/>
  </r>
  <r>
    <x v="11"/>
    <x v="11"/>
    <x v="97"/>
    <x v="1278"/>
  </r>
  <r>
    <x v="29"/>
    <x v="29"/>
    <x v="97"/>
    <x v="1279"/>
  </r>
  <r>
    <x v="84"/>
    <x v="84"/>
    <x v="97"/>
    <x v="1280"/>
  </r>
  <r>
    <x v="91"/>
    <x v="91"/>
    <x v="97"/>
    <x v="1281"/>
  </r>
  <r>
    <x v="31"/>
    <x v="31"/>
    <x v="97"/>
    <x v="1282"/>
  </r>
  <r>
    <x v="85"/>
    <x v="85"/>
    <x v="97"/>
    <x v="898"/>
  </r>
  <r>
    <x v="46"/>
    <x v="46"/>
    <x v="97"/>
    <x v="85"/>
  </r>
  <r>
    <x v="14"/>
    <x v="14"/>
    <x v="97"/>
    <x v="40"/>
  </r>
  <r>
    <x v="83"/>
    <x v="83"/>
    <x v="97"/>
    <x v="111"/>
  </r>
  <r>
    <x v="16"/>
    <x v="16"/>
    <x v="97"/>
    <x v="40"/>
  </r>
  <r>
    <x v="76"/>
    <x v="76"/>
    <x v="98"/>
    <x v="687"/>
  </r>
  <r>
    <x v="2"/>
    <x v="2"/>
    <x v="98"/>
    <x v="219"/>
  </r>
  <r>
    <x v="34"/>
    <x v="34"/>
    <x v="98"/>
    <x v="320"/>
  </r>
  <r>
    <x v="21"/>
    <x v="21"/>
    <x v="98"/>
    <x v="43"/>
  </r>
  <r>
    <x v="35"/>
    <x v="35"/>
    <x v="98"/>
    <x v="1006"/>
  </r>
  <r>
    <x v="4"/>
    <x v="4"/>
    <x v="98"/>
    <x v="1177"/>
  </r>
  <r>
    <x v="23"/>
    <x v="23"/>
    <x v="98"/>
    <x v="167"/>
  </r>
  <r>
    <x v="26"/>
    <x v="26"/>
    <x v="98"/>
    <x v="89"/>
  </r>
  <r>
    <x v="6"/>
    <x v="6"/>
    <x v="98"/>
    <x v="6"/>
  </r>
  <r>
    <x v="98"/>
    <x v="98"/>
    <x v="98"/>
    <x v="971"/>
  </r>
  <r>
    <x v="8"/>
    <x v="8"/>
    <x v="98"/>
    <x v="50"/>
  </r>
  <r>
    <x v="9"/>
    <x v="9"/>
    <x v="98"/>
    <x v="9"/>
  </r>
  <r>
    <x v="10"/>
    <x v="10"/>
    <x v="98"/>
    <x v="1283"/>
  </r>
  <r>
    <x v="29"/>
    <x v="29"/>
    <x v="98"/>
    <x v="656"/>
  </r>
  <r>
    <x v="97"/>
    <x v="97"/>
    <x v="98"/>
    <x v="1284"/>
  </r>
  <r>
    <x v="31"/>
    <x v="31"/>
    <x v="98"/>
    <x v="874"/>
  </r>
  <r>
    <x v="96"/>
    <x v="96"/>
    <x v="98"/>
    <x v="62"/>
  </r>
  <r>
    <x v="46"/>
    <x v="46"/>
    <x v="98"/>
    <x v="18"/>
  </r>
  <r>
    <x v="83"/>
    <x v="83"/>
    <x v="98"/>
    <x v="62"/>
  </r>
  <r>
    <x v="17"/>
    <x v="17"/>
    <x v="98"/>
    <x v="111"/>
  </r>
  <r>
    <x v="0"/>
    <x v="0"/>
    <x v="99"/>
    <x v="394"/>
  </r>
  <r>
    <x v="1"/>
    <x v="1"/>
    <x v="99"/>
    <x v="1126"/>
  </r>
  <r>
    <x v="76"/>
    <x v="76"/>
    <x v="99"/>
    <x v="859"/>
  </r>
  <r>
    <x v="2"/>
    <x v="2"/>
    <x v="99"/>
    <x v="21"/>
  </r>
  <r>
    <x v="20"/>
    <x v="20"/>
    <x v="99"/>
    <x v="118"/>
  </r>
  <r>
    <x v="21"/>
    <x v="21"/>
    <x v="99"/>
    <x v="1285"/>
  </r>
  <r>
    <x v="3"/>
    <x v="3"/>
    <x v="99"/>
    <x v="1286"/>
  </r>
  <r>
    <x v="35"/>
    <x v="35"/>
    <x v="99"/>
    <x v="790"/>
  </r>
  <r>
    <x v="4"/>
    <x v="4"/>
    <x v="99"/>
    <x v="1062"/>
  </r>
  <r>
    <x v="87"/>
    <x v="87"/>
    <x v="99"/>
    <x v="1287"/>
  </r>
  <r>
    <x v="5"/>
    <x v="5"/>
    <x v="99"/>
    <x v="1288"/>
  </r>
  <r>
    <x v="23"/>
    <x v="23"/>
    <x v="99"/>
    <x v="51"/>
  </r>
  <r>
    <x v="61"/>
    <x v="61"/>
    <x v="99"/>
    <x v="1267"/>
  </r>
  <r>
    <x v="94"/>
    <x v="94"/>
    <x v="99"/>
    <x v="1289"/>
  </r>
  <r>
    <x v="37"/>
    <x v="37"/>
    <x v="99"/>
    <x v="351"/>
  </r>
  <r>
    <x v="8"/>
    <x v="8"/>
    <x v="99"/>
    <x v="1290"/>
  </r>
  <r>
    <x v="9"/>
    <x v="9"/>
    <x v="99"/>
    <x v="1236"/>
  </r>
  <r>
    <x v="10"/>
    <x v="10"/>
    <x v="99"/>
    <x v="1291"/>
  </r>
  <r>
    <x v="11"/>
    <x v="11"/>
    <x v="99"/>
    <x v="1292"/>
  </r>
  <r>
    <x v="28"/>
    <x v="28"/>
    <x v="99"/>
    <x v="224"/>
  </r>
  <r>
    <x v="29"/>
    <x v="29"/>
    <x v="99"/>
    <x v="1293"/>
  </r>
  <r>
    <x v="30"/>
    <x v="30"/>
    <x v="99"/>
    <x v="1133"/>
  </r>
  <r>
    <x v="97"/>
    <x v="97"/>
    <x v="99"/>
    <x v="607"/>
  </r>
  <r>
    <x v="84"/>
    <x v="84"/>
    <x v="99"/>
    <x v="514"/>
  </r>
  <r>
    <x v="32"/>
    <x v="32"/>
    <x v="99"/>
    <x v="38"/>
  </r>
  <r>
    <x v="51"/>
    <x v="51"/>
    <x v="99"/>
    <x v="96"/>
  </r>
  <r>
    <x v="69"/>
    <x v="69"/>
    <x v="99"/>
    <x v="14"/>
  </r>
  <r>
    <x v="13"/>
    <x v="13"/>
    <x v="99"/>
    <x v="996"/>
  </r>
  <r>
    <x v="46"/>
    <x v="46"/>
    <x v="99"/>
    <x v="725"/>
  </r>
  <r>
    <x v="14"/>
    <x v="14"/>
    <x v="99"/>
    <x v="83"/>
  </r>
  <r>
    <x v="78"/>
    <x v="78"/>
    <x v="99"/>
    <x v="98"/>
  </r>
  <r>
    <x v="15"/>
    <x v="15"/>
    <x v="99"/>
    <x v="98"/>
  </r>
  <r>
    <x v="16"/>
    <x v="16"/>
    <x v="99"/>
    <x v="82"/>
  </r>
  <r>
    <x v="0"/>
    <x v="0"/>
    <x v="100"/>
    <x v="1294"/>
  </r>
  <r>
    <x v="76"/>
    <x v="76"/>
    <x v="100"/>
    <x v="469"/>
  </r>
  <r>
    <x v="2"/>
    <x v="2"/>
    <x v="100"/>
    <x v="1295"/>
  </r>
  <r>
    <x v="20"/>
    <x v="20"/>
    <x v="100"/>
    <x v="417"/>
  </r>
  <r>
    <x v="34"/>
    <x v="34"/>
    <x v="100"/>
    <x v="1296"/>
  </r>
  <r>
    <x v="21"/>
    <x v="21"/>
    <x v="100"/>
    <x v="1297"/>
  </r>
  <r>
    <x v="3"/>
    <x v="3"/>
    <x v="100"/>
    <x v="599"/>
  </r>
  <r>
    <x v="35"/>
    <x v="35"/>
    <x v="100"/>
    <x v="829"/>
  </r>
  <r>
    <x v="4"/>
    <x v="4"/>
    <x v="100"/>
    <x v="1298"/>
  </r>
  <r>
    <x v="5"/>
    <x v="5"/>
    <x v="100"/>
    <x v="1299"/>
  </r>
  <r>
    <x v="23"/>
    <x v="23"/>
    <x v="100"/>
    <x v="1300"/>
  </r>
  <r>
    <x v="55"/>
    <x v="55"/>
    <x v="100"/>
    <x v="139"/>
  </r>
  <r>
    <x v="70"/>
    <x v="70"/>
    <x v="100"/>
    <x v="1301"/>
  </r>
  <r>
    <x v="67"/>
    <x v="67"/>
    <x v="100"/>
    <x v="1302"/>
  </r>
  <r>
    <x v="7"/>
    <x v="7"/>
    <x v="100"/>
    <x v="1303"/>
  </r>
  <r>
    <x v="8"/>
    <x v="8"/>
    <x v="100"/>
    <x v="1304"/>
  </r>
  <r>
    <x v="9"/>
    <x v="9"/>
    <x v="100"/>
    <x v="1305"/>
  </r>
  <r>
    <x v="10"/>
    <x v="10"/>
    <x v="100"/>
    <x v="1306"/>
  </r>
  <r>
    <x v="11"/>
    <x v="11"/>
    <x v="100"/>
    <x v="1307"/>
  </r>
  <r>
    <x v="12"/>
    <x v="12"/>
    <x v="100"/>
    <x v="1308"/>
  </r>
  <r>
    <x v="29"/>
    <x v="29"/>
    <x v="100"/>
    <x v="1309"/>
  </r>
  <r>
    <x v="30"/>
    <x v="30"/>
    <x v="100"/>
    <x v="725"/>
  </r>
  <r>
    <x v="97"/>
    <x v="97"/>
    <x v="100"/>
    <x v="1310"/>
  </r>
  <r>
    <x v="84"/>
    <x v="84"/>
    <x v="100"/>
    <x v="1311"/>
  </r>
  <r>
    <x v="31"/>
    <x v="31"/>
    <x v="100"/>
    <x v="359"/>
  </r>
  <r>
    <x v="73"/>
    <x v="73"/>
    <x v="100"/>
    <x v="1312"/>
  </r>
  <r>
    <x v="51"/>
    <x v="51"/>
    <x v="100"/>
    <x v="96"/>
  </r>
  <r>
    <x v="69"/>
    <x v="69"/>
    <x v="100"/>
    <x v="83"/>
  </r>
  <r>
    <x v="46"/>
    <x v="46"/>
    <x v="100"/>
    <x v="1313"/>
  </r>
  <r>
    <x v="14"/>
    <x v="14"/>
    <x v="100"/>
    <x v="507"/>
  </r>
  <r>
    <x v="17"/>
    <x v="17"/>
    <x v="100"/>
    <x v="230"/>
  </r>
  <r>
    <x v="0"/>
    <x v="0"/>
    <x v="101"/>
    <x v="646"/>
  </r>
  <r>
    <x v="2"/>
    <x v="2"/>
    <x v="101"/>
    <x v="113"/>
  </r>
  <r>
    <x v="34"/>
    <x v="34"/>
    <x v="101"/>
    <x v="51"/>
  </r>
  <r>
    <x v="21"/>
    <x v="21"/>
    <x v="101"/>
    <x v="1314"/>
  </r>
  <r>
    <x v="3"/>
    <x v="3"/>
    <x v="101"/>
    <x v="1315"/>
  </r>
  <r>
    <x v="4"/>
    <x v="4"/>
    <x v="101"/>
    <x v="1316"/>
  </r>
  <r>
    <x v="5"/>
    <x v="5"/>
    <x v="101"/>
    <x v="1317"/>
  </r>
  <r>
    <x v="55"/>
    <x v="55"/>
    <x v="101"/>
    <x v="28"/>
  </r>
  <r>
    <x v="79"/>
    <x v="79"/>
    <x v="101"/>
    <x v="1318"/>
  </r>
  <r>
    <x v="36"/>
    <x v="36"/>
    <x v="101"/>
    <x v="327"/>
  </r>
  <r>
    <x v="92"/>
    <x v="92"/>
    <x v="101"/>
    <x v="1163"/>
  </r>
  <r>
    <x v="82"/>
    <x v="82"/>
    <x v="101"/>
    <x v="1319"/>
  </r>
  <r>
    <x v="7"/>
    <x v="7"/>
    <x v="101"/>
    <x v="7"/>
  </r>
  <r>
    <x v="71"/>
    <x v="71"/>
    <x v="101"/>
    <x v="947"/>
  </r>
  <r>
    <x v="8"/>
    <x v="8"/>
    <x v="101"/>
    <x v="799"/>
  </r>
  <r>
    <x v="9"/>
    <x v="9"/>
    <x v="101"/>
    <x v="1110"/>
  </r>
  <r>
    <x v="10"/>
    <x v="10"/>
    <x v="101"/>
    <x v="1320"/>
  </r>
  <r>
    <x v="11"/>
    <x v="11"/>
    <x v="101"/>
    <x v="1321"/>
  </r>
  <r>
    <x v="29"/>
    <x v="29"/>
    <x v="101"/>
    <x v="1293"/>
  </r>
  <r>
    <x v="97"/>
    <x v="97"/>
    <x v="101"/>
    <x v="1194"/>
  </r>
  <r>
    <x v="44"/>
    <x v="44"/>
    <x v="101"/>
    <x v="1322"/>
  </r>
  <r>
    <x v="96"/>
    <x v="96"/>
    <x v="101"/>
    <x v="111"/>
  </r>
  <r>
    <x v="46"/>
    <x v="46"/>
    <x v="101"/>
    <x v="15"/>
  </r>
  <r>
    <x v="14"/>
    <x v="14"/>
    <x v="101"/>
    <x v="16"/>
  </r>
  <r>
    <x v="16"/>
    <x v="16"/>
    <x v="101"/>
    <x v="98"/>
  </r>
  <r>
    <x v="19"/>
    <x v="19"/>
    <x v="102"/>
    <x v="1323"/>
  </r>
  <r>
    <x v="76"/>
    <x v="76"/>
    <x v="102"/>
    <x v="1324"/>
  </r>
  <r>
    <x v="2"/>
    <x v="2"/>
    <x v="102"/>
    <x v="508"/>
  </r>
  <r>
    <x v="20"/>
    <x v="20"/>
    <x v="102"/>
    <x v="435"/>
  </r>
  <r>
    <x v="21"/>
    <x v="21"/>
    <x v="102"/>
    <x v="87"/>
  </r>
  <r>
    <x v="3"/>
    <x v="3"/>
    <x v="102"/>
    <x v="538"/>
  </r>
  <r>
    <x v="4"/>
    <x v="4"/>
    <x v="102"/>
    <x v="1177"/>
  </r>
  <r>
    <x v="67"/>
    <x v="67"/>
    <x v="102"/>
    <x v="819"/>
  </r>
  <r>
    <x v="92"/>
    <x v="92"/>
    <x v="102"/>
    <x v="1325"/>
  </r>
  <r>
    <x v="88"/>
    <x v="88"/>
    <x v="102"/>
    <x v="289"/>
  </r>
  <r>
    <x v="7"/>
    <x v="7"/>
    <x v="102"/>
    <x v="7"/>
  </r>
  <r>
    <x v="8"/>
    <x v="8"/>
    <x v="102"/>
    <x v="896"/>
  </r>
  <r>
    <x v="9"/>
    <x v="9"/>
    <x v="102"/>
    <x v="1326"/>
  </r>
  <r>
    <x v="68"/>
    <x v="68"/>
    <x v="102"/>
    <x v="219"/>
  </r>
  <r>
    <x v="38"/>
    <x v="38"/>
    <x v="102"/>
    <x v="915"/>
  </r>
  <r>
    <x v="10"/>
    <x v="10"/>
    <x v="102"/>
    <x v="884"/>
  </r>
  <r>
    <x v="11"/>
    <x v="11"/>
    <x v="102"/>
    <x v="782"/>
  </r>
  <r>
    <x v="29"/>
    <x v="29"/>
    <x v="102"/>
    <x v="153"/>
  </r>
  <r>
    <x v="30"/>
    <x v="30"/>
    <x v="102"/>
    <x v="787"/>
  </r>
  <r>
    <x v="46"/>
    <x v="46"/>
    <x v="102"/>
    <x v="18"/>
  </r>
  <r>
    <x v="14"/>
    <x v="14"/>
    <x v="102"/>
    <x v="14"/>
  </r>
  <r>
    <x v="15"/>
    <x v="15"/>
    <x v="102"/>
    <x v="16"/>
  </r>
  <r>
    <x v="16"/>
    <x v="16"/>
    <x v="102"/>
    <x v="159"/>
  </r>
  <r>
    <x v="17"/>
    <x v="17"/>
    <x v="102"/>
    <x v="500"/>
  </r>
  <r>
    <x v="0"/>
    <x v="0"/>
    <x v="103"/>
    <x v="404"/>
  </r>
  <r>
    <x v="2"/>
    <x v="2"/>
    <x v="103"/>
    <x v="416"/>
  </r>
  <r>
    <x v="34"/>
    <x v="34"/>
    <x v="103"/>
    <x v="1100"/>
  </r>
  <r>
    <x v="21"/>
    <x v="21"/>
    <x v="103"/>
    <x v="928"/>
  </r>
  <r>
    <x v="3"/>
    <x v="3"/>
    <x v="103"/>
    <x v="518"/>
  </r>
  <r>
    <x v="4"/>
    <x v="4"/>
    <x v="103"/>
    <x v="1327"/>
  </r>
  <r>
    <x v="5"/>
    <x v="5"/>
    <x v="103"/>
    <x v="1328"/>
  </r>
  <r>
    <x v="65"/>
    <x v="65"/>
    <x v="103"/>
    <x v="998"/>
  </r>
  <r>
    <x v="55"/>
    <x v="55"/>
    <x v="103"/>
    <x v="366"/>
  </r>
  <r>
    <x v="56"/>
    <x v="56"/>
    <x v="103"/>
    <x v="1329"/>
  </r>
  <r>
    <x v="82"/>
    <x v="82"/>
    <x v="103"/>
    <x v="404"/>
  </r>
  <r>
    <x v="7"/>
    <x v="7"/>
    <x v="103"/>
    <x v="1330"/>
  </r>
  <r>
    <x v="8"/>
    <x v="8"/>
    <x v="103"/>
    <x v="238"/>
  </r>
  <r>
    <x v="9"/>
    <x v="9"/>
    <x v="103"/>
    <x v="387"/>
  </r>
  <r>
    <x v="68"/>
    <x v="68"/>
    <x v="103"/>
    <x v="1331"/>
  </r>
  <r>
    <x v="38"/>
    <x v="38"/>
    <x v="103"/>
    <x v="458"/>
  </r>
  <r>
    <x v="10"/>
    <x v="10"/>
    <x v="103"/>
    <x v="1332"/>
  </r>
  <r>
    <x v="11"/>
    <x v="11"/>
    <x v="103"/>
    <x v="183"/>
  </r>
  <r>
    <x v="29"/>
    <x v="29"/>
    <x v="103"/>
    <x v="699"/>
  </r>
  <r>
    <x v="30"/>
    <x v="30"/>
    <x v="103"/>
    <x v="873"/>
  </r>
  <r>
    <x v="73"/>
    <x v="73"/>
    <x v="103"/>
    <x v="1333"/>
  </r>
  <r>
    <x v="96"/>
    <x v="96"/>
    <x v="103"/>
    <x v="16"/>
  </r>
  <r>
    <x v="46"/>
    <x v="46"/>
    <x v="103"/>
    <x v="84"/>
  </r>
  <r>
    <x v="14"/>
    <x v="14"/>
    <x v="103"/>
    <x v="339"/>
  </r>
  <r>
    <x v="15"/>
    <x v="15"/>
    <x v="103"/>
    <x v="82"/>
  </r>
  <r>
    <x v="0"/>
    <x v="0"/>
    <x v="104"/>
    <x v="340"/>
  </r>
  <r>
    <x v="2"/>
    <x v="2"/>
    <x v="104"/>
    <x v="616"/>
  </r>
  <r>
    <x v="20"/>
    <x v="20"/>
    <x v="104"/>
    <x v="435"/>
  </r>
  <r>
    <x v="21"/>
    <x v="21"/>
    <x v="104"/>
    <x v="419"/>
  </r>
  <r>
    <x v="3"/>
    <x v="3"/>
    <x v="104"/>
    <x v="878"/>
  </r>
  <r>
    <x v="4"/>
    <x v="4"/>
    <x v="104"/>
    <x v="1044"/>
  </r>
  <r>
    <x v="5"/>
    <x v="5"/>
    <x v="104"/>
    <x v="953"/>
  </r>
  <r>
    <x v="23"/>
    <x v="23"/>
    <x v="104"/>
    <x v="979"/>
  </r>
  <r>
    <x v="67"/>
    <x v="67"/>
    <x v="104"/>
    <x v="440"/>
  </r>
  <r>
    <x v="26"/>
    <x v="26"/>
    <x v="104"/>
    <x v="720"/>
  </r>
  <r>
    <x v="61"/>
    <x v="61"/>
    <x v="104"/>
    <x v="1334"/>
  </r>
  <r>
    <x v="36"/>
    <x v="36"/>
    <x v="104"/>
    <x v="284"/>
  </r>
  <r>
    <x v="62"/>
    <x v="62"/>
    <x v="104"/>
    <x v="1335"/>
  </r>
  <r>
    <x v="8"/>
    <x v="8"/>
    <x v="104"/>
    <x v="30"/>
  </r>
  <r>
    <x v="9"/>
    <x v="9"/>
    <x v="104"/>
    <x v="9"/>
  </r>
  <r>
    <x v="10"/>
    <x v="10"/>
    <x v="104"/>
    <x v="1336"/>
  </r>
  <r>
    <x v="11"/>
    <x v="11"/>
    <x v="104"/>
    <x v="1337"/>
  </r>
  <r>
    <x v="28"/>
    <x v="28"/>
    <x v="104"/>
    <x v="886"/>
  </r>
  <r>
    <x v="12"/>
    <x v="12"/>
    <x v="104"/>
    <x v="949"/>
  </r>
  <r>
    <x v="29"/>
    <x v="29"/>
    <x v="104"/>
    <x v="1293"/>
  </r>
  <r>
    <x v="72"/>
    <x v="72"/>
    <x v="104"/>
    <x v="1338"/>
  </r>
  <r>
    <x v="30"/>
    <x v="30"/>
    <x v="104"/>
    <x v="1339"/>
  </r>
  <r>
    <x v="97"/>
    <x v="97"/>
    <x v="104"/>
    <x v="1340"/>
  </r>
  <r>
    <x v="32"/>
    <x v="32"/>
    <x v="104"/>
    <x v="487"/>
  </r>
  <r>
    <x v="46"/>
    <x v="46"/>
    <x v="104"/>
    <x v="1341"/>
  </r>
  <r>
    <x v="14"/>
    <x v="14"/>
    <x v="104"/>
    <x v="85"/>
  </r>
  <r>
    <x v="83"/>
    <x v="83"/>
    <x v="104"/>
    <x v="62"/>
  </r>
  <r>
    <x v="16"/>
    <x v="16"/>
    <x v="104"/>
    <x v="160"/>
  </r>
  <r>
    <x v="0"/>
    <x v="0"/>
    <x v="105"/>
    <x v="394"/>
  </r>
  <r>
    <x v="2"/>
    <x v="2"/>
    <x v="105"/>
    <x v="2"/>
  </r>
  <r>
    <x v="20"/>
    <x v="20"/>
    <x v="105"/>
    <x v="1251"/>
  </r>
  <r>
    <x v="21"/>
    <x v="21"/>
    <x v="105"/>
    <x v="1342"/>
  </r>
  <r>
    <x v="4"/>
    <x v="4"/>
    <x v="105"/>
    <x v="1343"/>
  </r>
  <r>
    <x v="22"/>
    <x v="22"/>
    <x v="105"/>
    <x v="510"/>
  </r>
  <r>
    <x v="5"/>
    <x v="5"/>
    <x v="105"/>
    <x v="5"/>
  </r>
  <r>
    <x v="23"/>
    <x v="23"/>
    <x v="105"/>
    <x v="167"/>
  </r>
  <r>
    <x v="61"/>
    <x v="61"/>
    <x v="105"/>
    <x v="1275"/>
  </r>
  <r>
    <x v="36"/>
    <x v="36"/>
    <x v="105"/>
    <x v="933"/>
  </r>
  <r>
    <x v="8"/>
    <x v="8"/>
    <x v="105"/>
    <x v="50"/>
  </r>
  <r>
    <x v="9"/>
    <x v="9"/>
    <x v="105"/>
    <x v="218"/>
  </r>
  <r>
    <x v="68"/>
    <x v="68"/>
    <x v="105"/>
    <x v="1344"/>
  </r>
  <r>
    <x v="10"/>
    <x v="10"/>
    <x v="105"/>
    <x v="526"/>
  </r>
  <r>
    <x v="11"/>
    <x v="11"/>
    <x v="105"/>
    <x v="1345"/>
  </r>
  <r>
    <x v="28"/>
    <x v="28"/>
    <x v="105"/>
    <x v="1346"/>
  </r>
  <r>
    <x v="29"/>
    <x v="29"/>
    <x v="105"/>
    <x v="907"/>
  </r>
  <r>
    <x v="30"/>
    <x v="30"/>
    <x v="105"/>
    <x v="630"/>
  </r>
  <r>
    <x v="84"/>
    <x v="84"/>
    <x v="105"/>
    <x v="1347"/>
  </r>
  <r>
    <x v="91"/>
    <x v="91"/>
    <x v="105"/>
    <x v="1348"/>
  </r>
  <r>
    <x v="31"/>
    <x v="31"/>
    <x v="105"/>
    <x v="295"/>
  </r>
  <r>
    <x v="73"/>
    <x v="73"/>
    <x v="105"/>
    <x v="633"/>
  </r>
  <r>
    <x v="45"/>
    <x v="45"/>
    <x v="105"/>
    <x v="1349"/>
  </r>
  <r>
    <x v="51"/>
    <x v="51"/>
    <x v="105"/>
    <x v="807"/>
  </r>
  <r>
    <x v="46"/>
    <x v="46"/>
    <x v="105"/>
    <x v="14"/>
  </r>
  <r>
    <x v="14"/>
    <x v="14"/>
    <x v="105"/>
    <x v="507"/>
  </r>
  <r>
    <x v="47"/>
    <x v="47"/>
    <x v="105"/>
    <x v="40"/>
  </r>
  <r>
    <x v="16"/>
    <x v="16"/>
    <x v="105"/>
    <x v="18"/>
  </r>
  <r>
    <x v="19"/>
    <x v="19"/>
    <x v="106"/>
    <x v="1350"/>
  </r>
  <r>
    <x v="0"/>
    <x v="0"/>
    <x v="106"/>
    <x v="20"/>
  </r>
  <r>
    <x v="1"/>
    <x v="1"/>
    <x v="106"/>
    <x v="134"/>
  </r>
  <r>
    <x v="76"/>
    <x v="76"/>
    <x v="106"/>
    <x v="1026"/>
  </r>
  <r>
    <x v="2"/>
    <x v="2"/>
    <x v="106"/>
    <x v="1351"/>
  </r>
  <r>
    <x v="20"/>
    <x v="20"/>
    <x v="106"/>
    <x v="941"/>
  </r>
  <r>
    <x v="34"/>
    <x v="34"/>
    <x v="106"/>
    <x v="192"/>
  </r>
  <r>
    <x v="21"/>
    <x v="21"/>
    <x v="106"/>
    <x v="437"/>
  </r>
  <r>
    <x v="3"/>
    <x v="3"/>
    <x v="106"/>
    <x v="44"/>
  </r>
  <r>
    <x v="35"/>
    <x v="35"/>
    <x v="106"/>
    <x v="345"/>
  </r>
  <r>
    <x v="87"/>
    <x v="87"/>
    <x v="106"/>
    <x v="1352"/>
  </r>
  <r>
    <x v="5"/>
    <x v="5"/>
    <x v="106"/>
    <x v="422"/>
  </r>
  <r>
    <x v="23"/>
    <x v="23"/>
    <x v="106"/>
    <x v="1300"/>
  </r>
  <r>
    <x v="55"/>
    <x v="55"/>
    <x v="106"/>
    <x v="194"/>
  </r>
  <r>
    <x v="70"/>
    <x v="70"/>
    <x v="106"/>
    <x v="1301"/>
  </r>
  <r>
    <x v="36"/>
    <x v="36"/>
    <x v="106"/>
    <x v="692"/>
  </r>
  <r>
    <x v="62"/>
    <x v="62"/>
    <x v="106"/>
    <x v="965"/>
  </r>
  <r>
    <x v="8"/>
    <x v="8"/>
    <x v="106"/>
    <x v="811"/>
  </r>
  <r>
    <x v="9"/>
    <x v="9"/>
    <x v="106"/>
    <x v="850"/>
  </r>
  <r>
    <x v="68"/>
    <x v="68"/>
    <x v="106"/>
    <x v="180"/>
  </r>
  <r>
    <x v="38"/>
    <x v="38"/>
    <x v="106"/>
    <x v="868"/>
  </r>
  <r>
    <x v="10"/>
    <x v="10"/>
    <x v="106"/>
    <x v="496"/>
  </r>
  <r>
    <x v="11"/>
    <x v="11"/>
    <x v="106"/>
    <x v="427"/>
  </r>
  <r>
    <x v="12"/>
    <x v="12"/>
    <x v="106"/>
    <x v="1152"/>
  </r>
  <r>
    <x v="29"/>
    <x v="29"/>
    <x v="106"/>
    <x v="784"/>
  </r>
  <r>
    <x v="43"/>
    <x v="43"/>
    <x v="106"/>
    <x v="1353"/>
  </r>
  <r>
    <x v="30"/>
    <x v="30"/>
    <x v="106"/>
    <x v="431"/>
  </r>
  <r>
    <x v="31"/>
    <x v="31"/>
    <x v="106"/>
    <x v="1261"/>
  </r>
  <r>
    <x v="96"/>
    <x v="96"/>
    <x v="106"/>
    <x v="98"/>
  </r>
  <r>
    <x v="46"/>
    <x v="46"/>
    <x v="106"/>
    <x v="507"/>
  </r>
  <r>
    <x v="14"/>
    <x v="14"/>
    <x v="106"/>
    <x v="16"/>
  </r>
  <r>
    <x v="83"/>
    <x v="83"/>
    <x v="106"/>
    <x v="40"/>
  </r>
  <r>
    <x v="16"/>
    <x v="16"/>
    <x v="106"/>
    <x v="82"/>
  </r>
  <r>
    <x v="0"/>
    <x v="0"/>
    <x v="107"/>
    <x v="1354"/>
  </r>
  <r>
    <x v="2"/>
    <x v="2"/>
    <x v="107"/>
    <x v="1155"/>
  </r>
  <r>
    <x v="20"/>
    <x v="20"/>
    <x v="107"/>
    <x v="65"/>
  </r>
  <r>
    <x v="21"/>
    <x v="21"/>
    <x v="107"/>
    <x v="970"/>
  </r>
  <r>
    <x v="3"/>
    <x v="3"/>
    <x v="107"/>
    <x v="1355"/>
  </r>
  <r>
    <x v="52"/>
    <x v="52"/>
    <x v="107"/>
    <x v="1356"/>
  </r>
  <r>
    <x v="5"/>
    <x v="5"/>
    <x v="107"/>
    <x v="978"/>
  </r>
  <r>
    <x v="8"/>
    <x v="8"/>
    <x v="107"/>
    <x v="30"/>
  </r>
  <r>
    <x v="10"/>
    <x v="10"/>
    <x v="107"/>
    <x v="496"/>
  </r>
  <r>
    <x v="11"/>
    <x v="11"/>
    <x v="107"/>
    <x v="982"/>
  </r>
  <r>
    <x v="12"/>
    <x v="12"/>
    <x v="107"/>
    <x v="12"/>
  </r>
  <r>
    <x v="29"/>
    <x v="29"/>
    <x v="107"/>
    <x v="958"/>
  </r>
  <r>
    <x v="30"/>
    <x v="30"/>
    <x v="107"/>
    <x v="657"/>
  </r>
  <r>
    <x v="46"/>
    <x v="46"/>
    <x v="107"/>
    <x v="209"/>
  </r>
  <r>
    <x v="14"/>
    <x v="14"/>
    <x v="107"/>
    <x v="111"/>
  </r>
  <r>
    <x v="2"/>
    <x v="2"/>
    <x v="108"/>
    <x v="361"/>
  </r>
  <r>
    <x v="4"/>
    <x v="4"/>
    <x v="108"/>
    <x v="1357"/>
  </r>
  <r>
    <x v="70"/>
    <x v="70"/>
    <x v="108"/>
    <x v="545"/>
  </r>
  <r>
    <x v="71"/>
    <x v="71"/>
    <x v="108"/>
    <x v="1358"/>
  </r>
  <r>
    <x v="37"/>
    <x v="37"/>
    <x v="108"/>
    <x v="351"/>
  </r>
  <r>
    <x v="8"/>
    <x v="8"/>
    <x v="108"/>
    <x v="550"/>
  </r>
  <r>
    <x v="9"/>
    <x v="9"/>
    <x v="108"/>
    <x v="1359"/>
  </r>
  <r>
    <x v="10"/>
    <x v="10"/>
    <x v="108"/>
    <x v="1360"/>
  </r>
  <r>
    <x v="103"/>
    <x v="103"/>
    <x v="108"/>
    <x v="656"/>
  </r>
  <r>
    <x v="11"/>
    <x v="11"/>
    <x v="108"/>
    <x v="1361"/>
  </r>
  <r>
    <x v="28"/>
    <x v="28"/>
    <x v="108"/>
    <x v="1362"/>
  </r>
  <r>
    <x v="72"/>
    <x v="72"/>
    <x v="108"/>
    <x v="1363"/>
  </r>
  <r>
    <x v="84"/>
    <x v="84"/>
    <x v="108"/>
    <x v="1040"/>
  </r>
  <r>
    <x v="31"/>
    <x v="31"/>
    <x v="108"/>
    <x v="1055"/>
  </r>
  <r>
    <x v="51"/>
    <x v="51"/>
    <x v="108"/>
    <x v="96"/>
  </r>
  <r>
    <x v="13"/>
    <x v="13"/>
    <x v="108"/>
    <x v="209"/>
  </r>
  <r>
    <x v="46"/>
    <x v="46"/>
    <x v="108"/>
    <x v="16"/>
  </r>
  <r>
    <x v="14"/>
    <x v="14"/>
    <x v="108"/>
    <x v="230"/>
  </r>
  <r>
    <x v="78"/>
    <x v="78"/>
    <x v="108"/>
    <x v="111"/>
  </r>
  <r>
    <x v="83"/>
    <x v="83"/>
    <x v="108"/>
    <x v="82"/>
  </r>
  <r>
    <x v="2"/>
    <x v="2"/>
    <x v="109"/>
    <x v="86"/>
  </r>
  <r>
    <x v="20"/>
    <x v="20"/>
    <x v="109"/>
    <x v="22"/>
  </r>
  <r>
    <x v="21"/>
    <x v="21"/>
    <x v="109"/>
    <x v="828"/>
  </r>
  <r>
    <x v="52"/>
    <x v="52"/>
    <x v="109"/>
    <x v="403"/>
  </r>
  <r>
    <x v="87"/>
    <x v="87"/>
    <x v="109"/>
    <x v="1053"/>
  </r>
  <r>
    <x v="26"/>
    <x v="26"/>
    <x v="109"/>
    <x v="1219"/>
  </r>
  <r>
    <x v="61"/>
    <x v="61"/>
    <x v="109"/>
    <x v="406"/>
  </r>
  <r>
    <x v="8"/>
    <x v="8"/>
    <x v="109"/>
    <x v="896"/>
  </r>
  <r>
    <x v="9"/>
    <x v="9"/>
    <x v="109"/>
    <x v="249"/>
  </r>
  <r>
    <x v="10"/>
    <x v="10"/>
    <x v="109"/>
    <x v="952"/>
  </r>
  <r>
    <x v="27"/>
    <x v="27"/>
    <x v="109"/>
    <x v="898"/>
  </r>
  <r>
    <x v="11"/>
    <x v="11"/>
    <x v="109"/>
    <x v="1364"/>
  </r>
  <r>
    <x v="12"/>
    <x v="12"/>
    <x v="109"/>
    <x v="627"/>
  </r>
  <r>
    <x v="29"/>
    <x v="29"/>
    <x v="109"/>
    <x v="919"/>
  </r>
  <r>
    <x v="72"/>
    <x v="72"/>
    <x v="109"/>
    <x v="1365"/>
  </r>
  <r>
    <x v="30"/>
    <x v="30"/>
    <x v="109"/>
    <x v="294"/>
  </r>
  <r>
    <x v="31"/>
    <x v="31"/>
    <x v="109"/>
    <x v="228"/>
  </r>
  <r>
    <x v="32"/>
    <x v="32"/>
    <x v="109"/>
    <x v="297"/>
  </r>
  <r>
    <x v="51"/>
    <x v="51"/>
    <x v="109"/>
    <x v="807"/>
  </r>
  <r>
    <x v="13"/>
    <x v="13"/>
    <x v="109"/>
    <x v="507"/>
  </r>
  <r>
    <x v="46"/>
    <x v="46"/>
    <x v="109"/>
    <x v="98"/>
  </r>
  <r>
    <x v="14"/>
    <x v="14"/>
    <x v="109"/>
    <x v="82"/>
  </r>
  <r>
    <x v="47"/>
    <x v="47"/>
    <x v="109"/>
    <x v="111"/>
  </r>
  <r>
    <x v="83"/>
    <x v="83"/>
    <x v="109"/>
    <x v="111"/>
  </r>
  <r>
    <x v="2"/>
    <x v="2"/>
    <x v="110"/>
    <x v="231"/>
  </r>
  <r>
    <x v="20"/>
    <x v="20"/>
    <x v="110"/>
    <x v="1366"/>
  </r>
  <r>
    <x v="3"/>
    <x v="3"/>
    <x v="110"/>
    <x v="538"/>
  </r>
  <r>
    <x v="5"/>
    <x v="5"/>
    <x v="110"/>
    <x v="347"/>
  </r>
  <r>
    <x v="23"/>
    <x v="23"/>
    <x v="110"/>
    <x v="995"/>
  </r>
  <r>
    <x v="55"/>
    <x v="55"/>
    <x v="110"/>
    <x v="366"/>
  </r>
  <r>
    <x v="67"/>
    <x v="67"/>
    <x v="110"/>
    <x v="522"/>
  </r>
  <r>
    <x v="61"/>
    <x v="61"/>
    <x v="110"/>
    <x v="1367"/>
  </r>
  <r>
    <x v="8"/>
    <x v="8"/>
    <x v="110"/>
    <x v="799"/>
  </r>
  <r>
    <x v="9"/>
    <x v="9"/>
    <x v="110"/>
    <x v="1368"/>
  </r>
  <r>
    <x v="10"/>
    <x v="10"/>
    <x v="110"/>
    <x v="1369"/>
  </r>
  <r>
    <x v="11"/>
    <x v="11"/>
    <x v="110"/>
    <x v="1370"/>
  </r>
  <r>
    <x v="28"/>
    <x v="28"/>
    <x v="110"/>
    <x v="698"/>
  </r>
  <r>
    <x v="29"/>
    <x v="29"/>
    <x v="110"/>
    <x v="699"/>
  </r>
  <r>
    <x v="30"/>
    <x v="30"/>
    <x v="110"/>
    <x v="630"/>
  </r>
  <r>
    <x v="97"/>
    <x v="97"/>
    <x v="110"/>
    <x v="1371"/>
  </r>
  <r>
    <x v="73"/>
    <x v="73"/>
    <x v="110"/>
    <x v="1213"/>
  </r>
  <r>
    <x v="32"/>
    <x v="32"/>
    <x v="110"/>
    <x v="338"/>
  </r>
  <r>
    <x v="102"/>
    <x v="102"/>
    <x v="110"/>
    <x v="1372"/>
  </r>
  <r>
    <x v="51"/>
    <x v="51"/>
    <x v="110"/>
    <x v="96"/>
  </r>
  <r>
    <x v="13"/>
    <x v="13"/>
    <x v="110"/>
    <x v="16"/>
  </r>
  <r>
    <x v="46"/>
    <x v="46"/>
    <x v="110"/>
    <x v="507"/>
  </r>
  <r>
    <x v="14"/>
    <x v="14"/>
    <x v="110"/>
    <x v="62"/>
  </r>
  <r>
    <x v="0"/>
    <x v="0"/>
    <x v="111"/>
    <x v="1373"/>
  </r>
  <r>
    <x v="76"/>
    <x v="76"/>
    <x v="111"/>
    <x v="561"/>
  </r>
  <r>
    <x v="2"/>
    <x v="2"/>
    <x v="111"/>
    <x v="489"/>
  </r>
  <r>
    <x v="34"/>
    <x v="34"/>
    <x v="111"/>
    <x v="1374"/>
  </r>
  <r>
    <x v="21"/>
    <x v="21"/>
    <x v="111"/>
    <x v="1297"/>
  </r>
  <r>
    <x v="4"/>
    <x v="4"/>
    <x v="111"/>
    <x v="1101"/>
  </r>
  <r>
    <x v="87"/>
    <x v="87"/>
    <x v="111"/>
    <x v="1053"/>
  </r>
  <r>
    <x v="5"/>
    <x v="5"/>
    <x v="111"/>
    <x v="347"/>
  </r>
  <r>
    <x v="23"/>
    <x v="23"/>
    <x v="111"/>
    <x v="1375"/>
  </r>
  <r>
    <x v="70"/>
    <x v="70"/>
    <x v="111"/>
    <x v="1376"/>
  </r>
  <r>
    <x v="57"/>
    <x v="57"/>
    <x v="111"/>
    <x v="25"/>
  </r>
  <r>
    <x v="8"/>
    <x v="8"/>
    <x v="111"/>
    <x v="799"/>
  </r>
  <r>
    <x v="38"/>
    <x v="38"/>
    <x v="111"/>
    <x v="695"/>
  </r>
  <r>
    <x v="10"/>
    <x v="10"/>
    <x v="111"/>
    <x v="1377"/>
  </r>
  <r>
    <x v="27"/>
    <x v="27"/>
    <x v="111"/>
    <x v="898"/>
  </r>
  <r>
    <x v="11"/>
    <x v="11"/>
    <x v="111"/>
    <x v="411"/>
  </r>
  <r>
    <x v="95"/>
    <x v="95"/>
    <x v="111"/>
    <x v="909"/>
  </r>
  <r>
    <x v="29"/>
    <x v="29"/>
    <x v="111"/>
    <x v="1378"/>
  </r>
  <r>
    <x v="97"/>
    <x v="97"/>
    <x v="111"/>
    <x v="1379"/>
  </r>
  <r>
    <x v="32"/>
    <x v="32"/>
    <x v="111"/>
    <x v="1380"/>
  </r>
  <r>
    <x v="46"/>
    <x v="46"/>
    <x v="111"/>
    <x v="82"/>
  </r>
  <r>
    <x v="14"/>
    <x v="14"/>
    <x v="111"/>
    <x v="82"/>
  </r>
  <r>
    <x v="47"/>
    <x v="47"/>
    <x v="111"/>
    <x v="40"/>
  </r>
  <r>
    <x v="83"/>
    <x v="83"/>
    <x v="111"/>
    <x v="82"/>
  </r>
  <r>
    <x v="41"/>
    <x v="41"/>
    <x v="112"/>
    <x v="160"/>
  </r>
  <r>
    <x v="19"/>
    <x v="19"/>
    <x v="112"/>
    <x v="1381"/>
  </r>
  <r>
    <x v="0"/>
    <x v="0"/>
    <x v="112"/>
    <x v="987"/>
  </r>
  <r>
    <x v="1"/>
    <x v="1"/>
    <x v="112"/>
    <x v="1058"/>
  </r>
  <r>
    <x v="76"/>
    <x v="76"/>
    <x v="112"/>
    <x v="1382"/>
  </r>
  <r>
    <x v="2"/>
    <x v="2"/>
    <x v="112"/>
    <x v="1383"/>
  </r>
  <r>
    <x v="20"/>
    <x v="20"/>
    <x v="112"/>
    <x v="65"/>
  </r>
  <r>
    <x v="21"/>
    <x v="21"/>
    <x v="112"/>
    <x v="1384"/>
  </r>
  <r>
    <x v="4"/>
    <x v="4"/>
    <x v="112"/>
    <x v="903"/>
  </r>
  <r>
    <x v="87"/>
    <x v="87"/>
    <x v="112"/>
    <x v="876"/>
  </r>
  <r>
    <x v="23"/>
    <x v="23"/>
    <x v="112"/>
    <x v="995"/>
  </r>
  <r>
    <x v="55"/>
    <x v="55"/>
    <x v="112"/>
    <x v="930"/>
  </r>
  <r>
    <x v="26"/>
    <x v="26"/>
    <x v="112"/>
    <x v="268"/>
  </r>
  <r>
    <x v="86"/>
    <x v="86"/>
    <x v="112"/>
    <x v="577"/>
  </r>
  <r>
    <x v="36"/>
    <x v="36"/>
    <x v="112"/>
    <x v="720"/>
  </r>
  <r>
    <x v="98"/>
    <x v="98"/>
    <x v="112"/>
    <x v="1133"/>
  </r>
  <r>
    <x v="37"/>
    <x v="37"/>
    <x v="112"/>
    <x v="70"/>
  </r>
  <r>
    <x v="8"/>
    <x v="8"/>
    <x v="112"/>
    <x v="666"/>
  </r>
  <r>
    <x v="9"/>
    <x v="9"/>
    <x v="112"/>
    <x v="1385"/>
  </r>
  <r>
    <x v="38"/>
    <x v="38"/>
    <x v="112"/>
    <x v="1386"/>
  </r>
  <r>
    <x v="10"/>
    <x v="10"/>
    <x v="112"/>
    <x v="800"/>
  </r>
  <r>
    <x v="11"/>
    <x v="11"/>
    <x v="112"/>
    <x v="1387"/>
  </r>
  <r>
    <x v="28"/>
    <x v="28"/>
    <x v="112"/>
    <x v="412"/>
  </r>
  <r>
    <x v="12"/>
    <x v="12"/>
    <x v="112"/>
    <x v="225"/>
  </r>
  <r>
    <x v="29"/>
    <x v="29"/>
    <x v="112"/>
    <x v="773"/>
  </r>
  <r>
    <x v="30"/>
    <x v="30"/>
    <x v="112"/>
    <x v="77"/>
  </r>
  <r>
    <x v="31"/>
    <x v="31"/>
    <x v="112"/>
    <x v="228"/>
  </r>
  <r>
    <x v="73"/>
    <x v="73"/>
    <x v="112"/>
    <x v="1388"/>
  </r>
  <r>
    <x v="102"/>
    <x v="102"/>
    <x v="112"/>
    <x v="1389"/>
  </r>
  <r>
    <x v="69"/>
    <x v="69"/>
    <x v="112"/>
    <x v="218"/>
  </r>
  <r>
    <x v="46"/>
    <x v="46"/>
    <x v="112"/>
    <x v="40"/>
  </r>
  <r>
    <x v="14"/>
    <x v="14"/>
    <x v="112"/>
    <x v="160"/>
  </r>
  <r>
    <x v="78"/>
    <x v="78"/>
    <x v="112"/>
    <x v="111"/>
  </r>
  <r>
    <x v="83"/>
    <x v="83"/>
    <x v="112"/>
    <x v="82"/>
  </r>
  <r>
    <x v="16"/>
    <x v="16"/>
    <x v="112"/>
    <x v="63"/>
  </r>
  <r>
    <x v="75"/>
    <x v="75"/>
    <x v="113"/>
    <x v="18"/>
  </r>
  <r>
    <x v="0"/>
    <x v="0"/>
    <x v="113"/>
    <x v="578"/>
  </r>
  <r>
    <x v="2"/>
    <x v="2"/>
    <x v="113"/>
    <x v="1390"/>
  </r>
  <r>
    <x v="21"/>
    <x v="21"/>
    <x v="113"/>
    <x v="920"/>
  </r>
  <r>
    <x v="4"/>
    <x v="4"/>
    <x v="113"/>
    <x v="618"/>
  </r>
  <r>
    <x v="70"/>
    <x v="70"/>
    <x v="113"/>
    <x v="1102"/>
  </r>
  <r>
    <x v="8"/>
    <x v="8"/>
    <x v="113"/>
    <x v="30"/>
  </r>
  <r>
    <x v="68"/>
    <x v="68"/>
    <x v="113"/>
    <x v="219"/>
  </r>
  <r>
    <x v="10"/>
    <x v="10"/>
    <x v="113"/>
    <x v="1391"/>
  </r>
  <r>
    <x v="11"/>
    <x v="11"/>
    <x v="113"/>
    <x v="1392"/>
  </r>
  <r>
    <x v="28"/>
    <x v="28"/>
    <x v="113"/>
    <x v="292"/>
  </r>
  <r>
    <x v="12"/>
    <x v="12"/>
    <x v="113"/>
    <x v="429"/>
  </r>
  <r>
    <x v="29"/>
    <x v="29"/>
    <x v="113"/>
    <x v="1309"/>
  </r>
  <r>
    <x v="30"/>
    <x v="30"/>
    <x v="113"/>
    <x v="161"/>
  </r>
  <r>
    <x v="13"/>
    <x v="13"/>
    <x v="113"/>
    <x v="209"/>
  </r>
  <r>
    <x v="46"/>
    <x v="46"/>
    <x v="113"/>
    <x v="40"/>
  </r>
  <r>
    <x v="14"/>
    <x v="14"/>
    <x v="113"/>
    <x v="62"/>
  </r>
  <r>
    <x v="16"/>
    <x v="16"/>
    <x v="113"/>
    <x v="160"/>
  </r>
  <r>
    <x v="104"/>
    <x v="104"/>
    <x v="114"/>
    <x v="13"/>
  </r>
  <r>
    <x v="105"/>
    <x v="105"/>
    <x v="114"/>
    <x v="13"/>
  </r>
  <r>
    <x v="106"/>
    <x v="106"/>
    <x v="114"/>
    <x v="13"/>
  </r>
  <r>
    <x v="107"/>
    <x v="107"/>
    <x v="114"/>
    <x v="13"/>
  </r>
  <r>
    <x v="108"/>
    <x v="108"/>
    <x v="114"/>
    <x v="13"/>
  </r>
  <r>
    <x v="0"/>
    <x v="0"/>
    <x v="114"/>
    <x v="340"/>
  </r>
  <r>
    <x v="2"/>
    <x v="2"/>
    <x v="114"/>
    <x v="860"/>
  </r>
  <r>
    <x v="34"/>
    <x v="34"/>
    <x v="114"/>
    <x v="536"/>
  </r>
  <r>
    <x v="21"/>
    <x v="21"/>
    <x v="114"/>
    <x v="114"/>
  </r>
  <r>
    <x v="3"/>
    <x v="3"/>
    <x v="114"/>
    <x v="741"/>
  </r>
  <r>
    <x v="4"/>
    <x v="4"/>
    <x v="114"/>
    <x v="1044"/>
  </r>
  <r>
    <x v="87"/>
    <x v="87"/>
    <x v="114"/>
    <x v="1393"/>
  </r>
  <r>
    <x v="5"/>
    <x v="5"/>
    <x v="114"/>
    <x v="978"/>
  </r>
  <r>
    <x v="23"/>
    <x v="23"/>
    <x v="114"/>
    <x v="1167"/>
  </r>
  <r>
    <x v="55"/>
    <x v="55"/>
    <x v="114"/>
    <x v="544"/>
  </r>
  <r>
    <x v="67"/>
    <x v="67"/>
    <x v="114"/>
    <x v="1394"/>
  </r>
  <r>
    <x v="26"/>
    <x v="26"/>
    <x v="114"/>
    <x v="217"/>
  </r>
  <r>
    <x v="8"/>
    <x v="8"/>
    <x v="114"/>
    <x v="50"/>
  </r>
  <r>
    <x v="58"/>
    <x v="58"/>
    <x v="114"/>
    <x v="123"/>
  </r>
  <r>
    <x v="9"/>
    <x v="9"/>
    <x v="114"/>
    <x v="408"/>
  </r>
  <r>
    <x v="38"/>
    <x v="38"/>
    <x v="114"/>
    <x v="153"/>
  </r>
  <r>
    <x v="10"/>
    <x v="10"/>
    <x v="114"/>
    <x v="1395"/>
  </r>
  <r>
    <x v="103"/>
    <x v="103"/>
    <x v="114"/>
    <x v="75"/>
  </r>
  <r>
    <x v="28"/>
    <x v="28"/>
    <x v="114"/>
    <x v="412"/>
  </r>
  <r>
    <x v="90"/>
    <x v="90"/>
    <x v="114"/>
    <x v="1396"/>
  </r>
  <r>
    <x v="12"/>
    <x v="12"/>
    <x v="114"/>
    <x v="949"/>
  </r>
  <r>
    <x v="29"/>
    <x v="29"/>
    <x v="114"/>
    <x v="1072"/>
  </r>
  <r>
    <x v="30"/>
    <x v="30"/>
    <x v="114"/>
    <x v="873"/>
  </r>
  <r>
    <x v="80"/>
    <x v="80"/>
    <x v="114"/>
    <x v="87"/>
  </r>
  <r>
    <x v="45"/>
    <x v="45"/>
    <x v="114"/>
    <x v="1397"/>
  </r>
  <r>
    <x v="102"/>
    <x v="102"/>
    <x v="114"/>
    <x v="1398"/>
  </r>
  <r>
    <x v="51"/>
    <x v="51"/>
    <x v="114"/>
    <x v="96"/>
  </r>
  <r>
    <x v="69"/>
    <x v="69"/>
    <x v="114"/>
    <x v="82"/>
  </r>
  <r>
    <x v="13"/>
    <x v="13"/>
    <x v="114"/>
    <x v="98"/>
  </r>
  <r>
    <x v="46"/>
    <x v="46"/>
    <x v="114"/>
    <x v="14"/>
  </r>
  <r>
    <x v="14"/>
    <x v="14"/>
    <x v="114"/>
    <x v="294"/>
  </r>
  <r>
    <x v="78"/>
    <x v="78"/>
    <x v="114"/>
    <x v="18"/>
  </r>
  <r>
    <x v="83"/>
    <x v="83"/>
    <x v="114"/>
    <x v="62"/>
  </r>
  <r>
    <x v="0"/>
    <x v="0"/>
    <x v="115"/>
    <x v="578"/>
  </r>
  <r>
    <x v="1"/>
    <x v="1"/>
    <x v="115"/>
    <x v="1"/>
  </r>
  <r>
    <x v="76"/>
    <x v="76"/>
    <x v="115"/>
    <x v="561"/>
  </r>
  <r>
    <x v="2"/>
    <x v="2"/>
    <x v="115"/>
    <x v="616"/>
  </r>
  <r>
    <x v="20"/>
    <x v="20"/>
    <x v="115"/>
    <x v="118"/>
  </r>
  <r>
    <x v="21"/>
    <x v="21"/>
    <x v="115"/>
    <x v="43"/>
  </r>
  <r>
    <x v="4"/>
    <x v="4"/>
    <x v="115"/>
    <x v="910"/>
  </r>
  <r>
    <x v="22"/>
    <x v="22"/>
    <x v="115"/>
    <x v="90"/>
  </r>
  <r>
    <x v="5"/>
    <x v="5"/>
    <x v="115"/>
    <x v="1399"/>
  </r>
  <r>
    <x v="23"/>
    <x v="23"/>
    <x v="115"/>
    <x v="1167"/>
  </r>
  <r>
    <x v="26"/>
    <x v="26"/>
    <x v="115"/>
    <x v="946"/>
  </r>
  <r>
    <x v="74"/>
    <x v="74"/>
    <x v="115"/>
    <x v="403"/>
  </r>
  <r>
    <x v="7"/>
    <x v="7"/>
    <x v="115"/>
    <x v="7"/>
  </r>
  <r>
    <x v="8"/>
    <x v="8"/>
    <x v="115"/>
    <x v="324"/>
  </r>
  <r>
    <x v="9"/>
    <x v="9"/>
    <x v="115"/>
    <x v="1110"/>
  </r>
  <r>
    <x v="10"/>
    <x v="10"/>
    <x v="115"/>
    <x v="1400"/>
  </r>
  <r>
    <x v="11"/>
    <x v="11"/>
    <x v="115"/>
    <x v="1401"/>
  </r>
  <r>
    <x v="109"/>
    <x v="109"/>
    <x v="115"/>
    <x v="1402"/>
  </r>
  <r>
    <x v="12"/>
    <x v="12"/>
    <x v="115"/>
    <x v="1161"/>
  </r>
  <r>
    <x v="29"/>
    <x v="29"/>
    <x v="115"/>
    <x v="314"/>
  </r>
  <r>
    <x v="72"/>
    <x v="72"/>
    <x v="115"/>
    <x v="1403"/>
  </r>
  <r>
    <x v="30"/>
    <x v="30"/>
    <x v="115"/>
    <x v="36"/>
  </r>
  <r>
    <x v="84"/>
    <x v="84"/>
    <x v="115"/>
    <x v="1404"/>
  </r>
  <r>
    <x v="51"/>
    <x v="51"/>
    <x v="115"/>
    <x v="673"/>
  </r>
  <r>
    <x v="69"/>
    <x v="69"/>
    <x v="115"/>
    <x v="339"/>
  </r>
  <r>
    <x v="96"/>
    <x v="96"/>
    <x v="115"/>
    <x v="160"/>
  </r>
  <r>
    <x v="46"/>
    <x v="46"/>
    <x v="115"/>
    <x v="533"/>
  </r>
  <r>
    <x v="14"/>
    <x v="14"/>
    <x v="115"/>
    <x v="14"/>
  </r>
  <r>
    <x v="47"/>
    <x v="47"/>
    <x v="115"/>
    <x v="160"/>
  </r>
  <r>
    <x v="78"/>
    <x v="78"/>
    <x v="115"/>
    <x v="62"/>
  </r>
  <r>
    <x v="16"/>
    <x v="16"/>
    <x v="115"/>
    <x v="230"/>
  </r>
  <r>
    <x v="0"/>
    <x v="0"/>
    <x v="116"/>
    <x v="394"/>
  </r>
  <r>
    <x v="2"/>
    <x v="2"/>
    <x v="116"/>
    <x v="1206"/>
  </r>
  <r>
    <x v="20"/>
    <x v="20"/>
    <x v="116"/>
    <x v="65"/>
  </r>
  <r>
    <x v="21"/>
    <x v="21"/>
    <x v="116"/>
    <x v="419"/>
  </r>
  <r>
    <x v="4"/>
    <x v="4"/>
    <x v="116"/>
    <x v="733"/>
  </r>
  <r>
    <x v="87"/>
    <x v="87"/>
    <x v="116"/>
    <x v="1405"/>
  </r>
  <r>
    <x v="23"/>
    <x v="23"/>
    <x v="116"/>
    <x v="167"/>
  </r>
  <r>
    <x v="26"/>
    <x v="26"/>
    <x v="116"/>
    <x v="1064"/>
  </r>
  <r>
    <x v="8"/>
    <x v="8"/>
    <x v="116"/>
    <x v="799"/>
  </r>
  <r>
    <x v="9"/>
    <x v="9"/>
    <x v="116"/>
    <x v="218"/>
  </r>
  <r>
    <x v="38"/>
    <x v="38"/>
    <x v="116"/>
    <x v="591"/>
  </r>
  <r>
    <x v="10"/>
    <x v="10"/>
    <x v="116"/>
    <x v="1406"/>
  </r>
  <r>
    <x v="109"/>
    <x v="109"/>
    <x v="116"/>
    <x v="1407"/>
  </r>
  <r>
    <x v="12"/>
    <x v="12"/>
    <x v="116"/>
    <x v="74"/>
  </r>
  <r>
    <x v="29"/>
    <x v="29"/>
    <x v="116"/>
    <x v="628"/>
  </r>
  <r>
    <x v="30"/>
    <x v="30"/>
    <x v="116"/>
    <x v="17"/>
  </r>
  <r>
    <x v="40"/>
    <x v="40"/>
    <x v="116"/>
    <x v="59"/>
  </r>
  <r>
    <x v="44"/>
    <x v="44"/>
    <x v="116"/>
    <x v="1408"/>
  </r>
  <r>
    <x v="51"/>
    <x v="51"/>
    <x v="116"/>
    <x v="807"/>
  </r>
  <r>
    <x v="46"/>
    <x v="46"/>
    <x v="116"/>
    <x v="63"/>
  </r>
  <r>
    <x v="14"/>
    <x v="14"/>
    <x v="116"/>
    <x v="98"/>
  </r>
  <r>
    <x v="83"/>
    <x v="83"/>
    <x v="116"/>
    <x v="40"/>
  </r>
  <r>
    <x v="19"/>
    <x v="19"/>
    <x v="117"/>
    <x v="1409"/>
  </r>
  <r>
    <x v="76"/>
    <x v="76"/>
    <x v="117"/>
    <x v="179"/>
  </r>
  <r>
    <x v="2"/>
    <x v="2"/>
    <x v="117"/>
    <x v="361"/>
  </r>
  <r>
    <x v="20"/>
    <x v="20"/>
    <x v="117"/>
    <x v="536"/>
  </r>
  <r>
    <x v="34"/>
    <x v="34"/>
    <x v="117"/>
    <x v="1139"/>
  </r>
  <r>
    <x v="21"/>
    <x v="21"/>
    <x v="117"/>
    <x v="43"/>
  </r>
  <r>
    <x v="3"/>
    <x v="3"/>
    <x v="117"/>
    <x v="3"/>
  </r>
  <r>
    <x v="4"/>
    <x v="4"/>
    <x v="117"/>
    <x v="1410"/>
  </r>
  <r>
    <x v="5"/>
    <x v="5"/>
    <x v="117"/>
    <x v="743"/>
  </r>
  <r>
    <x v="23"/>
    <x v="23"/>
    <x v="117"/>
    <x v="1411"/>
  </r>
  <r>
    <x v="67"/>
    <x v="67"/>
    <x v="117"/>
    <x v="576"/>
  </r>
  <r>
    <x v="26"/>
    <x v="26"/>
    <x v="117"/>
    <x v="1412"/>
  </r>
  <r>
    <x v="8"/>
    <x v="8"/>
    <x v="117"/>
    <x v="1413"/>
  </r>
  <r>
    <x v="38"/>
    <x v="38"/>
    <x v="117"/>
    <x v="1414"/>
  </r>
  <r>
    <x v="10"/>
    <x v="10"/>
    <x v="117"/>
    <x v="1415"/>
  </r>
  <r>
    <x v="28"/>
    <x v="28"/>
    <x v="117"/>
    <x v="698"/>
  </r>
  <r>
    <x v="30"/>
    <x v="30"/>
    <x v="117"/>
    <x v="1416"/>
  </r>
  <r>
    <x v="32"/>
    <x v="32"/>
    <x v="117"/>
    <x v="1417"/>
  </r>
  <r>
    <x v="13"/>
    <x v="13"/>
    <x v="117"/>
    <x v="62"/>
  </r>
  <r>
    <x v="46"/>
    <x v="46"/>
    <x v="117"/>
    <x v="82"/>
  </r>
  <r>
    <x v="14"/>
    <x v="14"/>
    <x v="117"/>
    <x v="82"/>
  </r>
  <r>
    <x v="16"/>
    <x v="16"/>
    <x v="117"/>
    <x v="160"/>
  </r>
  <r>
    <x v="18"/>
    <x v="18"/>
    <x v="118"/>
    <x v="62"/>
  </r>
  <r>
    <x v="0"/>
    <x v="0"/>
    <x v="118"/>
    <x v="1418"/>
  </r>
  <r>
    <x v="2"/>
    <x v="2"/>
    <x v="118"/>
    <x v="1419"/>
  </r>
  <r>
    <x v="20"/>
    <x v="20"/>
    <x v="118"/>
    <x v="995"/>
  </r>
  <r>
    <x v="21"/>
    <x v="21"/>
    <x v="118"/>
    <x v="1420"/>
  </r>
  <r>
    <x v="3"/>
    <x v="3"/>
    <x v="118"/>
    <x v="702"/>
  </r>
  <r>
    <x v="4"/>
    <x v="4"/>
    <x v="118"/>
    <x v="1421"/>
  </r>
  <r>
    <x v="5"/>
    <x v="5"/>
    <x v="118"/>
    <x v="1102"/>
  </r>
  <r>
    <x v="23"/>
    <x v="23"/>
    <x v="118"/>
    <x v="989"/>
  </r>
  <r>
    <x v="70"/>
    <x v="70"/>
    <x v="118"/>
    <x v="1422"/>
  </r>
  <r>
    <x v="67"/>
    <x v="67"/>
    <x v="118"/>
    <x v="620"/>
  </r>
  <r>
    <x v="26"/>
    <x v="26"/>
    <x v="118"/>
    <x v="1064"/>
  </r>
  <r>
    <x v="7"/>
    <x v="7"/>
    <x v="118"/>
    <x v="7"/>
  </r>
  <r>
    <x v="98"/>
    <x v="98"/>
    <x v="118"/>
    <x v="1008"/>
  </r>
  <r>
    <x v="8"/>
    <x v="8"/>
    <x v="118"/>
    <x v="736"/>
  </r>
  <r>
    <x v="68"/>
    <x v="68"/>
    <x v="118"/>
    <x v="1086"/>
  </r>
  <r>
    <x v="38"/>
    <x v="38"/>
    <x v="118"/>
    <x v="1423"/>
  </r>
  <r>
    <x v="10"/>
    <x v="10"/>
    <x v="118"/>
    <x v="1424"/>
  </r>
  <r>
    <x v="11"/>
    <x v="11"/>
    <x v="118"/>
    <x v="33"/>
  </r>
  <r>
    <x v="109"/>
    <x v="109"/>
    <x v="118"/>
    <x v="1402"/>
  </r>
  <r>
    <x v="12"/>
    <x v="12"/>
    <x v="118"/>
    <x v="1152"/>
  </r>
  <r>
    <x v="39"/>
    <x v="39"/>
    <x v="118"/>
    <x v="1425"/>
  </r>
  <r>
    <x v="29"/>
    <x v="29"/>
    <x v="118"/>
    <x v="1426"/>
  </r>
  <r>
    <x v="30"/>
    <x v="30"/>
    <x v="118"/>
    <x v="1427"/>
  </r>
  <r>
    <x v="97"/>
    <x v="97"/>
    <x v="118"/>
    <x v="673"/>
  </r>
  <r>
    <x v="81"/>
    <x v="81"/>
    <x v="118"/>
    <x v="1428"/>
  </r>
  <r>
    <x v="84"/>
    <x v="84"/>
    <x v="118"/>
    <x v="1404"/>
  </r>
  <r>
    <x v="91"/>
    <x v="91"/>
    <x v="118"/>
    <x v="1429"/>
  </r>
  <r>
    <x v="73"/>
    <x v="73"/>
    <x v="118"/>
    <x v="1430"/>
  </r>
  <r>
    <x v="32"/>
    <x v="32"/>
    <x v="118"/>
    <x v="1431"/>
  </r>
  <r>
    <x v="45"/>
    <x v="45"/>
    <x v="118"/>
    <x v="1432"/>
  </r>
  <r>
    <x v="51"/>
    <x v="51"/>
    <x v="118"/>
    <x v="1262"/>
  </r>
  <r>
    <x v="46"/>
    <x v="46"/>
    <x v="118"/>
    <x v="507"/>
  </r>
  <r>
    <x v="14"/>
    <x v="14"/>
    <x v="118"/>
    <x v="117"/>
  </r>
  <r>
    <x v="78"/>
    <x v="78"/>
    <x v="118"/>
    <x v="62"/>
  </r>
  <r>
    <x v="75"/>
    <x v="75"/>
    <x v="119"/>
    <x v="533"/>
  </r>
  <r>
    <x v="0"/>
    <x v="0"/>
    <x v="119"/>
    <x v="1433"/>
  </r>
  <r>
    <x v="2"/>
    <x v="2"/>
    <x v="119"/>
    <x v="1434"/>
  </r>
  <r>
    <x v="20"/>
    <x v="20"/>
    <x v="119"/>
    <x v="118"/>
  </r>
  <r>
    <x v="21"/>
    <x v="21"/>
    <x v="119"/>
    <x v="1297"/>
  </r>
  <r>
    <x v="87"/>
    <x v="87"/>
    <x v="119"/>
    <x v="1435"/>
  </r>
  <r>
    <x v="22"/>
    <x v="22"/>
    <x v="119"/>
    <x v="90"/>
  </r>
  <r>
    <x v="5"/>
    <x v="5"/>
    <x v="119"/>
    <x v="1102"/>
  </r>
  <r>
    <x v="23"/>
    <x v="23"/>
    <x v="119"/>
    <x v="1436"/>
  </r>
  <r>
    <x v="70"/>
    <x v="70"/>
    <x v="119"/>
    <x v="978"/>
  </r>
  <r>
    <x v="26"/>
    <x v="26"/>
    <x v="119"/>
    <x v="195"/>
  </r>
  <r>
    <x v="6"/>
    <x v="6"/>
    <x v="119"/>
    <x v="776"/>
  </r>
  <r>
    <x v="8"/>
    <x v="8"/>
    <x v="119"/>
    <x v="693"/>
  </r>
  <r>
    <x v="38"/>
    <x v="38"/>
    <x v="119"/>
    <x v="1437"/>
  </r>
  <r>
    <x v="10"/>
    <x v="10"/>
    <x v="119"/>
    <x v="1035"/>
  </r>
  <r>
    <x v="27"/>
    <x v="27"/>
    <x v="119"/>
    <x v="1150"/>
  </r>
  <r>
    <x v="28"/>
    <x v="28"/>
    <x v="119"/>
    <x v="259"/>
  </r>
  <r>
    <x v="12"/>
    <x v="12"/>
    <x v="119"/>
    <x v="74"/>
  </r>
  <r>
    <x v="29"/>
    <x v="29"/>
    <x v="119"/>
    <x v="907"/>
  </r>
  <r>
    <x v="30"/>
    <x v="30"/>
    <x v="119"/>
    <x v="36"/>
  </r>
  <r>
    <x v="40"/>
    <x v="40"/>
    <x v="119"/>
    <x v="1438"/>
  </r>
  <r>
    <x v="69"/>
    <x v="69"/>
    <x v="119"/>
    <x v="111"/>
  </r>
  <r>
    <x v="46"/>
    <x v="46"/>
    <x v="119"/>
    <x v="111"/>
  </r>
  <r>
    <x v="110"/>
    <x v="110"/>
    <x v="119"/>
    <x v="319"/>
  </r>
  <r>
    <x v="14"/>
    <x v="14"/>
    <x v="119"/>
    <x v="209"/>
  </r>
  <r>
    <x v="111"/>
    <x v="111"/>
    <x v="119"/>
    <x v="82"/>
  </r>
  <r>
    <x v="83"/>
    <x v="83"/>
    <x v="119"/>
    <x v="111"/>
  </r>
  <r>
    <x v="76"/>
    <x v="76"/>
    <x v="120"/>
    <x v="301"/>
  </r>
  <r>
    <x v="2"/>
    <x v="2"/>
    <x v="120"/>
    <x v="703"/>
  </r>
  <r>
    <x v="20"/>
    <x v="20"/>
    <x v="120"/>
    <x v="652"/>
  </r>
  <r>
    <x v="34"/>
    <x v="34"/>
    <x v="120"/>
    <x v="1439"/>
  </r>
  <r>
    <x v="21"/>
    <x v="21"/>
    <x v="120"/>
    <x v="1138"/>
  </r>
  <r>
    <x v="3"/>
    <x v="3"/>
    <x v="120"/>
    <x v="1084"/>
  </r>
  <r>
    <x v="35"/>
    <x v="35"/>
    <x v="120"/>
    <x v="1440"/>
  </r>
  <r>
    <x v="4"/>
    <x v="4"/>
    <x v="120"/>
    <x v="246"/>
  </r>
  <r>
    <x v="52"/>
    <x v="52"/>
    <x v="120"/>
    <x v="1441"/>
  </r>
  <r>
    <x v="87"/>
    <x v="87"/>
    <x v="120"/>
    <x v="1393"/>
  </r>
  <r>
    <x v="5"/>
    <x v="5"/>
    <x v="120"/>
    <x v="1442"/>
  </r>
  <r>
    <x v="70"/>
    <x v="70"/>
    <x v="120"/>
    <x v="1443"/>
  </r>
  <r>
    <x v="26"/>
    <x v="26"/>
    <x v="120"/>
    <x v="864"/>
  </r>
  <r>
    <x v="36"/>
    <x v="36"/>
    <x v="120"/>
    <x v="1226"/>
  </r>
  <r>
    <x v="93"/>
    <x v="93"/>
    <x v="120"/>
    <x v="1444"/>
  </r>
  <r>
    <x v="7"/>
    <x v="7"/>
    <x v="120"/>
    <x v="405"/>
  </r>
  <r>
    <x v="8"/>
    <x v="8"/>
    <x v="120"/>
    <x v="1445"/>
  </r>
  <r>
    <x v="9"/>
    <x v="9"/>
    <x v="120"/>
    <x v="387"/>
  </r>
  <r>
    <x v="10"/>
    <x v="10"/>
    <x v="120"/>
    <x v="1446"/>
  </r>
  <r>
    <x v="27"/>
    <x v="27"/>
    <x v="120"/>
    <x v="1447"/>
  </r>
  <r>
    <x v="11"/>
    <x v="11"/>
    <x v="120"/>
    <x v="1448"/>
  </r>
  <r>
    <x v="28"/>
    <x v="28"/>
    <x v="120"/>
    <x v="513"/>
  </r>
  <r>
    <x v="12"/>
    <x v="12"/>
    <x v="120"/>
    <x v="528"/>
  </r>
  <r>
    <x v="39"/>
    <x v="39"/>
    <x v="120"/>
    <x v="277"/>
  </r>
  <r>
    <x v="29"/>
    <x v="29"/>
    <x v="120"/>
    <x v="277"/>
  </r>
  <r>
    <x v="72"/>
    <x v="72"/>
    <x v="120"/>
    <x v="1449"/>
  </r>
  <r>
    <x v="43"/>
    <x v="43"/>
    <x v="120"/>
    <x v="1450"/>
  </r>
  <r>
    <x v="30"/>
    <x v="30"/>
    <x v="120"/>
    <x v="1451"/>
  </r>
  <r>
    <x v="84"/>
    <x v="84"/>
    <x v="120"/>
    <x v="751"/>
  </r>
  <r>
    <x v="73"/>
    <x v="73"/>
    <x v="120"/>
    <x v="1213"/>
  </r>
  <r>
    <x v="46"/>
    <x v="46"/>
    <x v="120"/>
    <x v="15"/>
  </r>
  <r>
    <x v="110"/>
    <x v="110"/>
    <x v="120"/>
    <x v="1452"/>
  </r>
  <r>
    <x v="14"/>
    <x v="14"/>
    <x v="120"/>
    <x v="40"/>
  </r>
  <r>
    <x v="111"/>
    <x v="111"/>
    <x v="120"/>
    <x v="16"/>
  </r>
  <r>
    <x v="47"/>
    <x v="47"/>
    <x v="120"/>
    <x v="40"/>
  </r>
  <r>
    <x v="4"/>
    <x v="4"/>
    <x v="121"/>
    <x v="777"/>
  </r>
  <r>
    <x v="55"/>
    <x v="55"/>
    <x v="121"/>
    <x v="1266"/>
  </r>
  <r>
    <x v="26"/>
    <x v="26"/>
    <x v="121"/>
    <x v="217"/>
  </r>
  <r>
    <x v="36"/>
    <x v="36"/>
    <x v="121"/>
    <x v="423"/>
  </r>
  <r>
    <x v="9"/>
    <x v="9"/>
    <x v="121"/>
    <x v="387"/>
  </r>
  <r>
    <x v="12"/>
    <x v="12"/>
    <x v="121"/>
    <x v="1453"/>
  </r>
  <r>
    <x v="30"/>
    <x v="30"/>
    <x v="121"/>
    <x v="278"/>
  </r>
  <r>
    <x v="51"/>
    <x v="51"/>
    <x v="121"/>
    <x v="673"/>
  </r>
  <r>
    <x v="46"/>
    <x v="46"/>
    <x v="121"/>
    <x v="111"/>
  </r>
  <r>
    <x v="14"/>
    <x v="14"/>
    <x v="121"/>
    <x v="40"/>
  </r>
  <r>
    <x v="0"/>
    <x v="0"/>
    <x v="122"/>
    <x v="377"/>
  </r>
  <r>
    <x v="76"/>
    <x v="76"/>
    <x v="122"/>
    <x v="687"/>
  </r>
  <r>
    <x v="2"/>
    <x v="2"/>
    <x v="122"/>
    <x v="1454"/>
  </r>
  <r>
    <x v="34"/>
    <x v="34"/>
    <x v="122"/>
    <x v="320"/>
  </r>
  <r>
    <x v="21"/>
    <x v="21"/>
    <x v="122"/>
    <x v="1455"/>
  </r>
  <r>
    <x v="35"/>
    <x v="35"/>
    <x v="122"/>
    <x v="539"/>
  </r>
  <r>
    <x v="4"/>
    <x v="4"/>
    <x v="122"/>
    <x v="1327"/>
  </r>
  <r>
    <x v="87"/>
    <x v="87"/>
    <x v="122"/>
    <x v="873"/>
  </r>
  <r>
    <x v="5"/>
    <x v="5"/>
    <x v="122"/>
    <x v="1077"/>
  </r>
  <r>
    <x v="23"/>
    <x v="23"/>
    <x v="122"/>
    <x v="979"/>
  </r>
  <r>
    <x v="26"/>
    <x v="26"/>
    <x v="122"/>
    <x v="268"/>
  </r>
  <r>
    <x v="79"/>
    <x v="79"/>
    <x v="122"/>
    <x v="1456"/>
  </r>
  <r>
    <x v="6"/>
    <x v="6"/>
    <x v="122"/>
    <x v="123"/>
  </r>
  <r>
    <x v="8"/>
    <x v="8"/>
    <x v="122"/>
    <x v="511"/>
  </r>
  <r>
    <x v="9"/>
    <x v="9"/>
    <x v="122"/>
    <x v="9"/>
  </r>
  <r>
    <x v="10"/>
    <x v="10"/>
    <x v="122"/>
    <x v="955"/>
  </r>
  <r>
    <x v="29"/>
    <x v="29"/>
    <x v="122"/>
    <x v="856"/>
  </r>
  <r>
    <x v="30"/>
    <x v="30"/>
    <x v="122"/>
    <x v="1457"/>
  </r>
  <r>
    <x v="112"/>
    <x v="112"/>
    <x v="122"/>
    <x v="457"/>
  </r>
  <r>
    <x v="97"/>
    <x v="97"/>
    <x v="122"/>
    <x v="1163"/>
  </r>
  <r>
    <x v="102"/>
    <x v="102"/>
    <x v="122"/>
    <x v="77"/>
  </r>
  <r>
    <x v="51"/>
    <x v="51"/>
    <x v="122"/>
    <x v="96"/>
  </r>
  <r>
    <x v="69"/>
    <x v="69"/>
    <x v="122"/>
    <x v="507"/>
  </r>
  <r>
    <x v="96"/>
    <x v="96"/>
    <x v="122"/>
    <x v="82"/>
  </r>
  <r>
    <x v="46"/>
    <x v="46"/>
    <x v="122"/>
    <x v="507"/>
  </r>
  <r>
    <x v="110"/>
    <x v="110"/>
    <x v="122"/>
    <x v="18"/>
  </r>
  <r>
    <x v="111"/>
    <x v="111"/>
    <x v="122"/>
    <x v="40"/>
  </r>
  <r>
    <x v="15"/>
    <x v="15"/>
    <x v="122"/>
    <x v="14"/>
  </r>
  <r>
    <x v="76"/>
    <x v="76"/>
    <x v="123"/>
    <x v="687"/>
  </r>
  <r>
    <x v="2"/>
    <x v="2"/>
    <x v="123"/>
    <x v="86"/>
  </r>
  <r>
    <x v="20"/>
    <x v="20"/>
    <x v="123"/>
    <x v="63"/>
  </r>
  <r>
    <x v="34"/>
    <x v="34"/>
    <x v="123"/>
    <x v="261"/>
  </r>
  <r>
    <x v="21"/>
    <x v="21"/>
    <x v="123"/>
    <x v="1138"/>
  </r>
  <r>
    <x v="35"/>
    <x v="35"/>
    <x v="123"/>
    <x v="1458"/>
  </r>
  <r>
    <x v="4"/>
    <x v="4"/>
    <x v="123"/>
    <x v="1098"/>
  </r>
  <r>
    <x v="22"/>
    <x v="22"/>
    <x v="123"/>
    <x v="1459"/>
  </r>
  <r>
    <x v="5"/>
    <x v="5"/>
    <x v="123"/>
    <x v="577"/>
  </r>
  <r>
    <x v="113"/>
    <x v="113"/>
    <x v="123"/>
    <x v="1460"/>
  </r>
  <r>
    <x v="7"/>
    <x v="7"/>
    <x v="123"/>
    <x v="7"/>
  </r>
  <r>
    <x v="71"/>
    <x v="71"/>
    <x v="123"/>
    <x v="947"/>
  </r>
  <r>
    <x v="8"/>
    <x v="8"/>
    <x v="123"/>
    <x v="238"/>
  </r>
  <r>
    <x v="9"/>
    <x v="9"/>
    <x v="123"/>
    <x v="443"/>
  </r>
  <r>
    <x v="38"/>
    <x v="38"/>
    <x v="123"/>
    <x v="330"/>
  </r>
  <r>
    <x v="10"/>
    <x v="10"/>
    <x v="123"/>
    <x v="1461"/>
  </r>
  <r>
    <x v="11"/>
    <x v="11"/>
    <x v="123"/>
    <x v="682"/>
  </r>
  <r>
    <x v="53"/>
    <x v="53"/>
    <x v="123"/>
    <x v="1462"/>
  </r>
  <r>
    <x v="28"/>
    <x v="28"/>
    <x v="123"/>
    <x v="412"/>
  </r>
  <r>
    <x v="29"/>
    <x v="29"/>
    <x v="123"/>
    <x v="227"/>
  </r>
  <r>
    <x v="30"/>
    <x v="30"/>
    <x v="123"/>
    <x v="1463"/>
  </r>
  <r>
    <x v="84"/>
    <x v="84"/>
    <x v="123"/>
    <x v="1280"/>
  </r>
  <r>
    <x v="91"/>
    <x v="91"/>
    <x v="123"/>
    <x v="947"/>
  </r>
  <r>
    <x v="73"/>
    <x v="73"/>
    <x v="123"/>
    <x v="207"/>
  </r>
  <r>
    <x v="51"/>
    <x v="51"/>
    <x v="123"/>
    <x v="807"/>
  </r>
  <r>
    <x v="69"/>
    <x v="69"/>
    <x v="123"/>
    <x v="83"/>
  </r>
  <r>
    <x v="46"/>
    <x v="46"/>
    <x v="123"/>
    <x v="210"/>
  </r>
  <r>
    <x v="110"/>
    <x v="110"/>
    <x v="123"/>
    <x v="1464"/>
  </r>
  <r>
    <x v="14"/>
    <x v="14"/>
    <x v="123"/>
    <x v="507"/>
  </r>
  <r>
    <x v="111"/>
    <x v="111"/>
    <x v="123"/>
    <x v="208"/>
  </r>
  <r>
    <x v="78"/>
    <x v="78"/>
    <x v="123"/>
    <x v="63"/>
  </r>
  <r>
    <x v="15"/>
    <x v="15"/>
    <x v="123"/>
    <x v="500"/>
  </r>
  <r>
    <x v="50"/>
    <x v="50"/>
    <x v="124"/>
    <x v="533"/>
  </r>
  <r>
    <x v="75"/>
    <x v="75"/>
    <x v="124"/>
    <x v="85"/>
  </r>
  <r>
    <x v="76"/>
    <x v="76"/>
    <x v="124"/>
    <x v="1465"/>
  </r>
  <r>
    <x v="2"/>
    <x v="2"/>
    <x v="124"/>
    <x v="361"/>
  </r>
  <r>
    <x v="21"/>
    <x v="21"/>
    <x v="124"/>
    <x v="472"/>
  </r>
  <r>
    <x v="3"/>
    <x v="3"/>
    <x v="124"/>
    <x v="1466"/>
  </r>
  <r>
    <x v="35"/>
    <x v="35"/>
    <x v="124"/>
    <x v="16"/>
  </r>
  <r>
    <x v="4"/>
    <x v="4"/>
    <x v="124"/>
    <x v="24"/>
  </r>
  <r>
    <x v="22"/>
    <x v="22"/>
    <x v="124"/>
    <x v="25"/>
  </r>
  <r>
    <x v="5"/>
    <x v="5"/>
    <x v="124"/>
    <x v="1077"/>
  </r>
  <r>
    <x v="113"/>
    <x v="113"/>
    <x v="124"/>
    <x v="1467"/>
  </r>
  <r>
    <x v="26"/>
    <x v="26"/>
    <x v="124"/>
    <x v="1030"/>
  </r>
  <r>
    <x v="79"/>
    <x v="79"/>
    <x v="124"/>
    <x v="922"/>
  </r>
  <r>
    <x v="61"/>
    <x v="61"/>
    <x v="124"/>
    <x v="406"/>
  </r>
  <r>
    <x v="36"/>
    <x v="36"/>
    <x v="124"/>
    <x v="495"/>
  </r>
  <r>
    <x v="74"/>
    <x v="74"/>
    <x v="124"/>
    <x v="403"/>
  </r>
  <r>
    <x v="62"/>
    <x v="62"/>
    <x v="124"/>
    <x v="965"/>
  </r>
  <r>
    <x v="7"/>
    <x v="7"/>
    <x v="124"/>
    <x v="405"/>
  </r>
  <r>
    <x v="8"/>
    <x v="8"/>
    <x v="124"/>
    <x v="799"/>
  </r>
  <r>
    <x v="9"/>
    <x v="9"/>
    <x v="124"/>
    <x v="387"/>
  </r>
  <r>
    <x v="38"/>
    <x v="38"/>
    <x v="124"/>
    <x v="1148"/>
  </r>
  <r>
    <x v="10"/>
    <x v="10"/>
    <x v="124"/>
    <x v="916"/>
  </r>
  <r>
    <x v="11"/>
    <x v="11"/>
    <x v="124"/>
    <x v="1468"/>
  </r>
  <r>
    <x v="109"/>
    <x v="109"/>
    <x v="124"/>
    <x v="1469"/>
  </r>
  <r>
    <x v="28"/>
    <x v="28"/>
    <x v="124"/>
    <x v="698"/>
  </r>
  <r>
    <x v="29"/>
    <x v="29"/>
    <x v="124"/>
    <x v="1378"/>
  </r>
  <r>
    <x v="43"/>
    <x v="43"/>
    <x v="124"/>
    <x v="1470"/>
  </r>
  <r>
    <x v="30"/>
    <x v="30"/>
    <x v="124"/>
    <x v="1471"/>
  </r>
  <r>
    <x v="84"/>
    <x v="84"/>
    <x v="124"/>
    <x v="1280"/>
  </r>
  <r>
    <x v="31"/>
    <x v="31"/>
    <x v="124"/>
    <x v="486"/>
  </r>
  <r>
    <x v="102"/>
    <x v="102"/>
    <x v="124"/>
    <x v="1472"/>
  </r>
  <r>
    <x v="69"/>
    <x v="69"/>
    <x v="124"/>
    <x v="85"/>
  </r>
  <r>
    <x v="46"/>
    <x v="46"/>
    <x v="124"/>
    <x v="82"/>
  </r>
  <r>
    <x v="110"/>
    <x v="110"/>
    <x v="124"/>
    <x v="996"/>
  </r>
  <r>
    <x v="111"/>
    <x v="111"/>
    <x v="124"/>
    <x v="82"/>
  </r>
  <r>
    <x v="78"/>
    <x v="78"/>
    <x v="124"/>
    <x v="62"/>
  </r>
  <r>
    <x v="15"/>
    <x v="15"/>
    <x v="124"/>
    <x v="117"/>
  </r>
  <r>
    <x v="83"/>
    <x v="83"/>
    <x v="124"/>
    <x v="62"/>
  </r>
  <r>
    <x v="16"/>
    <x v="16"/>
    <x v="124"/>
    <x v="98"/>
  </r>
  <r>
    <x v="19"/>
    <x v="19"/>
    <x v="125"/>
    <x v="258"/>
  </r>
  <r>
    <x v="76"/>
    <x v="76"/>
    <x v="125"/>
    <x v="259"/>
  </r>
  <r>
    <x v="2"/>
    <x v="2"/>
    <x v="125"/>
    <x v="81"/>
  </r>
  <r>
    <x v="21"/>
    <x v="21"/>
    <x v="125"/>
    <x v="280"/>
  </r>
  <r>
    <x v="35"/>
    <x v="35"/>
    <x v="125"/>
    <x v="1006"/>
  </r>
  <r>
    <x v="4"/>
    <x v="4"/>
    <x v="125"/>
    <x v="910"/>
  </r>
  <r>
    <x v="23"/>
    <x v="23"/>
    <x v="125"/>
    <x v="305"/>
  </r>
  <r>
    <x v="26"/>
    <x v="26"/>
    <x v="125"/>
    <x v="195"/>
  </r>
  <r>
    <x v="37"/>
    <x v="37"/>
    <x v="125"/>
    <x v="351"/>
  </r>
  <r>
    <x v="8"/>
    <x v="8"/>
    <x v="125"/>
    <x v="736"/>
  </r>
  <r>
    <x v="58"/>
    <x v="58"/>
    <x v="125"/>
    <x v="1473"/>
  </r>
  <r>
    <x v="9"/>
    <x v="9"/>
    <x v="125"/>
    <x v="387"/>
  </r>
  <r>
    <x v="38"/>
    <x v="38"/>
    <x v="125"/>
    <x v="149"/>
  </r>
  <r>
    <x v="10"/>
    <x v="10"/>
    <x v="125"/>
    <x v="1474"/>
  </r>
  <r>
    <x v="11"/>
    <x v="11"/>
    <x v="125"/>
    <x v="1475"/>
  </r>
  <r>
    <x v="29"/>
    <x v="29"/>
    <x v="125"/>
    <x v="656"/>
  </r>
  <r>
    <x v="30"/>
    <x v="30"/>
    <x v="125"/>
    <x v="294"/>
  </r>
  <r>
    <x v="31"/>
    <x v="31"/>
    <x v="125"/>
    <x v="391"/>
  </r>
  <r>
    <x v="51"/>
    <x v="51"/>
    <x v="125"/>
    <x v="96"/>
  </r>
  <r>
    <x v="96"/>
    <x v="96"/>
    <x v="125"/>
    <x v="160"/>
  </r>
  <r>
    <x v="46"/>
    <x v="46"/>
    <x v="125"/>
    <x v="208"/>
  </r>
  <r>
    <x v="110"/>
    <x v="110"/>
    <x v="125"/>
    <x v="83"/>
  </r>
  <r>
    <x v="14"/>
    <x v="14"/>
    <x v="125"/>
    <x v="111"/>
  </r>
  <r>
    <x v="111"/>
    <x v="111"/>
    <x v="125"/>
    <x v="98"/>
  </r>
  <r>
    <x v="78"/>
    <x v="78"/>
    <x v="125"/>
    <x v="40"/>
  </r>
  <r>
    <x v="15"/>
    <x v="15"/>
    <x v="125"/>
    <x v="82"/>
  </r>
  <r>
    <x v="16"/>
    <x v="16"/>
    <x v="125"/>
    <x v="16"/>
  </r>
  <r>
    <x v="2"/>
    <x v="2"/>
    <x v="126"/>
    <x v="416"/>
  </r>
  <r>
    <x v="52"/>
    <x v="52"/>
    <x v="126"/>
    <x v="117"/>
  </r>
  <r>
    <x v="37"/>
    <x v="37"/>
    <x v="126"/>
    <x v="1476"/>
  </r>
  <r>
    <x v="8"/>
    <x v="8"/>
    <x v="126"/>
    <x v="328"/>
  </r>
  <r>
    <x v="10"/>
    <x v="10"/>
    <x v="126"/>
    <x v="729"/>
  </r>
  <r>
    <x v="11"/>
    <x v="11"/>
    <x v="126"/>
    <x v="1477"/>
  </r>
  <r>
    <x v="28"/>
    <x v="28"/>
    <x v="126"/>
    <x v="765"/>
  </r>
  <r>
    <x v="29"/>
    <x v="29"/>
    <x v="126"/>
    <x v="463"/>
  </r>
  <r>
    <x v="30"/>
    <x v="30"/>
    <x v="126"/>
    <x v="586"/>
  </r>
  <r>
    <x v="31"/>
    <x v="31"/>
    <x v="126"/>
    <x v="1478"/>
  </r>
  <r>
    <x v="32"/>
    <x v="32"/>
    <x v="126"/>
    <x v="467"/>
  </r>
  <r>
    <x v="69"/>
    <x v="69"/>
    <x v="126"/>
    <x v="507"/>
  </r>
  <r>
    <x v="13"/>
    <x v="13"/>
    <x v="126"/>
    <x v="62"/>
  </r>
  <r>
    <x v="46"/>
    <x v="46"/>
    <x v="126"/>
    <x v="62"/>
  </r>
  <r>
    <x v="15"/>
    <x v="15"/>
    <x v="126"/>
    <x v="111"/>
  </r>
  <r>
    <x v="2"/>
    <x v="2"/>
    <x v="127"/>
    <x v="231"/>
  </r>
  <r>
    <x v="21"/>
    <x v="21"/>
    <x v="127"/>
    <x v="1479"/>
  </r>
  <r>
    <x v="4"/>
    <x v="4"/>
    <x v="127"/>
    <x v="67"/>
  </r>
  <r>
    <x v="52"/>
    <x v="52"/>
    <x v="127"/>
    <x v="644"/>
  </r>
  <r>
    <x v="5"/>
    <x v="5"/>
    <x v="127"/>
    <x v="904"/>
  </r>
  <r>
    <x v="36"/>
    <x v="36"/>
    <x v="127"/>
    <x v="692"/>
  </r>
  <r>
    <x v="98"/>
    <x v="98"/>
    <x v="127"/>
    <x v="1187"/>
  </r>
  <r>
    <x v="8"/>
    <x v="8"/>
    <x v="127"/>
    <x v="1480"/>
  </r>
  <r>
    <x v="9"/>
    <x v="9"/>
    <x v="127"/>
    <x v="443"/>
  </r>
  <r>
    <x v="38"/>
    <x v="38"/>
    <x v="127"/>
    <x v="591"/>
  </r>
  <r>
    <x v="10"/>
    <x v="10"/>
    <x v="127"/>
    <x v="1481"/>
  </r>
  <r>
    <x v="27"/>
    <x v="27"/>
    <x v="127"/>
    <x v="917"/>
  </r>
  <r>
    <x v="11"/>
    <x v="11"/>
    <x v="127"/>
    <x v="1029"/>
  </r>
  <r>
    <x v="29"/>
    <x v="29"/>
    <x v="127"/>
    <x v="1482"/>
  </r>
  <r>
    <x v="45"/>
    <x v="45"/>
    <x v="127"/>
    <x v="1483"/>
  </r>
  <r>
    <x v="51"/>
    <x v="51"/>
    <x v="127"/>
    <x v="807"/>
  </r>
  <r>
    <x v="46"/>
    <x v="46"/>
    <x v="127"/>
    <x v="98"/>
  </r>
  <r>
    <x v="78"/>
    <x v="78"/>
    <x v="127"/>
    <x v="82"/>
  </r>
  <r>
    <x v="15"/>
    <x v="15"/>
    <x v="127"/>
    <x v="40"/>
  </r>
  <r>
    <x v="16"/>
    <x v="16"/>
    <x v="127"/>
    <x v="40"/>
  </r>
  <r>
    <x v="19"/>
    <x v="19"/>
    <x v="128"/>
    <x v="570"/>
  </r>
  <r>
    <x v="0"/>
    <x v="0"/>
    <x v="128"/>
    <x v="1205"/>
  </r>
  <r>
    <x v="76"/>
    <x v="76"/>
    <x v="128"/>
    <x v="1484"/>
  </r>
  <r>
    <x v="2"/>
    <x v="2"/>
    <x v="128"/>
    <x v="1136"/>
  </r>
  <r>
    <x v="21"/>
    <x v="21"/>
    <x v="128"/>
    <x v="1485"/>
  </r>
  <r>
    <x v="3"/>
    <x v="3"/>
    <x v="128"/>
    <x v="1486"/>
  </r>
  <r>
    <x v="35"/>
    <x v="35"/>
    <x v="128"/>
    <x v="398"/>
  </r>
  <r>
    <x v="4"/>
    <x v="4"/>
    <x v="128"/>
    <x v="1487"/>
  </r>
  <r>
    <x v="87"/>
    <x v="87"/>
    <x v="128"/>
    <x v="904"/>
  </r>
  <r>
    <x v="113"/>
    <x v="113"/>
    <x v="128"/>
    <x v="1488"/>
  </r>
  <r>
    <x v="23"/>
    <x v="23"/>
    <x v="128"/>
    <x v="1489"/>
  </r>
  <r>
    <x v="98"/>
    <x v="98"/>
    <x v="128"/>
    <x v="1490"/>
  </r>
  <r>
    <x v="37"/>
    <x v="37"/>
    <x v="128"/>
    <x v="70"/>
  </r>
  <r>
    <x v="8"/>
    <x v="8"/>
    <x v="128"/>
    <x v="50"/>
  </r>
  <r>
    <x v="9"/>
    <x v="9"/>
    <x v="128"/>
    <x v="218"/>
  </r>
  <r>
    <x v="10"/>
    <x v="10"/>
    <x v="128"/>
    <x v="729"/>
  </r>
  <r>
    <x v="27"/>
    <x v="27"/>
    <x v="128"/>
    <x v="1491"/>
  </r>
  <r>
    <x v="11"/>
    <x v="11"/>
    <x v="128"/>
    <x v="1492"/>
  </r>
  <r>
    <x v="29"/>
    <x v="29"/>
    <x v="128"/>
    <x v="1493"/>
  </r>
  <r>
    <x v="30"/>
    <x v="30"/>
    <x v="128"/>
    <x v="1494"/>
  </r>
  <r>
    <x v="97"/>
    <x v="97"/>
    <x v="128"/>
    <x v="1163"/>
  </r>
  <r>
    <x v="91"/>
    <x v="91"/>
    <x v="128"/>
    <x v="1495"/>
  </r>
  <r>
    <x v="31"/>
    <x v="31"/>
    <x v="128"/>
    <x v="874"/>
  </r>
  <r>
    <x v="73"/>
    <x v="73"/>
    <x v="128"/>
    <x v="1213"/>
  </r>
  <r>
    <x v="102"/>
    <x v="102"/>
    <x v="128"/>
    <x v="1076"/>
  </r>
  <r>
    <x v="51"/>
    <x v="51"/>
    <x v="128"/>
    <x v="807"/>
  </r>
  <r>
    <x v="69"/>
    <x v="69"/>
    <x v="128"/>
    <x v="417"/>
  </r>
  <r>
    <x v="96"/>
    <x v="96"/>
    <x v="128"/>
    <x v="62"/>
  </r>
  <r>
    <x v="46"/>
    <x v="46"/>
    <x v="128"/>
    <x v="14"/>
  </r>
  <r>
    <x v="110"/>
    <x v="110"/>
    <x v="128"/>
    <x v="111"/>
  </r>
  <r>
    <x v="14"/>
    <x v="14"/>
    <x v="128"/>
    <x v="62"/>
  </r>
  <r>
    <x v="111"/>
    <x v="111"/>
    <x v="128"/>
    <x v="16"/>
  </r>
  <r>
    <x v="78"/>
    <x v="78"/>
    <x v="128"/>
    <x v="160"/>
  </r>
  <r>
    <x v="15"/>
    <x v="15"/>
    <x v="128"/>
    <x v="414"/>
  </r>
  <r>
    <x v="19"/>
    <x v="19"/>
    <x v="129"/>
    <x v="1496"/>
  </r>
  <r>
    <x v="76"/>
    <x v="76"/>
    <x v="129"/>
    <x v="1484"/>
  </r>
  <r>
    <x v="2"/>
    <x v="2"/>
    <x v="129"/>
    <x v="219"/>
  </r>
  <r>
    <x v="34"/>
    <x v="34"/>
    <x v="129"/>
    <x v="269"/>
  </r>
  <r>
    <x v="21"/>
    <x v="21"/>
    <x v="129"/>
    <x v="1176"/>
  </r>
  <r>
    <x v="35"/>
    <x v="35"/>
    <x v="129"/>
    <x v="1168"/>
  </r>
  <r>
    <x v="4"/>
    <x v="4"/>
    <x v="129"/>
    <x v="473"/>
  </r>
  <r>
    <x v="55"/>
    <x v="55"/>
    <x v="129"/>
    <x v="544"/>
  </r>
  <r>
    <x v="61"/>
    <x v="61"/>
    <x v="129"/>
    <x v="406"/>
  </r>
  <r>
    <x v="36"/>
    <x v="36"/>
    <x v="129"/>
    <x v="121"/>
  </r>
  <r>
    <x v="62"/>
    <x v="62"/>
    <x v="129"/>
    <x v="1335"/>
  </r>
  <r>
    <x v="8"/>
    <x v="8"/>
    <x v="129"/>
    <x v="799"/>
  </r>
  <r>
    <x v="38"/>
    <x v="38"/>
    <x v="129"/>
    <x v="444"/>
  </r>
  <r>
    <x v="10"/>
    <x v="10"/>
    <x v="129"/>
    <x v="1497"/>
  </r>
  <r>
    <x v="11"/>
    <x v="11"/>
    <x v="129"/>
    <x v="33"/>
  </r>
  <r>
    <x v="28"/>
    <x v="28"/>
    <x v="129"/>
    <x v="292"/>
  </r>
  <r>
    <x v="29"/>
    <x v="29"/>
    <x v="129"/>
    <x v="1498"/>
  </r>
  <r>
    <x v="30"/>
    <x v="30"/>
    <x v="129"/>
    <x v="1499"/>
  </r>
  <r>
    <x v="40"/>
    <x v="40"/>
    <x v="129"/>
    <x v="1500"/>
  </r>
  <r>
    <x v="102"/>
    <x v="102"/>
    <x v="129"/>
    <x v="392"/>
  </r>
  <r>
    <x v="69"/>
    <x v="69"/>
    <x v="129"/>
    <x v="98"/>
  </r>
  <r>
    <x v="46"/>
    <x v="46"/>
    <x v="129"/>
    <x v="62"/>
  </r>
  <r>
    <x v="110"/>
    <x v="110"/>
    <x v="129"/>
    <x v="18"/>
  </r>
  <r>
    <x v="111"/>
    <x v="111"/>
    <x v="129"/>
    <x v="533"/>
  </r>
  <r>
    <x v="15"/>
    <x v="15"/>
    <x v="129"/>
    <x v="230"/>
  </r>
  <r>
    <x v="49"/>
    <x v="49"/>
    <x v="130"/>
    <x v="82"/>
  </r>
  <r>
    <x v="0"/>
    <x v="0"/>
    <x v="130"/>
    <x v="658"/>
  </r>
  <r>
    <x v="76"/>
    <x v="76"/>
    <x v="130"/>
    <x v="588"/>
  </r>
  <r>
    <x v="2"/>
    <x v="2"/>
    <x v="130"/>
    <x v="1005"/>
  </r>
  <r>
    <x v="20"/>
    <x v="20"/>
    <x v="130"/>
    <x v="417"/>
  </r>
  <r>
    <x v="21"/>
    <x v="21"/>
    <x v="130"/>
    <x v="531"/>
  </r>
  <r>
    <x v="101"/>
    <x v="101"/>
    <x v="130"/>
    <x v="1501"/>
  </r>
  <r>
    <x v="35"/>
    <x v="35"/>
    <x v="130"/>
    <x v="1168"/>
  </r>
  <r>
    <x v="4"/>
    <x v="4"/>
    <x v="130"/>
    <x v="589"/>
  </r>
  <r>
    <x v="52"/>
    <x v="52"/>
    <x v="130"/>
    <x v="403"/>
  </r>
  <r>
    <x v="22"/>
    <x v="22"/>
    <x v="130"/>
    <x v="1502"/>
  </r>
  <r>
    <x v="65"/>
    <x v="65"/>
    <x v="130"/>
    <x v="1503"/>
  </r>
  <r>
    <x v="74"/>
    <x v="74"/>
    <x v="130"/>
    <x v="1504"/>
  </r>
  <r>
    <x v="82"/>
    <x v="82"/>
    <x v="130"/>
    <x v="404"/>
  </r>
  <r>
    <x v="63"/>
    <x v="63"/>
    <x v="130"/>
    <x v="146"/>
  </r>
  <r>
    <x v="8"/>
    <x v="8"/>
    <x v="130"/>
    <x v="736"/>
  </r>
  <r>
    <x v="9"/>
    <x v="9"/>
    <x v="130"/>
    <x v="179"/>
  </r>
  <r>
    <x v="68"/>
    <x v="68"/>
    <x v="130"/>
    <x v="1505"/>
  </r>
  <r>
    <x v="10"/>
    <x v="10"/>
    <x v="130"/>
    <x v="1196"/>
  </r>
  <r>
    <x v="103"/>
    <x v="103"/>
    <x v="130"/>
    <x v="1506"/>
  </r>
  <r>
    <x v="11"/>
    <x v="11"/>
    <x v="130"/>
    <x v="1507"/>
  </r>
  <r>
    <x v="53"/>
    <x v="53"/>
    <x v="130"/>
    <x v="1508"/>
  </r>
  <r>
    <x v="28"/>
    <x v="28"/>
    <x v="130"/>
    <x v="333"/>
  </r>
  <r>
    <x v="29"/>
    <x v="29"/>
    <x v="130"/>
    <x v="784"/>
  </r>
  <r>
    <x v="73"/>
    <x v="73"/>
    <x v="130"/>
    <x v="1509"/>
  </r>
  <r>
    <x v="102"/>
    <x v="102"/>
    <x v="130"/>
    <x v="243"/>
  </r>
  <r>
    <x v="96"/>
    <x v="96"/>
    <x v="130"/>
    <x v="300"/>
  </r>
  <r>
    <x v="46"/>
    <x v="46"/>
    <x v="130"/>
    <x v="507"/>
  </r>
  <r>
    <x v="111"/>
    <x v="111"/>
    <x v="130"/>
    <x v="160"/>
  </r>
  <r>
    <x v="15"/>
    <x v="15"/>
    <x v="130"/>
    <x v="63"/>
  </r>
  <r>
    <x v="83"/>
    <x v="83"/>
    <x v="130"/>
    <x v="82"/>
  </r>
  <r>
    <x v="17"/>
    <x v="17"/>
    <x v="130"/>
    <x v="63"/>
  </r>
  <r>
    <x v="76"/>
    <x v="76"/>
    <x v="131"/>
    <x v="634"/>
  </r>
  <r>
    <x v="2"/>
    <x v="2"/>
    <x v="131"/>
    <x v="1005"/>
  </r>
  <r>
    <x v="20"/>
    <x v="20"/>
    <x v="131"/>
    <x v="63"/>
  </r>
  <r>
    <x v="21"/>
    <x v="21"/>
    <x v="131"/>
    <x v="321"/>
  </r>
  <r>
    <x v="3"/>
    <x v="3"/>
    <x v="131"/>
    <x v="1510"/>
  </r>
  <r>
    <x v="4"/>
    <x v="4"/>
    <x v="131"/>
    <x v="910"/>
  </r>
  <r>
    <x v="52"/>
    <x v="52"/>
    <x v="131"/>
    <x v="1511"/>
  </r>
  <r>
    <x v="23"/>
    <x v="23"/>
    <x v="131"/>
    <x v="365"/>
  </r>
  <r>
    <x v="26"/>
    <x v="26"/>
    <x v="131"/>
    <x v="1512"/>
  </r>
  <r>
    <x v="100"/>
    <x v="100"/>
    <x v="131"/>
    <x v="321"/>
  </r>
  <r>
    <x v="92"/>
    <x v="92"/>
    <x v="131"/>
    <x v="1379"/>
  </r>
  <r>
    <x v="82"/>
    <x v="82"/>
    <x v="131"/>
    <x v="1319"/>
  </r>
  <r>
    <x v="6"/>
    <x v="6"/>
    <x v="131"/>
    <x v="1276"/>
  </r>
  <r>
    <x v="8"/>
    <x v="8"/>
    <x v="131"/>
    <x v="693"/>
  </r>
  <r>
    <x v="9"/>
    <x v="9"/>
    <x v="131"/>
    <x v="218"/>
  </r>
  <r>
    <x v="38"/>
    <x v="38"/>
    <x v="131"/>
    <x v="591"/>
  </r>
  <r>
    <x v="10"/>
    <x v="10"/>
    <x v="131"/>
    <x v="1474"/>
  </r>
  <r>
    <x v="27"/>
    <x v="27"/>
    <x v="131"/>
    <x v="1513"/>
  </r>
  <r>
    <x v="11"/>
    <x v="11"/>
    <x v="131"/>
    <x v="1514"/>
  </r>
  <r>
    <x v="28"/>
    <x v="28"/>
    <x v="131"/>
    <x v="513"/>
  </r>
  <r>
    <x v="29"/>
    <x v="29"/>
    <x v="131"/>
    <x v="254"/>
  </r>
  <r>
    <x v="30"/>
    <x v="30"/>
    <x v="131"/>
    <x v="464"/>
  </r>
  <r>
    <x v="96"/>
    <x v="96"/>
    <x v="131"/>
    <x v="230"/>
  </r>
  <r>
    <x v="46"/>
    <x v="46"/>
    <x v="131"/>
    <x v="111"/>
  </r>
  <r>
    <x v="110"/>
    <x v="110"/>
    <x v="131"/>
    <x v="82"/>
  </r>
  <r>
    <x v="111"/>
    <x v="111"/>
    <x v="131"/>
    <x v="82"/>
  </r>
  <r>
    <x v="78"/>
    <x v="78"/>
    <x v="131"/>
    <x v="82"/>
  </r>
  <r>
    <x v="15"/>
    <x v="15"/>
    <x v="131"/>
    <x v="14"/>
  </r>
  <r>
    <x v="48"/>
    <x v="48"/>
    <x v="132"/>
    <x v="18"/>
  </r>
  <r>
    <x v="0"/>
    <x v="0"/>
    <x v="132"/>
    <x v="578"/>
  </r>
  <r>
    <x v="2"/>
    <x v="2"/>
    <x v="132"/>
    <x v="535"/>
  </r>
  <r>
    <x v="4"/>
    <x v="4"/>
    <x v="132"/>
    <x v="454"/>
  </r>
  <r>
    <x v="23"/>
    <x v="23"/>
    <x v="132"/>
    <x v="439"/>
  </r>
  <r>
    <x v="55"/>
    <x v="55"/>
    <x v="132"/>
    <x v="324"/>
  </r>
  <r>
    <x v="24"/>
    <x v="24"/>
    <x v="132"/>
    <x v="1515"/>
  </r>
  <r>
    <x v="26"/>
    <x v="26"/>
    <x v="132"/>
    <x v="932"/>
  </r>
  <r>
    <x v="36"/>
    <x v="36"/>
    <x v="132"/>
    <x v="284"/>
  </r>
  <r>
    <x v="37"/>
    <x v="37"/>
    <x v="132"/>
    <x v="511"/>
  </r>
  <r>
    <x v="8"/>
    <x v="8"/>
    <x v="132"/>
    <x v="524"/>
  </r>
  <r>
    <x v="9"/>
    <x v="9"/>
    <x v="132"/>
    <x v="9"/>
  </r>
  <r>
    <x v="10"/>
    <x v="10"/>
    <x v="132"/>
    <x v="1516"/>
  </r>
  <r>
    <x v="11"/>
    <x v="11"/>
    <x v="132"/>
    <x v="782"/>
  </r>
  <r>
    <x v="28"/>
    <x v="28"/>
    <x v="132"/>
    <x v="292"/>
  </r>
  <r>
    <x v="29"/>
    <x v="29"/>
    <x v="132"/>
    <x v="887"/>
  </r>
  <r>
    <x v="30"/>
    <x v="30"/>
    <x v="132"/>
    <x v="158"/>
  </r>
  <r>
    <x v="31"/>
    <x v="31"/>
    <x v="132"/>
    <x v="228"/>
  </r>
  <r>
    <x v="64"/>
    <x v="64"/>
    <x v="132"/>
    <x v="1517"/>
  </r>
  <r>
    <x v="32"/>
    <x v="32"/>
    <x v="132"/>
    <x v="38"/>
  </r>
  <r>
    <x v="51"/>
    <x v="51"/>
    <x v="132"/>
    <x v="96"/>
  </r>
  <r>
    <x v="69"/>
    <x v="69"/>
    <x v="132"/>
    <x v="209"/>
  </r>
  <r>
    <x v="46"/>
    <x v="46"/>
    <x v="132"/>
    <x v="82"/>
  </r>
  <r>
    <x v="110"/>
    <x v="110"/>
    <x v="132"/>
    <x v="111"/>
  </r>
  <r>
    <x v="15"/>
    <x v="15"/>
    <x v="132"/>
    <x v="160"/>
  </r>
  <r>
    <x v="83"/>
    <x v="83"/>
    <x v="132"/>
    <x v="40"/>
  </r>
  <r>
    <x v="18"/>
    <x v="18"/>
    <x v="133"/>
    <x v="245"/>
  </r>
  <r>
    <x v="0"/>
    <x v="0"/>
    <x v="133"/>
    <x v="1518"/>
  </r>
  <r>
    <x v="76"/>
    <x v="76"/>
    <x v="133"/>
    <x v="301"/>
  </r>
  <r>
    <x v="2"/>
    <x v="2"/>
    <x v="133"/>
    <x v="1519"/>
  </r>
  <r>
    <x v="20"/>
    <x v="20"/>
    <x v="133"/>
    <x v="518"/>
  </r>
  <r>
    <x v="34"/>
    <x v="34"/>
    <x v="133"/>
    <x v="100"/>
  </r>
  <r>
    <x v="21"/>
    <x v="21"/>
    <x v="133"/>
    <x v="617"/>
  </r>
  <r>
    <x v="101"/>
    <x v="101"/>
    <x v="133"/>
    <x v="839"/>
  </r>
  <r>
    <x v="35"/>
    <x v="35"/>
    <x v="133"/>
    <x v="1520"/>
  </r>
  <r>
    <x v="4"/>
    <x v="4"/>
    <x v="133"/>
    <x v="791"/>
  </r>
  <r>
    <x v="23"/>
    <x v="23"/>
    <x v="133"/>
    <x v="1375"/>
  </r>
  <r>
    <x v="56"/>
    <x v="56"/>
    <x v="133"/>
    <x v="1111"/>
  </r>
  <r>
    <x v="26"/>
    <x v="26"/>
    <x v="133"/>
    <x v="325"/>
  </r>
  <r>
    <x v="36"/>
    <x v="36"/>
    <x v="133"/>
    <x v="692"/>
  </r>
  <r>
    <x v="7"/>
    <x v="7"/>
    <x v="133"/>
    <x v="7"/>
  </r>
  <r>
    <x v="37"/>
    <x v="37"/>
    <x v="133"/>
    <x v="70"/>
  </r>
  <r>
    <x v="8"/>
    <x v="8"/>
    <x v="133"/>
    <x v="551"/>
  </r>
  <r>
    <x v="9"/>
    <x v="9"/>
    <x v="133"/>
    <x v="218"/>
  </r>
  <r>
    <x v="38"/>
    <x v="38"/>
    <x v="133"/>
    <x v="1521"/>
  </r>
  <r>
    <x v="10"/>
    <x v="10"/>
    <x v="133"/>
    <x v="1522"/>
  </r>
  <r>
    <x v="11"/>
    <x v="11"/>
    <x v="133"/>
    <x v="125"/>
  </r>
  <r>
    <x v="28"/>
    <x v="28"/>
    <x v="133"/>
    <x v="1523"/>
  </r>
  <r>
    <x v="12"/>
    <x v="12"/>
    <x v="133"/>
    <x v="483"/>
  </r>
  <r>
    <x v="39"/>
    <x v="39"/>
    <x v="133"/>
    <x v="226"/>
  </r>
  <r>
    <x v="29"/>
    <x v="29"/>
    <x v="133"/>
    <x v="907"/>
  </r>
  <r>
    <x v="30"/>
    <x v="30"/>
    <x v="133"/>
    <x v="161"/>
  </r>
  <r>
    <x v="97"/>
    <x v="97"/>
    <x v="133"/>
    <x v="1524"/>
  </r>
  <r>
    <x v="31"/>
    <x v="31"/>
    <x v="133"/>
    <x v="1525"/>
  </r>
  <r>
    <x v="32"/>
    <x v="32"/>
    <x v="133"/>
    <x v="297"/>
  </r>
  <r>
    <x v="69"/>
    <x v="69"/>
    <x v="133"/>
    <x v="17"/>
  </r>
  <r>
    <x v="96"/>
    <x v="96"/>
    <x v="133"/>
    <x v="13"/>
  </r>
  <r>
    <x v="46"/>
    <x v="46"/>
    <x v="133"/>
    <x v="1526"/>
  </r>
  <r>
    <x v="110"/>
    <x v="110"/>
    <x v="133"/>
    <x v="98"/>
  </r>
  <r>
    <x v="111"/>
    <x v="111"/>
    <x v="133"/>
    <x v="117"/>
  </r>
  <r>
    <x v="78"/>
    <x v="78"/>
    <x v="133"/>
    <x v="62"/>
  </r>
  <r>
    <x v="15"/>
    <x v="15"/>
    <x v="133"/>
    <x v="1076"/>
  </r>
  <r>
    <x v="16"/>
    <x v="16"/>
    <x v="133"/>
    <x v="1527"/>
  </r>
  <r>
    <x v="17"/>
    <x v="17"/>
    <x v="133"/>
    <x v="796"/>
  </r>
  <r>
    <x v="19"/>
    <x v="19"/>
    <x v="134"/>
    <x v="645"/>
  </r>
  <r>
    <x v="0"/>
    <x v="0"/>
    <x v="134"/>
    <x v="404"/>
  </r>
  <r>
    <x v="1"/>
    <x v="1"/>
    <x v="134"/>
    <x v="1528"/>
  </r>
  <r>
    <x v="76"/>
    <x v="76"/>
    <x v="134"/>
    <x v="1529"/>
  </r>
  <r>
    <x v="2"/>
    <x v="2"/>
    <x v="134"/>
    <x v="1530"/>
  </r>
  <r>
    <x v="34"/>
    <x v="34"/>
    <x v="134"/>
    <x v="1300"/>
  </r>
  <r>
    <x v="4"/>
    <x v="4"/>
    <x v="134"/>
    <x v="1531"/>
  </r>
  <r>
    <x v="5"/>
    <x v="5"/>
    <x v="134"/>
    <x v="347"/>
  </r>
  <r>
    <x v="113"/>
    <x v="113"/>
    <x v="134"/>
    <x v="1532"/>
  </r>
  <r>
    <x v="23"/>
    <x v="23"/>
    <x v="134"/>
    <x v="619"/>
  </r>
  <r>
    <x v="24"/>
    <x v="24"/>
    <x v="134"/>
    <x v="27"/>
  </r>
  <r>
    <x v="37"/>
    <x v="37"/>
    <x v="134"/>
    <x v="91"/>
  </r>
  <r>
    <x v="8"/>
    <x v="8"/>
    <x v="134"/>
    <x v="407"/>
  </r>
  <r>
    <x v="9"/>
    <x v="9"/>
    <x v="134"/>
    <x v="36"/>
  </r>
  <r>
    <x v="68"/>
    <x v="68"/>
    <x v="134"/>
    <x v="219"/>
  </r>
  <r>
    <x v="10"/>
    <x v="10"/>
    <x v="134"/>
    <x v="1203"/>
  </r>
  <r>
    <x v="11"/>
    <x v="11"/>
    <x v="134"/>
    <x v="1051"/>
  </r>
  <r>
    <x v="12"/>
    <x v="12"/>
    <x v="134"/>
    <x v="55"/>
  </r>
  <r>
    <x v="29"/>
    <x v="29"/>
    <x v="134"/>
    <x v="35"/>
  </r>
  <r>
    <x v="30"/>
    <x v="30"/>
    <x v="134"/>
    <x v="1533"/>
  </r>
  <r>
    <x v="32"/>
    <x v="32"/>
    <x v="134"/>
    <x v="38"/>
  </r>
  <r>
    <x v="51"/>
    <x v="51"/>
    <x v="134"/>
    <x v="807"/>
  </r>
  <r>
    <x v="69"/>
    <x v="69"/>
    <x v="134"/>
    <x v="111"/>
  </r>
  <r>
    <x v="96"/>
    <x v="96"/>
    <x v="134"/>
    <x v="82"/>
  </r>
  <r>
    <x v="46"/>
    <x v="46"/>
    <x v="134"/>
    <x v="14"/>
  </r>
  <r>
    <x v="110"/>
    <x v="110"/>
    <x v="134"/>
    <x v="111"/>
  </r>
  <r>
    <x v="78"/>
    <x v="78"/>
    <x v="134"/>
    <x v="98"/>
  </r>
  <r>
    <x v="15"/>
    <x v="15"/>
    <x v="134"/>
    <x v="500"/>
  </r>
  <r>
    <x v="16"/>
    <x v="16"/>
    <x v="134"/>
    <x v="996"/>
  </r>
  <r>
    <x v="0"/>
    <x v="0"/>
    <x v="135"/>
    <x v="1534"/>
  </r>
  <r>
    <x v="76"/>
    <x v="76"/>
    <x v="135"/>
    <x v="1484"/>
  </r>
  <r>
    <x v="2"/>
    <x v="2"/>
    <x v="135"/>
    <x v="1535"/>
  </r>
  <r>
    <x v="20"/>
    <x v="20"/>
    <x v="135"/>
    <x v="22"/>
  </r>
  <r>
    <x v="34"/>
    <x v="34"/>
    <x v="135"/>
    <x v="536"/>
  </r>
  <r>
    <x v="21"/>
    <x v="21"/>
    <x v="135"/>
    <x v="1536"/>
  </r>
  <r>
    <x v="3"/>
    <x v="3"/>
    <x v="135"/>
    <x v="741"/>
  </r>
  <r>
    <x v="4"/>
    <x v="4"/>
    <x v="135"/>
    <x v="1537"/>
  </r>
  <r>
    <x v="22"/>
    <x v="22"/>
    <x v="135"/>
    <x v="25"/>
  </r>
  <r>
    <x v="26"/>
    <x v="26"/>
    <x v="135"/>
    <x v="494"/>
  </r>
  <r>
    <x v="37"/>
    <x v="37"/>
    <x v="135"/>
    <x v="1016"/>
  </r>
  <r>
    <x v="8"/>
    <x v="8"/>
    <x v="135"/>
    <x v="746"/>
  </r>
  <r>
    <x v="9"/>
    <x v="9"/>
    <x v="135"/>
    <x v="218"/>
  </r>
  <r>
    <x v="38"/>
    <x v="38"/>
    <x v="135"/>
    <x v="1146"/>
  </r>
  <r>
    <x v="10"/>
    <x v="10"/>
    <x v="135"/>
    <x v="1538"/>
  </r>
  <r>
    <x v="27"/>
    <x v="27"/>
    <x v="135"/>
    <x v="822"/>
  </r>
  <r>
    <x v="11"/>
    <x v="11"/>
    <x v="135"/>
    <x v="1259"/>
  </r>
  <r>
    <x v="12"/>
    <x v="12"/>
    <x v="135"/>
    <x v="1539"/>
  </r>
  <r>
    <x v="29"/>
    <x v="29"/>
    <x v="135"/>
    <x v="1212"/>
  </r>
  <r>
    <x v="96"/>
    <x v="96"/>
    <x v="135"/>
    <x v="160"/>
  </r>
  <r>
    <x v="46"/>
    <x v="46"/>
    <x v="135"/>
    <x v="717"/>
  </r>
  <r>
    <x v="110"/>
    <x v="110"/>
    <x v="135"/>
    <x v="111"/>
  </r>
  <r>
    <x v="15"/>
    <x v="15"/>
    <x v="135"/>
    <x v="63"/>
  </r>
  <r>
    <x v="83"/>
    <x v="83"/>
    <x v="135"/>
    <x v="62"/>
  </r>
  <r>
    <x v="76"/>
    <x v="76"/>
    <x v="136"/>
    <x v="301"/>
  </r>
  <r>
    <x v="2"/>
    <x v="2"/>
    <x v="136"/>
    <x v="416"/>
  </r>
  <r>
    <x v="21"/>
    <x v="21"/>
    <x v="136"/>
    <x v="232"/>
  </r>
  <r>
    <x v="101"/>
    <x v="101"/>
    <x v="136"/>
    <x v="993"/>
  </r>
  <r>
    <x v="4"/>
    <x v="4"/>
    <x v="136"/>
    <x v="1357"/>
  </r>
  <r>
    <x v="55"/>
    <x v="55"/>
    <x v="136"/>
    <x v="1540"/>
  </r>
  <r>
    <x v="26"/>
    <x v="26"/>
    <x v="136"/>
    <x v="89"/>
  </r>
  <r>
    <x v="36"/>
    <x v="36"/>
    <x v="136"/>
    <x v="1541"/>
  </r>
  <r>
    <x v="98"/>
    <x v="98"/>
    <x v="136"/>
    <x v="615"/>
  </r>
  <r>
    <x v="37"/>
    <x v="37"/>
    <x v="136"/>
    <x v="70"/>
  </r>
  <r>
    <x v="8"/>
    <x v="8"/>
    <x v="136"/>
    <x v="524"/>
  </r>
  <r>
    <x v="9"/>
    <x v="9"/>
    <x v="136"/>
    <x v="289"/>
  </r>
  <r>
    <x v="10"/>
    <x v="10"/>
    <x v="136"/>
    <x v="841"/>
  </r>
  <r>
    <x v="11"/>
    <x v="11"/>
    <x v="136"/>
    <x v="73"/>
  </r>
  <r>
    <x v="29"/>
    <x v="29"/>
    <x v="136"/>
    <x v="784"/>
  </r>
  <r>
    <x v="30"/>
    <x v="30"/>
    <x v="136"/>
    <x v="901"/>
  </r>
  <r>
    <x v="102"/>
    <x v="102"/>
    <x v="136"/>
    <x v="1472"/>
  </r>
  <r>
    <x v="51"/>
    <x v="51"/>
    <x v="136"/>
    <x v="96"/>
  </r>
  <r>
    <x v="46"/>
    <x v="46"/>
    <x v="136"/>
    <x v="507"/>
  </r>
  <r>
    <x v="111"/>
    <x v="111"/>
    <x v="136"/>
    <x v="160"/>
  </r>
  <r>
    <x v="15"/>
    <x v="15"/>
    <x v="136"/>
    <x v="160"/>
  </r>
  <r>
    <x v="2"/>
    <x v="2"/>
    <x v="137"/>
    <x v="508"/>
  </r>
  <r>
    <x v="34"/>
    <x v="34"/>
    <x v="137"/>
    <x v="167"/>
  </r>
  <r>
    <x v="21"/>
    <x v="21"/>
    <x v="137"/>
    <x v="114"/>
  </r>
  <r>
    <x v="3"/>
    <x v="3"/>
    <x v="137"/>
    <x v="44"/>
  </r>
  <r>
    <x v="101"/>
    <x v="101"/>
    <x v="137"/>
    <x v="1542"/>
  </r>
  <r>
    <x v="4"/>
    <x v="4"/>
    <x v="137"/>
    <x v="733"/>
  </r>
  <r>
    <x v="5"/>
    <x v="5"/>
    <x v="137"/>
    <x v="1543"/>
  </r>
  <r>
    <x v="36"/>
    <x v="36"/>
    <x v="137"/>
    <x v="708"/>
  </r>
  <r>
    <x v="8"/>
    <x v="8"/>
    <x v="137"/>
    <x v="288"/>
  </r>
  <r>
    <x v="9"/>
    <x v="9"/>
    <x v="137"/>
    <x v="387"/>
  </r>
  <r>
    <x v="68"/>
    <x v="68"/>
    <x v="137"/>
    <x v="1505"/>
  </r>
  <r>
    <x v="38"/>
    <x v="38"/>
    <x v="137"/>
    <x v="1146"/>
  </r>
  <r>
    <x v="10"/>
    <x v="10"/>
    <x v="137"/>
    <x v="1220"/>
  </r>
  <r>
    <x v="11"/>
    <x v="11"/>
    <x v="137"/>
    <x v="1345"/>
  </r>
  <r>
    <x v="12"/>
    <x v="12"/>
    <x v="137"/>
    <x v="12"/>
  </r>
  <r>
    <x v="29"/>
    <x v="29"/>
    <x v="137"/>
    <x v="357"/>
  </r>
  <r>
    <x v="111"/>
    <x v="111"/>
    <x v="137"/>
    <x v="161"/>
  </r>
  <r>
    <x v="15"/>
    <x v="15"/>
    <x v="137"/>
    <x v="985"/>
  </r>
  <r>
    <x v="16"/>
    <x v="16"/>
    <x v="137"/>
    <x v="40"/>
  </r>
  <r>
    <x v="19"/>
    <x v="19"/>
    <x v="138"/>
    <x v="19"/>
  </r>
  <r>
    <x v="0"/>
    <x v="0"/>
    <x v="138"/>
    <x v="1544"/>
  </r>
  <r>
    <x v="76"/>
    <x v="76"/>
    <x v="138"/>
    <x v="1026"/>
  </r>
  <r>
    <x v="2"/>
    <x v="2"/>
    <x v="138"/>
    <x v="535"/>
  </r>
  <r>
    <x v="21"/>
    <x v="21"/>
    <x v="138"/>
    <x v="451"/>
  </r>
  <r>
    <x v="4"/>
    <x v="4"/>
    <x v="138"/>
    <x v="1190"/>
  </r>
  <r>
    <x v="5"/>
    <x v="5"/>
    <x v="138"/>
    <x v="1545"/>
  </r>
  <r>
    <x v="23"/>
    <x v="23"/>
    <x v="138"/>
    <x v="118"/>
  </r>
  <r>
    <x v="26"/>
    <x v="26"/>
    <x v="138"/>
    <x v="864"/>
  </r>
  <r>
    <x v="8"/>
    <x v="8"/>
    <x v="138"/>
    <x v="896"/>
  </r>
  <r>
    <x v="9"/>
    <x v="9"/>
    <x v="138"/>
    <x v="1546"/>
  </r>
  <r>
    <x v="38"/>
    <x v="38"/>
    <x v="138"/>
    <x v="945"/>
  </r>
  <r>
    <x v="10"/>
    <x v="10"/>
    <x v="138"/>
    <x v="884"/>
  </r>
  <r>
    <x v="11"/>
    <x v="11"/>
    <x v="138"/>
    <x v="1547"/>
  </r>
  <r>
    <x v="12"/>
    <x v="12"/>
    <x v="138"/>
    <x v="1548"/>
  </r>
  <r>
    <x v="29"/>
    <x v="29"/>
    <x v="138"/>
    <x v="1549"/>
  </r>
  <r>
    <x v="30"/>
    <x v="30"/>
    <x v="138"/>
    <x v="161"/>
  </r>
  <r>
    <x v="31"/>
    <x v="31"/>
    <x v="138"/>
    <x v="1550"/>
  </r>
  <r>
    <x v="64"/>
    <x v="64"/>
    <x v="138"/>
    <x v="466"/>
  </r>
  <r>
    <x v="73"/>
    <x v="73"/>
    <x v="138"/>
    <x v="891"/>
  </r>
  <r>
    <x v="69"/>
    <x v="69"/>
    <x v="138"/>
    <x v="209"/>
  </r>
  <r>
    <x v="96"/>
    <x v="96"/>
    <x v="138"/>
    <x v="16"/>
  </r>
  <r>
    <x v="46"/>
    <x v="46"/>
    <x v="138"/>
    <x v="1551"/>
  </r>
  <r>
    <x v="14"/>
    <x v="14"/>
    <x v="138"/>
    <x v="5"/>
  </r>
  <r>
    <x v="111"/>
    <x v="111"/>
    <x v="138"/>
    <x v="18"/>
  </r>
  <r>
    <x v="15"/>
    <x v="15"/>
    <x v="138"/>
    <x v="16"/>
  </r>
  <r>
    <x v="16"/>
    <x v="16"/>
    <x v="138"/>
    <x v="40"/>
  </r>
  <r>
    <x v="17"/>
    <x v="17"/>
    <x v="138"/>
    <x v="1552"/>
  </r>
  <r>
    <x v="19"/>
    <x v="19"/>
    <x v="139"/>
    <x v="1350"/>
  </r>
  <r>
    <x v="76"/>
    <x v="76"/>
    <x v="139"/>
    <x v="1553"/>
  </r>
  <r>
    <x v="2"/>
    <x v="2"/>
    <x v="139"/>
    <x v="21"/>
  </r>
  <r>
    <x v="21"/>
    <x v="21"/>
    <x v="139"/>
    <x v="1554"/>
  </r>
  <r>
    <x v="3"/>
    <x v="3"/>
    <x v="139"/>
    <x v="1555"/>
  </r>
  <r>
    <x v="4"/>
    <x v="4"/>
    <x v="139"/>
    <x v="281"/>
  </r>
  <r>
    <x v="52"/>
    <x v="52"/>
    <x v="139"/>
    <x v="403"/>
  </r>
  <r>
    <x v="22"/>
    <x v="22"/>
    <x v="139"/>
    <x v="792"/>
  </r>
  <r>
    <x v="113"/>
    <x v="113"/>
    <x v="139"/>
    <x v="1556"/>
  </r>
  <r>
    <x v="55"/>
    <x v="55"/>
    <x v="139"/>
    <x v="349"/>
  </r>
  <r>
    <x v="70"/>
    <x v="70"/>
    <x v="139"/>
    <x v="691"/>
  </r>
  <r>
    <x v="56"/>
    <x v="56"/>
    <x v="139"/>
    <x v="1557"/>
  </r>
  <r>
    <x v="26"/>
    <x v="26"/>
    <x v="139"/>
    <x v="1064"/>
  </r>
  <r>
    <x v="36"/>
    <x v="36"/>
    <x v="139"/>
    <x v="284"/>
  </r>
  <r>
    <x v="57"/>
    <x v="57"/>
    <x v="139"/>
    <x v="792"/>
  </r>
  <r>
    <x v="92"/>
    <x v="92"/>
    <x v="139"/>
    <x v="607"/>
  </r>
  <r>
    <x v="77"/>
    <x v="77"/>
    <x v="139"/>
    <x v="435"/>
  </r>
  <r>
    <x v="62"/>
    <x v="62"/>
    <x v="139"/>
    <x v="965"/>
  </r>
  <r>
    <x v="37"/>
    <x v="37"/>
    <x v="139"/>
    <x v="91"/>
  </r>
  <r>
    <x v="8"/>
    <x v="8"/>
    <x v="139"/>
    <x v="581"/>
  </r>
  <r>
    <x v="9"/>
    <x v="9"/>
    <x v="139"/>
    <x v="1558"/>
  </r>
  <r>
    <x v="38"/>
    <x v="38"/>
    <x v="139"/>
    <x v="723"/>
  </r>
  <r>
    <x v="10"/>
    <x v="10"/>
    <x v="139"/>
    <x v="1559"/>
  </r>
  <r>
    <x v="11"/>
    <x v="11"/>
    <x v="139"/>
    <x v="1560"/>
  </r>
  <r>
    <x v="109"/>
    <x v="109"/>
    <x v="139"/>
    <x v="1561"/>
  </r>
  <r>
    <x v="28"/>
    <x v="28"/>
    <x v="139"/>
    <x v="1562"/>
  </r>
  <r>
    <x v="90"/>
    <x v="90"/>
    <x v="139"/>
    <x v="1563"/>
  </r>
  <r>
    <x v="12"/>
    <x v="12"/>
    <x v="139"/>
    <x v="1308"/>
  </r>
  <r>
    <x v="29"/>
    <x v="29"/>
    <x v="139"/>
    <x v="804"/>
  </r>
  <r>
    <x v="30"/>
    <x v="30"/>
    <x v="139"/>
    <x v="1416"/>
  </r>
  <r>
    <x v="112"/>
    <x v="112"/>
    <x v="139"/>
    <x v="1099"/>
  </r>
  <r>
    <x v="97"/>
    <x v="97"/>
    <x v="139"/>
    <x v="607"/>
  </r>
  <r>
    <x v="32"/>
    <x v="32"/>
    <x v="139"/>
    <x v="1564"/>
  </r>
  <r>
    <x v="102"/>
    <x v="102"/>
    <x v="139"/>
    <x v="77"/>
  </r>
  <r>
    <x v="51"/>
    <x v="51"/>
    <x v="139"/>
    <x v="96"/>
  </r>
  <r>
    <x v="96"/>
    <x v="96"/>
    <x v="139"/>
    <x v="82"/>
  </r>
  <r>
    <x v="46"/>
    <x v="46"/>
    <x v="139"/>
    <x v="1464"/>
  </r>
  <r>
    <x v="14"/>
    <x v="14"/>
    <x v="139"/>
    <x v="16"/>
  </r>
  <r>
    <x v="111"/>
    <x v="111"/>
    <x v="139"/>
    <x v="218"/>
  </r>
  <r>
    <x v="15"/>
    <x v="15"/>
    <x v="139"/>
    <x v="18"/>
  </r>
  <r>
    <x v="83"/>
    <x v="83"/>
    <x v="139"/>
    <x v="111"/>
  </r>
  <r>
    <x v="16"/>
    <x v="16"/>
    <x v="139"/>
    <x v="160"/>
  </r>
  <r>
    <x v="17"/>
    <x v="17"/>
    <x v="139"/>
    <x v="1565"/>
  </r>
  <r>
    <x v="0"/>
    <x v="0"/>
    <x v="140"/>
    <x v="516"/>
  </r>
  <r>
    <x v="76"/>
    <x v="76"/>
    <x v="140"/>
    <x v="1198"/>
  </r>
  <r>
    <x v="2"/>
    <x v="2"/>
    <x v="140"/>
    <x v="471"/>
  </r>
  <r>
    <x v="34"/>
    <x v="34"/>
    <x v="140"/>
    <x v="1566"/>
  </r>
  <r>
    <x v="21"/>
    <x v="21"/>
    <x v="140"/>
    <x v="1234"/>
  </r>
  <r>
    <x v="3"/>
    <x v="3"/>
    <x v="140"/>
    <x v="563"/>
  </r>
  <r>
    <x v="35"/>
    <x v="35"/>
    <x v="140"/>
    <x v="1567"/>
  </r>
  <r>
    <x v="4"/>
    <x v="4"/>
    <x v="140"/>
    <x v="473"/>
  </r>
  <r>
    <x v="5"/>
    <x v="5"/>
    <x v="140"/>
    <x v="743"/>
  </r>
  <r>
    <x v="23"/>
    <x v="23"/>
    <x v="140"/>
    <x v="744"/>
  </r>
  <r>
    <x v="55"/>
    <x v="55"/>
    <x v="140"/>
    <x v="1568"/>
  </r>
  <r>
    <x v="99"/>
    <x v="99"/>
    <x v="140"/>
    <x v="369"/>
  </r>
  <r>
    <x v="36"/>
    <x v="36"/>
    <x v="140"/>
    <x v="1569"/>
  </r>
  <r>
    <x v="8"/>
    <x v="8"/>
    <x v="140"/>
    <x v="896"/>
  </r>
  <r>
    <x v="9"/>
    <x v="9"/>
    <x v="140"/>
    <x v="850"/>
  </r>
  <r>
    <x v="10"/>
    <x v="10"/>
    <x v="140"/>
    <x v="1570"/>
  </r>
  <r>
    <x v="103"/>
    <x v="103"/>
    <x v="140"/>
    <x v="430"/>
  </r>
  <r>
    <x v="11"/>
    <x v="11"/>
    <x v="140"/>
    <x v="1571"/>
  </r>
  <r>
    <x v="28"/>
    <x v="28"/>
    <x v="140"/>
    <x v="886"/>
  </r>
  <r>
    <x v="12"/>
    <x v="12"/>
    <x v="140"/>
    <x v="1572"/>
  </r>
  <r>
    <x v="43"/>
    <x v="43"/>
    <x v="140"/>
    <x v="1573"/>
  </r>
  <r>
    <x v="30"/>
    <x v="30"/>
    <x v="140"/>
    <x v="161"/>
  </r>
  <r>
    <x v="40"/>
    <x v="40"/>
    <x v="140"/>
    <x v="1574"/>
  </r>
  <r>
    <x v="31"/>
    <x v="31"/>
    <x v="140"/>
    <x v="1261"/>
  </r>
  <r>
    <x v="46"/>
    <x v="46"/>
    <x v="140"/>
    <x v="85"/>
  </r>
  <r>
    <x v="14"/>
    <x v="14"/>
    <x v="140"/>
    <x v="160"/>
  </r>
  <r>
    <x v="78"/>
    <x v="78"/>
    <x v="140"/>
    <x v="111"/>
  </r>
  <r>
    <x v="15"/>
    <x v="15"/>
    <x v="140"/>
    <x v="160"/>
  </r>
  <r>
    <x v="2"/>
    <x v="2"/>
    <x v="141"/>
    <x v="902"/>
  </r>
  <r>
    <x v="21"/>
    <x v="21"/>
    <x v="141"/>
    <x v="970"/>
  </r>
  <r>
    <x v="3"/>
    <x v="3"/>
    <x v="141"/>
    <x v="1240"/>
  </r>
  <r>
    <x v="4"/>
    <x v="4"/>
    <x v="141"/>
    <x v="519"/>
  </r>
  <r>
    <x v="87"/>
    <x v="87"/>
    <x v="141"/>
    <x v="862"/>
  </r>
  <r>
    <x v="5"/>
    <x v="5"/>
    <x v="141"/>
    <x v="743"/>
  </r>
  <r>
    <x v="23"/>
    <x v="23"/>
    <x v="141"/>
    <x v="1575"/>
  </r>
  <r>
    <x v="61"/>
    <x v="61"/>
    <x v="141"/>
    <x v="406"/>
  </r>
  <r>
    <x v="74"/>
    <x v="74"/>
    <x v="141"/>
    <x v="403"/>
  </r>
  <r>
    <x v="6"/>
    <x v="6"/>
    <x v="141"/>
    <x v="1576"/>
  </r>
  <r>
    <x v="63"/>
    <x v="63"/>
    <x v="141"/>
    <x v="146"/>
  </r>
  <r>
    <x v="7"/>
    <x v="7"/>
    <x v="141"/>
    <x v="7"/>
  </r>
  <r>
    <x v="8"/>
    <x v="8"/>
    <x v="141"/>
    <x v="550"/>
  </r>
  <r>
    <x v="9"/>
    <x v="9"/>
    <x v="141"/>
    <x v="1577"/>
  </r>
  <r>
    <x v="10"/>
    <x v="10"/>
    <x v="141"/>
    <x v="1578"/>
  </r>
  <r>
    <x v="11"/>
    <x v="11"/>
    <x v="141"/>
    <x v="1579"/>
  </r>
  <r>
    <x v="95"/>
    <x v="95"/>
    <x v="141"/>
    <x v="1580"/>
  </r>
  <r>
    <x v="12"/>
    <x v="12"/>
    <x v="141"/>
    <x v="1453"/>
  </r>
  <r>
    <x v="29"/>
    <x v="29"/>
    <x v="141"/>
    <x v="529"/>
  </r>
  <r>
    <x v="97"/>
    <x v="97"/>
    <x v="141"/>
    <x v="1581"/>
  </r>
  <r>
    <x v="32"/>
    <x v="32"/>
    <x v="141"/>
    <x v="38"/>
  </r>
  <r>
    <x v="69"/>
    <x v="69"/>
    <x v="141"/>
    <x v="82"/>
  </r>
  <r>
    <x v="46"/>
    <x v="46"/>
    <x v="141"/>
    <x v="1582"/>
  </r>
  <r>
    <x v="14"/>
    <x v="14"/>
    <x v="141"/>
    <x v="62"/>
  </r>
  <r>
    <x v="15"/>
    <x v="15"/>
    <x v="141"/>
    <x v="14"/>
  </r>
  <r>
    <x v="76"/>
    <x v="76"/>
    <x v="142"/>
    <x v="469"/>
  </r>
  <r>
    <x v="2"/>
    <x v="2"/>
    <x v="142"/>
    <x v="231"/>
  </r>
  <r>
    <x v="34"/>
    <x v="34"/>
    <x v="142"/>
    <x v="1583"/>
  </r>
  <r>
    <x v="21"/>
    <x v="21"/>
    <x v="142"/>
    <x v="828"/>
  </r>
  <r>
    <x v="3"/>
    <x v="3"/>
    <x v="142"/>
    <x v="1584"/>
  </r>
  <r>
    <x v="35"/>
    <x v="35"/>
    <x v="142"/>
    <x v="1585"/>
  </r>
  <r>
    <x v="4"/>
    <x v="4"/>
    <x v="142"/>
    <x v="171"/>
  </r>
  <r>
    <x v="87"/>
    <x v="87"/>
    <x v="142"/>
    <x v="1405"/>
  </r>
  <r>
    <x v="5"/>
    <x v="5"/>
    <x v="142"/>
    <x v="1586"/>
  </r>
  <r>
    <x v="23"/>
    <x v="23"/>
    <x v="142"/>
    <x v="101"/>
  </r>
  <r>
    <x v="55"/>
    <x v="55"/>
    <x v="142"/>
    <x v="1587"/>
  </r>
  <r>
    <x v="89"/>
    <x v="89"/>
    <x v="142"/>
    <x v="1588"/>
  </r>
  <r>
    <x v="36"/>
    <x v="36"/>
    <x v="142"/>
    <x v="284"/>
  </r>
  <r>
    <x v="82"/>
    <x v="82"/>
    <x v="142"/>
    <x v="1373"/>
  </r>
  <r>
    <x v="8"/>
    <x v="8"/>
    <x v="142"/>
    <x v="896"/>
  </r>
  <r>
    <x v="38"/>
    <x v="38"/>
    <x v="142"/>
    <x v="1589"/>
  </r>
  <r>
    <x v="10"/>
    <x v="10"/>
    <x v="142"/>
    <x v="1395"/>
  </r>
  <r>
    <x v="103"/>
    <x v="103"/>
    <x v="142"/>
    <x v="414"/>
  </r>
  <r>
    <x v="11"/>
    <x v="11"/>
    <x v="142"/>
    <x v="183"/>
  </r>
  <r>
    <x v="39"/>
    <x v="39"/>
    <x v="142"/>
    <x v="1038"/>
  </r>
  <r>
    <x v="30"/>
    <x v="30"/>
    <x v="142"/>
    <x v="1590"/>
  </r>
  <r>
    <x v="91"/>
    <x v="91"/>
    <x v="142"/>
    <x v="1591"/>
  </r>
  <r>
    <x v="96"/>
    <x v="96"/>
    <x v="142"/>
    <x v="133"/>
  </r>
  <r>
    <x v="46"/>
    <x v="46"/>
    <x v="142"/>
    <x v="1592"/>
  </r>
  <r>
    <x v="110"/>
    <x v="110"/>
    <x v="142"/>
    <x v="111"/>
  </r>
  <r>
    <x v="14"/>
    <x v="14"/>
    <x v="142"/>
    <x v="82"/>
  </r>
  <r>
    <x v="78"/>
    <x v="78"/>
    <x v="142"/>
    <x v="209"/>
  </r>
  <r>
    <x v="15"/>
    <x v="15"/>
    <x v="142"/>
    <x v="230"/>
  </r>
  <r>
    <x v="16"/>
    <x v="16"/>
    <x v="142"/>
    <x v="14"/>
  </r>
  <r>
    <x v="0"/>
    <x v="0"/>
    <x v="143"/>
    <x v="340"/>
  </r>
  <r>
    <x v="76"/>
    <x v="76"/>
    <x v="143"/>
    <x v="687"/>
  </r>
  <r>
    <x v="2"/>
    <x v="2"/>
    <x v="143"/>
    <x v="754"/>
  </r>
  <r>
    <x v="71"/>
    <x v="71"/>
    <x v="143"/>
    <x v="947"/>
  </r>
  <r>
    <x v="8"/>
    <x v="8"/>
    <x v="143"/>
    <x v="1480"/>
  </r>
  <r>
    <x v="9"/>
    <x v="9"/>
    <x v="143"/>
    <x v="711"/>
  </r>
  <r>
    <x v="68"/>
    <x v="68"/>
    <x v="143"/>
    <x v="1305"/>
  </r>
  <r>
    <x v="10"/>
    <x v="10"/>
    <x v="143"/>
    <x v="1243"/>
  </r>
  <r>
    <x v="11"/>
    <x v="11"/>
    <x v="143"/>
    <x v="612"/>
  </r>
  <r>
    <x v="53"/>
    <x v="53"/>
    <x v="143"/>
    <x v="1116"/>
  </r>
  <r>
    <x v="29"/>
    <x v="29"/>
    <x v="143"/>
    <x v="656"/>
  </r>
  <r>
    <x v="30"/>
    <x v="30"/>
    <x v="143"/>
    <x v="1053"/>
  </r>
  <r>
    <x v="32"/>
    <x v="32"/>
    <x v="143"/>
    <x v="1593"/>
  </r>
  <r>
    <x v="69"/>
    <x v="69"/>
    <x v="143"/>
    <x v="111"/>
  </r>
  <r>
    <x v="96"/>
    <x v="96"/>
    <x v="143"/>
    <x v="82"/>
  </r>
  <r>
    <x v="46"/>
    <x v="46"/>
    <x v="143"/>
    <x v="376"/>
  </r>
  <r>
    <x v="14"/>
    <x v="14"/>
    <x v="143"/>
    <x v="1076"/>
  </r>
  <r>
    <x v="15"/>
    <x v="15"/>
    <x v="143"/>
    <x v="507"/>
  </r>
  <r>
    <x v="16"/>
    <x v="16"/>
    <x v="143"/>
    <x v="209"/>
  </r>
  <r>
    <x v="0"/>
    <x v="0"/>
    <x v="144"/>
    <x v="340"/>
  </r>
  <r>
    <x v="76"/>
    <x v="76"/>
    <x v="144"/>
    <x v="1026"/>
  </r>
  <r>
    <x v="2"/>
    <x v="2"/>
    <x v="144"/>
    <x v="21"/>
  </r>
  <r>
    <x v="21"/>
    <x v="21"/>
    <x v="144"/>
    <x v="617"/>
  </r>
  <r>
    <x v="3"/>
    <x v="3"/>
    <x v="144"/>
    <x v="816"/>
  </r>
  <r>
    <x v="4"/>
    <x v="4"/>
    <x v="144"/>
    <x v="733"/>
  </r>
  <r>
    <x v="52"/>
    <x v="52"/>
    <x v="144"/>
    <x v="1594"/>
  </r>
  <r>
    <x v="56"/>
    <x v="56"/>
    <x v="144"/>
    <x v="1595"/>
  </r>
  <r>
    <x v="26"/>
    <x v="26"/>
    <x v="144"/>
    <x v="494"/>
  </r>
  <r>
    <x v="8"/>
    <x v="8"/>
    <x v="144"/>
    <x v="288"/>
  </r>
  <r>
    <x v="9"/>
    <x v="9"/>
    <x v="144"/>
    <x v="1596"/>
  </r>
  <r>
    <x v="10"/>
    <x v="10"/>
    <x v="144"/>
    <x v="1597"/>
  </r>
  <r>
    <x v="103"/>
    <x v="103"/>
    <x v="144"/>
    <x v="907"/>
  </r>
  <r>
    <x v="11"/>
    <x v="11"/>
    <x v="144"/>
    <x v="1598"/>
  </r>
  <r>
    <x v="28"/>
    <x v="28"/>
    <x v="144"/>
    <x v="1599"/>
  </r>
  <r>
    <x v="29"/>
    <x v="29"/>
    <x v="144"/>
    <x v="430"/>
  </r>
  <r>
    <x v="30"/>
    <x v="30"/>
    <x v="144"/>
    <x v="1133"/>
  </r>
  <r>
    <x v="46"/>
    <x v="46"/>
    <x v="144"/>
    <x v="360"/>
  </r>
  <r>
    <x v="14"/>
    <x v="14"/>
    <x v="144"/>
    <x v="98"/>
  </r>
  <r>
    <x v="78"/>
    <x v="78"/>
    <x v="144"/>
    <x v="62"/>
  </r>
  <r>
    <x v="15"/>
    <x v="15"/>
    <x v="144"/>
    <x v="40"/>
  </r>
  <r>
    <x v="16"/>
    <x v="16"/>
    <x v="144"/>
    <x v="160"/>
  </r>
  <r>
    <x v="17"/>
    <x v="17"/>
    <x v="144"/>
    <x v="392"/>
  </r>
  <r>
    <x v="49"/>
    <x v="49"/>
    <x v="145"/>
    <x v="40"/>
  </r>
  <r>
    <x v="0"/>
    <x v="0"/>
    <x v="145"/>
    <x v="987"/>
  </r>
  <r>
    <x v="2"/>
    <x v="2"/>
    <x v="145"/>
    <x v="471"/>
  </r>
  <r>
    <x v="21"/>
    <x v="21"/>
    <x v="145"/>
    <x v="1600"/>
  </r>
  <r>
    <x v="3"/>
    <x v="3"/>
    <x v="145"/>
    <x v="1240"/>
  </r>
  <r>
    <x v="4"/>
    <x v="4"/>
    <x v="145"/>
    <x v="742"/>
  </r>
  <r>
    <x v="22"/>
    <x v="22"/>
    <x v="145"/>
    <x v="1601"/>
  </r>
  <r>
    <x v="6"/>
    <x v="6"/>
    <x v="145"/>
    <x v="6"/>
  </r>
  <r>
    <x v="8"/>
    <x v="8"/>
    <x v="145"/>
    <x v="288"/>
  </r>
  <r>
    <x v="9"/>
    <x v="9"/>
    <x v="145"/>
    <x v="387"/>
  </r>
  <r>
    <x v="68"/>
    <x v="68"/>
    <x v="145"/>
    <x v="825"/>
  </r>
  <r>
    <x v="38"/>
    <x v="38"/>
    <x v="145"/>
    <x v="602"/>
  </r>
  <r>
    <x v="10"/>
    <x v="10"/>
    <x v="145"/>
    <x v="1228"/>
  </r>
  <r>
    <x v="11"/>
    <x v="11"/>
    <x v="145"/>
    <x v="54"/>
  </r>
  <r>
    <x v="12"/>
    <x v="12"/>
    <x v="145"/>
    <x v="803"/>
  </r>
  <r>
    <x v="39"/>
    <x v="39"/>
    <x v="145"/>
    <x v="1602"/>
  </r>
  <r>
    <x v="30"/>
    <x v="30"/>
    <x v="145"/>
    <x v="36"/>
  </r>
  <r>
    <x v="84"/>
    <x v="84"/>
    <x v="145"/>
    <x v="1482"/>
  </r>
  <r>
    <x v="31"/>
    <x v="31"/>
    <x v="145"/>
    <x v="295"/>
  </r>
  <r>
    <x v="46"/>
    <x v="46"/>
    <x v="145"/>
    <x v="5"/>
  </r>
  <r>
    <x v="14"/>
    <x v="14"/>
    <x v="145"/>
    <x v="210"/>
  </r>
  <r>
    <x v="15"/>
    <x v="15"/>
    <x v="145"/>
    <x v="15"/>
  </r>
  <r>
    <x v="16"/>
    <x v="16"/>
    <x v="145"/>
    <x v="111"/>
  </r>
  <r>
    <x v="76"/>
    <x v="76"/>
    <x v="146"/>
    <x v="687"/>
  </r>
  <r>
    <x v="2"/>
    <x v="2"/>
    <x v="146"/>
    <x v="231"/>
  </r>
  <r>
    <x v="21"/>
    <x v="21"/>
    <x v="146"/>
    <x v="1342"/>
  </r>
  <r>
    <x v="4"/>
    <x v="4"/>
    <x v="146"/>
    <x v="1603"/>
  </r>
  <r>
    <x v="87"/>
    <x v="87"/>
    <x v="146"/>
    <x v="245"/>
  </r>
  <r>
    <x v="23"/>
    <x v="23"/>
    <x v="146"/>
    <x v="1604"/>
  </r>
  <r>
    <x v="99"/>
    <x v="99"/>
    <x v="146"/>
    <x v="1129"/>
  </r>
  <r>
    <x v="56"/>
    <x v="56"/>
    <x v="146"/>
    <x v="590"/>
  </r>
  <r>
    <x v="98"/>
    <x v="98"/>
    <x v="146"/>
    <x v="615"/>
  </r>
  <r>
    <x v="8"/>
    <x v="8"/>
    <x v="146"/>
    <x v="50"/>
  </r>
  <r>
    <x v="9"/>
    <x v="9"/>
    <x v="146"/>
    <x v="1171"/>
  </r>
  <r>
    <x v="38"/>
    <x v="38"/>
    <x v="146"/>
    <x v="293"/>
  </r>
  <r>
    <x v="10"/>
    <x v="10"/>
    <x v="146"/>
    <x v="1605"/>
  </r>
  <r>
    <x v="11"/>
    <x v="11"/>
    <x v="146"/>
    <x v="1278"/>
  </r>
  <r>
    <x v="28"/>
    <x v="28"/>
    <x v="146"/>
    <x v="412"/>
  </r>
  <r>
    <x v="29"/>
    <x v="29"/>
    <x v="146"/>
    <x v="1606"/>
  </r>
  <r>
    <x v="30"/>
    <x v="30"/>
    <x v="146"/>
    <x v="500"/>
  </r>
  <r>
    <x v="91"/>
    <x v="91"/>
    <x v="146"/>
    <x v="1607"/>
  </r>
  <r>
    <x v="40"/>
    <x v="40"/>
    <x v="146"/>
    <x v="890"/>
  </r>
  <r>
    <x v="64"/>
    <x v="64"/>
    <x v="146"/>
    <x v="337"/>
  </r>
  <r>
    <x v="73"/>
    <x v="73"/>
    <x v="146"/>
    <x v="207"/>
  </r>
  <r>
    <x v="32"/>
    <x v="32"/>
    <x v="146"/>
    <x v="467"/>
  </r>
  <r>
    <x v="46"/>
    <x v="46"/>
    <x v="146"/>
    <x v="339"/>
  </r>
  <r>
    <x v="14"/>
    <x v="14"/>
    <x v="146"/>
    <x v="62"/>
  </r>
  <r>
    <x v="78"/>
    <x v="78"/>
    <x v="146"/>
    <x v="62"/>
  </r>
  <r>
    <x v="15"/>
    <x v="15"/>
    <x v="146"/>
    <x v="209"/>
  </r>
  <r>
    <x v="17"/>
    <x v="17"/>
    <x v="146"/>
    <x v="230"/>
  </r>
  <r>
    <x v="19"/>
    <x v="19"/>
    <x v="147"/>
    <x v="1460"/>
  </r>
  <r>
    <x v="0"/>
    <x v="0"/>
    <x v="147"/>
    <x v="340"/>
  </r>
  <r>
    <x v="76"/>
    <x v="76"/>
    <x v="147"/>
    <x v="1608"/>
  </r>
  <r>
    <x v="2"/>
    <x v="2"/>
    <x v="147"/>
    <x v="809"/>
  </r>
  <r>
    <x v="21"/>
    <x v="21"/>
    <x v="147"/>
    <x v="262"/>
  </r>
  <r>
    <x v="35"/>
    <x v="35"/>
    <x v="147"/>
    <x v="263"/>
  </r>
  <r>
    <x v="4"/>
    <x v="4"/>
    <x v="147"/>
    <x v="454"/>
  </r>
  <r>
    <x v="52"/>
    <x v="52"/>
    <x v="147"/>
    <x v="644"/>
  </r>
  <r>
    <x v="87"/>
    <x v="87"/>
    <x v="147"/>
    <x v="945"/>
  </r>
  <r>
    <x v="8"/>
    <x v="8"/>
    <x v="147"/>
    <x v="1413"/>
  </r>
  <r>
    <x v="9"/>
    <x v="9"/>
    <x v="147"/>
    <x v="148"/>
  </r>
  <r>
    <x v="38"/>
    <x v="38"/>
    <x v="147"/>
    <x v="1609"/>
  </r>
  <r>
    <x v="10"/>
    <x v="10"/>
    <x v="147"/>
    <x v="582"/>
  </r>
  <r>
    <x v="11"/>
    <x v="11"/>
    <x v="147"/>
    <x v="1401"/>
  </r>
  <r>
    <x v="28"/>
    <x v="28"/>
    <x v="147"/>
    <x v="1610"/>
  </r>
  <r>
    <x v="29"/>
    <x v="29"/>
    <x v="147"/>
    <x v="656"/>
  </r>
  <r>
    <x v="30"/>
    <x v="30"/>
    <x v="147"/>
    <x v="901"/>
  </r>
  <r>
    <x v="97"/>
    <x v="97"/>
    <x v="147"/>
    <x v="607"/>
  </r>
  <r>
    <x v="64"/>
    <x v="64"/>
    <x v="147"/>
    <x v="587"/>
  </r>
  <r>
    <x v="32"/>
    <x v="32"/>
    <x v="147"/>
    <x v="38"/>
  </r>
  <r>
    <x v="46"/>
    <x v="46"/>
    <x v="147"/>
    <x v="40"/>
  </r>
  <r>
    <x v="14"/>
    <x v="14"/>
    <x v="147"/>
    <x v="210"/>
  </r>
  <r>
    <x v="78"/>
    <x v="78"/>
    <x v="147"/>
    <x v="98"/>
  </r>
  <r>
    <x v="15"/>
    <x v="15"/>
    <x v="147"/>
    <x v="996"/>
  </r>
  <r>
    <x v="17"/>
    <x v="17"/>
    <x v="147"/>
    <x v="40"/>
  </r>
  <r>
    <x v="2"/>
    <x v="2"/>
    <x v="148"/>
    <x v="1611"/>
  </r>
  <r>
    <x v="21"/>
    <x v="21"/>
    <x v="148"/>
    <x v="1612"/>
  </r>
  <r>
    <x v="4"/>
    <x v="4"/>
    <x v="148"/>
    <x v="1098"/>
  </r>
  <r>
    <x v="87"/>
    <x v="87"/>
    <x v="148"/>
    <x v="1405"/>
  </r>
  <r>
    <x v="23"/>
    <x v="23"/>
    <x v="148"/>
    <x v="282"/>
  </r>
  <r>
    <x v="99"/>
    <x v="99"/>
    <x v="148"/>
    <x v="1219"/>
  </r>
  <r>
    <x v="67"/>
    <x v="67"/>
    <x v="148"/>
    <x v="1302"/>
  </r>
  <r>
    <x v="56"/>
    <x v="56"/>
    <x v="148"/>
    <x v="1613"/>
  </r>
  <r>
    <x v="26"/>
    <x v="26"/>
    <x v="148"/>
    <x v="1614"/>
  </r>
  <r>
    <x v="79"/>
    <x v="79"/>
    <x v="148"/>
    <x v="548"/>
  </r>
  <r>
    <x v="74"/>
    <x v="74"/>
    <x v="148"/>
    <x v="104"/>
  </r>
  <r>
    <x v="6"/>
    <x v="6"/>
    <x v="148"/>
    <x v="90"/>
  </r>
  <r>
    <x v="7"/>
    <x v="7"/>
    <x v="148"/>
    <x v="653"/>
  </r>
  <r>
    <x v="8"/>
    <x v="8"/>
    <x v="148"/>
    <x v="30"/>
  </r>
  <r>
    <x v="9"/>
    <x v="9"/>
    <x v="148"/>
    <x v="1236"/>
  </r>
  <r>
    <x v="10"/>
    <x v="10"/>
    <x v="148"/>
    <x v="1087"/>
  </r>
  <r>
    <x v="11"/>
    <x v="11"/>
    <x v="148"/>
    <x v="498"/>
  </r>
  <r>
    <x v="28"/>
    <x v="28"/>
    <x v="148"/>
    <x v="1615"/>
  </r>
  <r>
    <x v="29"/>
    <x v="29"/>
    <x v="148"/>
    <x v="1616"/>
  </r>
  <r>
    <x v="30"/>
    <x v="30"/>
    <x v="148"/>
    <x v="985"/>
  </r>
  <r>
    <x v="84"/>
    <x v="84"/>
    <x v="148"/>
    <x v="1164"/>
  </r>
  <r>
    <x v="31"/>
    <x v="31"/>
    <x v="148"/>
    <x v="1617"/>
  </r>
  <r>
    <x v="64"/>
    <x v="64"/>
    <x v="148"/>
    <x v="1025"/>
  </r>
  <r>
    <x v="32"/>
    <x v="32"/>
    <x v="148"/>
    <x v="467"/>
  </r>
  <r>
    <x v="45"/>
    <x v="45"/>
    <x v="148"/>
    <x v="1618"/>
  </r>
  <r>
    <x v="51"/>
    <x v="51"/>
    <x v="148"/>
    <x v="807"/>
  </r>
  <r>
    <x v="69"/>
    <x v="69"/>
    <x v="148"/>
    <x v="62"/>
  </r>
  <r>
    <x v="46"/>
    <x v="46"/>
    <x v="148"/>
    <x v="15"/>
  </r>
  <r>
    <x v="14"/>
    <x v="14"/>
    <x v="148"/>
    <x v="15"/>
  </r>
  <r>
    <x v="78"/>
    <x v="78"/>
    <x v="148"/>
    <x v="230"/>
  </r>
  <r>
    <x v="15"/>
    <x v="15"/>
    <x v="148"/>
    <x v="1117"/>
  </r>
  <r>
    <x v="17"/>
    <x v="17"/>
    <x v="148"/>
    <x v="1086"/>
  </r>
  <r>
    <x v="19"/>
    <x v="19"/>
    <x v="149"/>
    <x v="1619"/>
  </r>
  <r>
    <x v="0"/>
    <x v="0"/>
    <x v="149"/>
    <x v="987"/>
  </r>
  <r>
    <x v="76"/>
    <x v="76"/>
    <x v="149"/>
    <x v="1620"/>
  </r>
  <r>
    <x v="2"/>
    <x v="2"/>
    <x v="149"/>
    <x v="396"/>
  </r>
  <r>
    <x v="21"/>
    <x v="21"/>
    <x v="149"/>
    <x v="1621"/>
  </r>
  <r>
    <x v="3"/>
    <x v="3"/>
    <x v="149"/>
    <x v="538"/>
  </r>
  <r>
    <x v="35"/>
    <x v="35"/>
    <x v="149"/>
    <x v="1028"/>
  </r>
  <r>
    <x v="4"/>
    <x v="4"/>
    <x v="149"/>
    <x v="1622"/>
  </r>
  <r>
    <x v="55"/>
    <x v="55"/>
    <x v="149"/>
    <x v="139"/>
  </r>
  <r>
    <x v="56"/>
    <x v="56"/>
    <x v="149"/>
    <x v="1623"/>
  </r>
  <r>
    <x v="36"/>
    <x v="36"/>
    <x v="149"/>
    <x v="933"/>
  </r>
  <r>
    <x v="74"/>
    <x v="74"/>
    <x v="149"/>
    <x v="364"/>
  </r>
  <r>
    <x v="6"/>
    <x v="6"/>
    <x v="149"/>
    <x v="6"/>
  </r>
  <r>
    <x v="7"/>
    <x v="7"/>
    <x v="149"/>
    <x v="735"/>
  </r>
  <r>
    <x v="8"/>
    <x v="8"/>
    <x v="149"/>
    <x v="566"/>
  </r>
  <r>
    <x v="9"/>
    <x v="9"/>
    <x v="149"/>
    <x v="1236"/>
  </r>
  <r>
    <x v="38"/>
    <x v="38"/>
    <x v="149"/>
    <x v="1624"/>
  </r>
  <r>
    <x v="10"/>
    <x v="10"/>
    <x v="149"/>
    <x v="1481"/>
  </r>
  <r>
    <x v="11"/>
    <x v="11"/>
    <x v="149"/>
    <x v="1625"/>
  </r>
  <r>
    <x v="28"/>
    <x v="28"/>
    <x v="149"/>
    <x v="185"/>
  </r>
  <r>
    <x v="12"/>
    <x v="12"/>
    <x v="149"/>
    <x v="855"/>
  </r>
  <r>
    <x v="43"/>
    <x v="43"/>
    <x v="149"/>
    <x v="1626"/>
  </r>
  <r>
    <x v="30"/>
    <x v="30"/>
    <x v="149"/>
    <x v="1416"/>
  </r>
  <r>
    <x v="84"/>
    <x v="84"/>
    <x v="149"/>
    <x v="1106"/>
  </r>
  <r>
    <x v="64"/>
    <x v="64"/>
    <x v="149"/>
    <x v="1627"/>
  </r>
  <r>
    <x v="32"/>
    <x v="32"/>
    <x v="149"/>
    <x v="1628"/>
  </r>
  <r>
    <x v="102"/>
    <x v="102"/>
    <x v="149"/>
    <x v="1472"/>
  </r>
  <r>
    <x v="51"/>
    <x v="51"/>
    <x v="149"/>
    <x v="807"/>
  </r>
  <r>
    <x v="46"/>
    <x v="46"/>
    <x v="149"/>
    <x v="15"/>
  </r>
  <r>
    <x v="14"/>
    <x v="14"/>
    <x v="149"/>
    <x v="111"/>
  </r>
  <r>
    <x v="15"/>
    <x v="15"/>
    <x v="149"/>
    <x v="560"/>
  </r>
  <r>
    <x v="17"/>
    <x v="17"/>
    <x v="149"/>
    <x v="1629"/>
  </r>
  <r>
    <x v="2"/>
    <x v="2"/>
    <x v="150"/>
    <x v="231"/>
  </r>
  <r>
    <x v="21"/>
    <x v="21"/>
    <x v="150"/>
    <x v="1630"/>
  </r>
  <r>
    <x v="3"/>
    <x v="3"/>
    <x v="150"/>
    <x v="44"/>
  </r>
  <r>
    <x v="4"/>
    <x v="4"/>
    <x v="150"/>
    <x v="879"/>
  </r>
  <r>
    <x v="5"/>
    <x v="5"/>
    <x v="150"/>
    <x v="474"/>
  </r>
  <r>
    <x v="113"/>
    <x v="113"/>
    <x v="150"/>
    <x v="1631"/>
  </r>
  <r>
    <x v="23"/>
    <x v="23"/>
    <x v="150"/>
    <x v="101"/>
  </r>
  <r>
    <x v="55"/>
    <x v="55"/>
    <x v="150"/>
    <x v="194"/>
  </r>
  <r>
    <x v="56"/>
    <x v="56"/>
    <x v="150"/>
    <x v="267"/>
  </r>
  <r>
    <x v="36"/>
    <x v="36"/>
    <x v="150"/>
    <x v="745"/>
  </r>
  <r>
    <x v="71"/>
    <x v="71"/>
    <x v="150"/>
    <x v="883"/>
  </r>
  <r>
    <x v="98"/>
    <x v="98"/>
    <x v="150"/>
    <x v="1187"/>
  </r>
  <r>
    <x v="9"/>
    <x v="9"/>
    <x v="150"/>
    <x v="443"/>
  </r>
  <r>
    <x v="38"/>
    <x v="38"/>
    <x v="150"/>
    <x v="293"/>
  </r>
  <r>
    <x v="10"/>
    <x v="10"/>
    <x v="150"/>
    <x v="1180"/>
  </r>
  <r>
    <x v="11"/>
    <x v="11"/>
    <x v="150"/>
    <x v="1337"/>
  </r>
  <r>
    <x v="12"/>
    <x v="12"/>
    <x v="150"/>
    <x v="1161"/>
  </r>
  <r>
    <x v="29"/>
    <x v="29"/>
    <x v="150"/>
    <x v="1493"/>
  </r>
  <r>
    <x v="97"/>
    <x v="97"/>
    <x v="150"/>
    <x v="1325"/>
  </r>
  <r>
    <x v="32"/>
    <x v="32"/>
    <x v="150"/>
    <x v="506"/>
  </r>
  <r>
    <x v="51"/>
    <x v="51"/>
    <x v="150"/>
    <x v="96"/>
  </r>
  <r>
    <x v="46"/>
    <x v="46"/>
    <x v="150"/>
    <x v="507"/>
  </r>
  <r>
    <x v="14"/>
    <x v="14"/>
    <x v="150"/>
    <x v="40"/>
  </r>
  <r>
    <x v="78"/>
    <x v="78"/>
    <x v="150"/>
    <x v="230"/>
  </r>
  <r>
    <x v="17"/>
    <x v="17"/>
    <x v="150"/>
    <x v="85"/>
  </r>
  <r>
    <x v="0"/>
    <x v="0"/>
    <x v="151"/>
    <x v="0"/>
  </r>
  <r>
    <x v="76"/>
    <x v="76"/>
    <x v="151"/>
    <x v="301"/>
  </r>
  <r>
    <x v="2"/>
    <x v="2"/>
    <x v="151"/>
    <x v="1632"/>
  </r>
  <r>
    <x v="21"/>
    <x v="21"/>
    <x v="151"/>
    <x v="321"/>
  </r>
  <r>
    <x v="35"/>
    <x v="35"/>
    <x v="151"/>
    <x v="1168"/>
  </r>
  <r>
    <x v="4"/>
    <x v="4"/>
    <x v="151"/>
    <x v="399"/>
  </r>
  <r>
    <x v="87"/>
    <x v="87"/>
    <x v="151"/>
    <x v="245"/>
  </r>
  <r>
    <x v="88"/>
    <x v="88"/>
    <x v="151"/>
    <x v="797"/>
  </r>
  <r>
    <x v="98"/>
    <x v="98"/>
    <x v="151"/>
    <x v="1187"/>
  </r>
  <r>
    <x v="9"/>
    <x v="9"/>
    <x v="151"/>
    <x v="387"/>
  </r>
  <r>
    <x v="38"/>
    <x v="38"/>
    <x v="151"/>
    <x v="1066"/>
  </r>
  <r>
    <x v="10"/>
    <x v="10"/>
    <x v="151"/>
    <x v="812"/>
  </r>
  <r>
    <x v="11"/>
    <x v="11"/>
    <x v="151"/>
    <x v="670"/>
  </r>
  <r>
    <x v="12"/>
    <x v="12"/>
    <x v="151"/>
    <x v="1633"/>
  </r>
  <r>
    <x v="59"/>
    <x v="59"/>
    <x v="151"/>
    <x v="1634"/>
  </r>
  <r>
    <x v="29"/>
    <x v="29"/>
    <x v="151"/>
    <x v="656"/>
  </r>
  <r>
    <x v="30"/>
    <x v="30"/>
    <x v="151"/>
    <x v="699"/>
  </r>
  <r>
    <x v="96"/>
    <x v="96"/>
    <x v="151"/>
    <x v="14"/>
  </r>
  <r>
    <x v="46"/>
    <x v="46"/>
    <x v="151"/>
    <x v="40"/>
  </r>
  <r>
    <x v="14"/>
    <x v="14"/>
    <x v="151"/>
    <x v="230"/>
  </r>
  <r>
    <x v="78"/>
    <x v="78"/>
    <x v="151"/>
    <x v="111"/>
  </r>
  <r>
    <x v="15"/>
    <x v="15"/>
    <x v="151"/>
    <x v="85"/>
  </r>
  <r>
    <x v="83"/>
    <x v="83"/>
    <x v="151"/>
    <x v="82"/>
  </r>
  <r>
    <x v="17"/>
    <x v="17"/>
    <x v="151"/>
    <x v="718"/>
  </r>
  <r>
    <x v="0"/>
    <x v="0"/>
    <x v="152"/>
    <x v="516"/>
  </r>
  <r>
    <x v="76"/>
    <x v="76"/>
    <x v="152"/>
    <x v="301"/>
  </r>
  <r>
    <x v="2"/>
    <x v="2"/>
    <x v="152"/>
    <x v="1155"/>
  </r>
  <r>
    <x v="21"/>
    <x v="21"/>
    <x v="152"/>
    <x v="321"/>
  </r>
  <r>
    <x v="3"/>
    <x v="3"/>
    <x v="152"/>
    <x v="572"/>
  </r>
  <r>
    <x v="52"/>
    <x v="52"/>
    <x v="152"/>
    <x v="644"/>
  </r>
  <r>
    <x v="5"/>
    <x v="5"/>
    <x v="152"/>
    <x v="1435"/>
  </r>
  <r>
    <x v="23"/>
    <x v="23"/>
    <x v="152"/>
    <x v="989"/>
  </r>
  <r>
    <x v="55"/>
    <x v="55"/>
    <x v="152"/>
    <x v="307"/>
  </r>
  <r>
    <x v="89"/>
    <x v="89"/>
    <x v="152"/>
    <x v="1022"/>
  </r>
  <r>
    <x v="26"/>
    <x v="26"/>
    <x v="152"/>
    <x v="89"/>
  </r>
  <r>
    <x v="79"/>
    <x v="79"/>
    <x v="152"/>
    <x v="1047"/>
  </r>
  <r>
    <x v="7"/>
    <x v="7"/>
    <x v="152"/>
    <x v="7"/>
  </r>
  <r>
    <x v="8"/>
    <x v="8"/>
    <x v="152"/>
    <x v="666"/>
  </r>
  <r>
    <x v="9"/>
    <x v="9"/>
    <x v="152"/>
    <x v="387"/>
  </r>
  <r>
    <x v="10"/>
    <x v="10"/>
    <x v="152"/>
    <x v="1635"/>
  </r>
  <r>
    <x v="11"/>
    <x v="11"/>
    <x v="152"/>
    <x v="373"/>
  </r>
  <r>
    <x v="29"/>
    <x v="29"/>
    <x v="152"/>
    <x v="1636"/>
  </r>
  <r>
    <x v="30"/>
    <x v="30"/>
    <x v="152"/>
    <x v="1317"/>
  </r>
  <r>
    <x v="97"/>
    <x v="97"/>
    <x v="152"/>
    <x v="607"/>
  </r>
  <r>
    <x v="64"/>
    <x v="64"/>
    <x v="152"/>
    <x v="1637"/>
  </r>
  <r>
    <x v="32"/>
    <x v="32"/>
    <x v="152"/>
    <x v="38"/>
  </r>
  <r>
    <x v="46"/>
    <x v="46"/>
    <x v="152"/>
    <x v="15"/>
  </r>
  <r>
    <x v="14"/>
    <x v="14"/>
    <x v="152"/>
    <x v="507"/>
  </r>
  <r>
    <x v="15"/>
    <x v="15"/>
    <x v="152"/>
    <x v="245"/>
  </r>
  <r>
    <x v="17"/>
    <x v="17"/>
    <x v="152"/>
    <x v="245"/>
  </r>
  <r>
    <x v="0"/>
    <x v="0"/>
    <x v="153"/>
    <x v="646"/>
  </r>
  <r>
    <x v="76"/>
    <x v="76"/>
    <x v="153"/>
    <x v="588"/>
  </r>
  <r>
    <x v="2"/>
    <x v="2"/>
    <x v="153"/>
    <x v="231"/>
  </r>
  <r>
    <x v="20"/>
    <x v="20"/>
    <x v="153"/>
    <x v="118"/>
  </r>
  <r>
    <x v="21"/>
    <x v="21"/>
    <x v="153"/>
    <x v="451"/>
  </r>
  <r>
    <x v="3"/>
    <x v="3"/>
    <x v="153"/>
    <x v="816"/>
  </r>
  <r>
    <x v="4"/>
    <x v="4"/>
    <x v="153"/>
    <x v="1098"/>
  </r>
  <r>
    <x v="52"/>
    <x v="52"/>
    <x v="153"/>
    <x v="1638"/>
  </r>
  <r>
    <x v="5"/>
    <x v="5"/>
    <x v="153"/>
    <x v="1639"/>
  </r>
  <r>
    <x v="56"/>
    <x v="56"/>
    <x v="153"/>
    <x v="1640"/>
  </r>
  <r>
    <x v="36"/>
    <x v="36"/>
    <x v="153"/>
    <x v="143"/>
  </r>
  <r>
    <x v="7"/>
    <x v="7"/>
    <x v="153"/>
    <x v="1641"/>
  </r>
  <r>
    <x v="37"/>
    <x v="37"/>
    <x v="153"/>
    <x v="406"/>
  </r>
  <r>
    <x v="8"/>
    <x v="8"/>
    <x v="153"/>
    <x v="1642"/>
  </r>
  <r>
    <x v="58"/>
    <x v="58"/>
    <x v="153"/>
    <x v="479"/>
  </r>
  <r>
    <x v="9"/>
    <x v="9"/>
    <x v="153"/>
    <x v="1368"/>
  </r>
  <r>
    <x v="10"/>
    <x v="10"/>
    <x v="153"/>
    <x v="250"/>
  </r>
  <r>
    <x v="11"/>
    <x v="11"/>
    <x v="153"/>
    <x v="1579"/>
  </r>
  <r>
    <x v="12"/>
    <x v="12"/>
    <x v="153"/>
    <x v="55"/>
  </r>
  <r>
    <x v="29"/>
    <x v="29"/>
    <x v="153"/>
    <x v="887"/>
  </r>
  <r>
    <x v="30"/>
    <x v="30"/>
    <x v="153"/>
    <x v="787"/>
  </r>
  <r>
    <x v="97"/>
    <x v="97"/>
    <x v="153"/>
    <x v="1643"/>
  </r>
  <r>
    <x v="102"/>
    <x v="102"/>
    <x v="153"/>
    <x v="1076"/>
  </r>
  <r>
    <x v="51"/>
    <x v="51"/>
    <x v="153"/>
    <x v="96"/>
  </r>
  <r>
    <x v="69"/>
    <x v="69"/>
    <x v="153"/>
    <x v="15"/>
  </r>
  <r>
    <x v="46"/>
    <x v="46"/>
    <x v="153"/>
    <x v="507"/>
  </r>
  <r>
    <x v="110"/>
    <x v="110"/>
    <x v="153"/>
    <x v="111"/>
  </r>
  <r>
    <x v="14"/>
    <x v="14"/>
    <x v="153"/>
    <x v="230"/>
  </r>
  <r>
    <x v="78"/>
    <x v="78"/>
    <x v="153"/>
    <x v="82"/>
  </r>
  <r>
    <x v="15"/>
    <x v="15"/>
    <x v="153"/>
    <x v="210"/>
  </r>
  <r>
    <x v="17"/>
    <x v="17"/>
    <x v="153"/>
    <x v="1592"/>
  </r>
  <r>
    <x v="50"/>
    <x v="50"/>
    <x v="154"/>
    <x v="15"/>
  </r>
  <r>
    <x v="0"/>
    <x v="0"/>
    <x v="154"/>
    <x v="1644"/>
  </r>
  <r>
    <x v="2"/>
    <x v="2"/>
    <x v="154"/>
    <x v="1645"/>
  </r>
  <r>
    <x v="21"/>
    <x v="21"/>
    <x v="154"/>
    <x v="1646"/>
  </r>
  <r>
    <x v="101"/>
    <x v="101"/>
    <x v="154"/>
    <x v="993"/>
  </r>
  <r>
    <x v="4"/>
    <x v="4"/>
    <x v="154"/>
    <x v="943"/>
  </r>
  <r>
    <x v="5"/>
    <x v="5"/>
    <x v="154"/>
    <x v="556"/>
  </r>
  <r>
    <x v="56"/>
    <x v="56"/>
    <x v="154"/>
    <x v="1647"/>
  </r>
  <r>
    <x v="74"/>
    <x v="74"/>
    <x v="154"/>
    <x v="364"/>
  </r>
  <r>
    <x v="82"/>
    <x v="82"/>
    <x v="154"/>
    <x v="578"/>
  </r>
  <r>
    <x v="88"/>
    <x v="88"/>
    <x v="154"/>
    <x v="1227"/>
  </r>
  <r>
    <x v="63"/>
    <x v="63"/>
    <x v="154"/>
    <x v="1648"/>
  </r>
  <r>
    <x v="8"/>
    <x v="8"/>
    <x v="154"/>
    <x v="821"/>
  </r>
  <r>
    <x v="9"/>
    <x v="9"/>
    <x v="154"/>
    <x v="9"/>
  </r>
  <r>
    <x v="68"/>
    <x v="68"/>
    <x v="154"/>
    <x v="1649"/>
  </r>
  <r>
    <x v="10"/>
    <x v="10"/>
    <x v="154"/>
    <x v="1650"/>
  </r>
  <r>
    <x v="11"/>
    <x v="11"/>
    <x v="154"/>
    <x v="1181"/>
  </r>
  <r>
    <x v="28"/>
    <x v="28"/>
    <x v="154"/>
    <x v="1651"/>
  </r>
  <r>
    <x v="12"/>
    <x v="12"/>
    <x v="154"/>
    <x v="1572"/>
  </r>
  <r>
    <x v="29"/>
    <x v="29"/>
    <x v="154"/>
    <x v="227"/>
  </r>
  <r>
    <x v="30"/>
    <x v="30"/>
    <x v="154"/>
    <x v="901"/>
  </r>
  <r>
    <x v="84"/>
    <x v="84"/>
    <x v="154"/>
    <x v="1280"/>
  </r>
  <r>
    <x v="40"/>
    <x v="40"/>
    <x v="154"/>
    <x v="813"/>
  </r>
  <r>
    <x v="32"/>
    <x v="32"/>
    <x v="154"/>
    <x v="1417"/>
  </r>
  <r>
    <x v="45"/>
    <x v="45"/>
    <x v="154"/>
    <x v="1652"/>
  </r>
  <r>
    <x v="69"/>
    <x v="69"/>
    <x v="154"/>
    <x v="300"/>
  </r>
  <r>
    <x v="96"/>
    <x v="96"/>
    <x v="154"/>
    <x v="160"/>
  </r>
  <r>
    <x v="46"/>
    <x v="46"/>
    <x v="154"/>
    <x v="210"/>
  </r>
  <r>
    <x v="14"/>
    <x v="14"/>
    <x v="154"/>
    <x v="98"/>
  </r>
  <r>
    <x v="111"/>
    <x v="111"/>
    <x v="154"/>
    <x v="62"/>
  </r>
  <r>
    <x v="78"/>
    <x v="78"/>
    <x v="154"/>
    <x v="62"/>
  </r>
  <r>
    <x v="15"/>
    <x v="15"/>
    <x v="154"/>
    <x v="533"/>
  </r>
  <r>
    <x v="48"/>
    <x v="48"/>
    <x v="155"/>
    <x v="507"/>
  </r>
  <r>
    <x v="0"/>
    <x v="0"/>
    <x v="155"/>
    <x v="1518"/>
  </r>
  <r>
    <x v="76"/>
    <x v="76"/>
    <x v="155"/>
    <x v="301"/>
  </r>
  <r>
    <x v="2"/>
    <x v="2"/>
    <x v="155"/>
    <x v="1653"/>
  </r>
  <r>
    <x v="20"/>
    <x v="20"/>
    <x v="155"/>
    <x v="65"/>
  </r>
  <r>
    <x v="21"/>
    <x v="21"/>
    <x v="155"/>
    <x v="1654"/>
  </r>
  <r>
    <x v="3"/>
    <x v="3"/>
    <x v="155"/>
    <x v="878"/>
  </r>
  <r>
    <x v="35"/>
    <x v="35"/>
    <x v="155"/>
    <x v="1655"/>
  </r>
  <r>
    <x v="4"/>
    <x v="4"/>
    <x v="155"/>
    <x v="103"/>
  </r>
  <r>
    <x v="87"/>
    <x v="87"/>
    <x v="155"/>
    <x v="721"/>
  </r>
  <r>
    <x v="5"/>
    <x v="5"/>
    <x v="155"/>
    <x v="1656"/>
  </r>
  <r>
    <x v="23"/>
    <x v="23"/>
    <x v="155"/>
    <x v="439"/>
  </r>
  <r>
    <x v="70"/>
    <x v="70"/>
    <x v="155"/>
    <x v="1657"/>
  </r>
  <r>
    <x v="99"/>
    <x v="99"/>
    <x v="155"/>
    <x v="1658"/>
  </r>
  <r>
    <x v="100"/>
    <x v="100"/>
    <x v="155"/>
    <x v="1659"/>
  </r>
  <r>
    <x v="8"/>
    <x v="8"/>
    <x v="155"/>
    <x v="1033"/>
  </r>
  <r>
    <x v="9"/>
    <x v="9"/>
    <x v="155"/>
    <x v="1236"/>
  </r>
  <r>
    <x v="68"/>
    <x v="68"/>
    <x v="155"/>
    <x v="1660"/>
  </r>
  <r>
    <x v="38"/>
    <x v="38"/>
    <x v="155"/>
    <x v="1661"/>
  </r>
  <r>
    <x v="10"/>
    <x v="10"/>
    <x v="155"/>
    <x v="1662"/>
  </r>
  <r>
    <x v="11"/>
    <x v="11"/>
    <x v="155"/>
    <x v="845"/>
  </r>
  <r>
    <x v="12"/>
    <x v="12"/>
    <x v="155"/>
    <x v="1663"/>
  </r>
  <r>
    <x v="29"/>
    <x v="29"/>
    <x v="155"/>
    <x v="1664"/>
  </r>
  <r>
    <x v="43"/>
    <x v="43"/>
    <x v="155"/>
    <x v="786"/>
  </r>
  <r>
    <x v="30"/>
    <x v="30"/>
    <x v="155"/>
    <x v="1665"/>
  </r>
  <r>
    <x v="31"/>
    <x v="31"/>
    <x v="155"/>
    <x v="874"/>
  </r>
  <r>
    <x v="64"/>
    <x v="64"/>
    <x v="155"/>
    <x v="632"/>
  </r>
  <r>
    <x v="32"/>
    <x v="32"/>
    <x v="155"/>
    <x v="1666"/>
  </r>
  <r>
    <x v="102"/>
    <x v="102"/>
    <x v="155"/>
    <x v="77"/>
  </r>
  <r>
    <x v="51"/>
    <x v="51"/>
    <x v="155"/>
    <x v="673"/>
  </r>
  <r>
    <x v="46"/>
    <x v="46"/>
    <x v="155"/>
    <x v="82"/>
  </r>
  <r>
    <x v="110"/>
    <x v="110"/>
    <x v="155"/>
    <x v="111"/>
  </r>
  <r>
    <x v="14"/>
    <x v="14"/>
    <x v="155"/>
    <x v="85"/>
  </r>
  <r>
    <x v="78"/>
    <x v="78"/>
    <x v="155"/>
    <x v="82"/>
  </r>
  <r>
    <x v="15"/>
    <x v="15"/>
    <x v="155"/>
    <x v="209"/>
  </r>
  <r>
    <x v="0"/>
    <x v="0"/>
    <x v="156"/>
    <x v="340"/>
  </r>
  <r>
    <x v="2"/>
    <x v="2"/>
    <x v="156"/>
    <x v="754"/>
  </r>
  <r>
    <x v="20"/>
    <x v="20"/>
    <x v="156"/>
    <x v="22"/>
  </r>
  <r>
    <x v="21"/>
    <x v="21"/>
    <x v="156"/>
    <x v="675"/>
  </r>
  <r>
    <x v="3"/>
    <x v="3"/>
    <x v="156"/>
    <x v="1240"/>
  </r>
  <r>
    <x v="4"/>
    <x v="4"/>
    <x v="156"/>
    <x v="1667"/>
  </r>
  <r>
    <x v="5"/>
    <x v="5"/>
    <x v="156"/>
    <x v="1668"/>
  </r>
  <r>
    <x v="23"/>
    <x v="23"/>
    <x v="156"/>
    <x v="1200"/>
  </r>
  <r>
    <x v="55"/>
    <x v="55"/>
    <x v="156"/>
    <x v="1266"/>
  </r>
  <r>
    <x v="70"/>
    <x v="70"/>
    <x v="156"/>
    <x v="1657"/>
  </r>
  <r>
    <x v="26"/>
    <x v="26"/>
    <x v="156"/>
    <x v="932"/>
  </r>
  <r>
    <x v="61"/>
    <x v="61"/>
    <x v="156"/>
    <x v="1150"/>
  </r>
  <r>
    <x v="36"/>
    <x v="36"/>
    <x v="156"/>
    <x v="1669"/>
  </r>
  <r>
    <x v="74"/>
    <x v="74"/>
    <x v="156"/>
    <x v="104"/>
  </r>
  <r>
    <x v="82"/>
    <x v="82"/>
    <x v="156"/>
    <x v="1670"/>
  </r>
  <r>
    <x v="8"/>
    <x v="8"/>
    <x v="156"/>
    <x v="736"/>
  </r>
  <r>
    <x v="9"/>
    <x v="9"/>
    <x v="156"/>
    <x v="1110"/>
  </r>
  <r>
    <x v="38"/>
    <x v="38"/>
    <x v="156"/>
    <x v="591"/>
  </r>
  <r>
    <x v="10"/>
    <x v="10"/>
    <x v="156"/>
    <x v="1671"/>
  </r>
  <r>
    <x v="27"/>
    <x v="27"/>
    <x v="156"/>
    <x v="372"/>
  </r>
  <r>
    <x v="11"/>
    <x v="11"/>
    <x v="156"/>
    <x v="845"/>
  </r>
  <r>
    <x v="28"/>
    <x v="28"/>
    <x v="156"/>
    <x v="224"/>
  </r>
  <r>
    <x v="12"/>
    <x v="12"/>
    <x v="156"/>
    <x v="55"/>
  </r>
  <r>
    <x v="29"/>
    <x v="29"/>
    <x v="156"/>
    <x v="1426"/>
  </r>
  <r>
    <x v="72"/>
    <x v="72"/>
    <x v="156"/>
    <x v="1672"/>
  </r>
  <r>
    <x v="30"/>
    <x v="30"/>
    <x v="156"/>
    <x v="1451"/>
  </r>
  <r>
    <x v="32"/>
    <x v="32"/>
    <x v="156"/>
    <x v="506"/>
  </r>
  <r>
    <x v="51"/>
    <x v="51"/>
    <x v="156"/>
    <x v="807"/>
  </r>
  <r>
    <x v="46"/>
    <x v="46"/>
    <x v="156"/>
    <x v="209"/>
  </r>
  <r>
    <x v="14"/>
    <x v="14"/>
    <x v="156"/>
    <x v="40"/>
  </r>
  <r>
    <x v="15"/>
    <x v="15"/>
    <x v="156"/>
    <x v="111"/>
  </r>
  <r>
    <x v="83"/>
    <x v="83"/>
    <x v="156"/>
    <x v="62"/>
  </r>
  <r>
    <x v="0"/>
    <x v="0"/>
    <x v="157"/>
    <x v="1673"/>
  </r>
  <r>
    <x v="76"/>
    <x v="76"/>
    <x v="157"/>
    <x v="301"/>
  </r>
  <r>
    <x v="2"/>
    <x v="2"/>
    <x v="157"/>
    <x v="341"/>
  </r>
  <r>
    <x v="23"/>
    <x v="23"/>
    <x v="157"/>
    <x v="1674"/>
  </r>
  <r>
    <x v="26"/>
    <x v="26"/>
    <x v="157"/>
    <x v="932"/>
  </r>
  <r>
    <x v="79"/>
    <x v="79"/>
    <x v="157"/>
    <x v="1675"/>
  </r>
  <r>
    <x v="74"/>
    <x v="74"/>
    <x v="157"/>
    <x v="104"/>
  </r>
  <r>
    <x v="8"/>
    <x v="8"/>
    <x v="157"/>
    <x v="324"/>
  </r>
  <r>
    <x v="9"/>
    <x v="9"/>
    <x v="157"/>
    <x v="387"/>
  </r>
  <r>
    <x v="10"/>
    <x v="10"/>
    <x v="157"/>
    <x v="1676"/>
  </r>
  <r>
    <x v="11"/>
    <x v="11"/>
    <x v="157"/>
    <x v="1677"/>
  </r>
  <r>
    <x v="72"/>
    <x v="72"/>
    <x v="157"/>
    <x v="888"/>
  </r>
  <r>
    <x v="30"/>
    <x v="30"/>
    <x v="157"/>
    <x v="1053"/>
  </r>
  <r>
    <x v="40"/>
    <x v="40"/>
    <x v="157"/>
    <x v="1500"/>
  </r>
  <r>
    <x v="31"/>
    <x v="31"/>
    <x v="157"/>
    <x v="60"/>
  </r>
  <r>
    <x v="64"/>
    <x v="64"/>
    <x v="157"/>
    <x v="1678"/>
  </r>
  <r>
    <x v="32"/>
    <x v="32"/>
    <x v="157"/>
    <x v="1679"/>
  </r>
  <r>
    <x v="46"/>
    <x v="46"/>
    <x v="157"/>
    <x v="82"/>
  </r>
  <r>
    <x v="14"/>
    <x v="14"/>
    <x v="157"/>
    <x v="111"/>
  </r>
  <r>
    <x v="78"/>
    <x v="78"/>
    <x v="157"/>
    <x v="16"/>
  </r>
  <r>
    <x v="15"/>
    <x v="15"/>
    <x v="157"/>
    <x v="111"/>
  </r>
  <r>
    <x v="16"/>
    <x v="16"/>
    <x v="157"/>
    <x v="40"/>
  </r>
  <r>
    <x v="18"/>
    <x v="18"/>
    <x v="158"/>
    <x v="111"/>
  </r>
  <r>
    <x v="19"/>
    <x v="19"/>
    <x v="158"/>
    <x v="1680"/>
  </r>
  <r>
    <x v="0"/>
    <x v="0"/>
    <x v="158"/>
    <x v="1170"/>
  </r>
  <r>
    <x v="76"/>
    <x v="76"/>
    <x v="158"/>
    <x v="1681"/>
  </r>
  <r>
    <x v="2"/>
    <x v="2"/>
    <x v="158"/>
    <x v="2"/>
  </r>
  <r>
    <x v="20"/>
    <x v="20"/>
    <x v="158"/>
    <x v="22"/>
  </r>
  <r>
    <x v="21"/>
    <x v="21"/>
    <x v="158"/>
    <x v="232"/>
  </r>
  <r>
    <x v="4"/>
    <x v="4"/>
    <x v="158"/>
    <x v="1682"/>
  </r>
  <r>
    <x v="87"/>
    <x v="87"/>
    <x v="158"/>
    <x v="1405"/>
  </r>
  <r>
    <x v="23"/>
    <x v="23"/>
    <x v="158"/>
    <x v="1575"/>
  </r>
  <r>
    <x v="26"/>
    <x v="26"/>
    <x v="158"/>
    <x v="1207"/>
  </r>
  <r>
    <x v="57"/>
    <x v="57"/>
    <x v="158"/>
    <x v="1683"/>
  </r>
  <r>
    <x v="82"/>
    <x v="82"/>
    <x v="158"/>
    <x v="20"/>
  </r>
  <r>
    <x v="88"/>
    <x v="88"/>
    <x v="158"/>
    <x v="1121"/>
  </r>
  <r>
    <x v="63"/>
    <x v="63"/>
    <x v="158"/>
    <x v="1684"/>
  </r>
  <r>
    <x v="7"/>
    <x v="7"/>
    <x v="158"/>
    <x v="405"/>
  </r>
  <r>
    <x v="98"/>
    <x v="98"/>
    <x v="158"/>
    <x v="1008"/>
  </r>
  <r>
    <x v="37"/>
    <x v="37"/>
    <x v="158"/>
    <x v="665"/>
  </r>
  <r>
    <x v="8"/>
    <x v="8"/>
    <x v="158"/>
    <x v="736"/>
  </r>
  <r>
    <x v="9"/>
    <x v="9"/>
    <x v="158"/>
    <x v="1685"/>
  </r>
  <r>
    <x v="38"/>
    <x v="38"/>
    <x v="158"/>
    <x v="1506"/>
  </r>
  <r>
    <x v="10"/>
    <x v="10"/>
    <x v="158"/>
    <x v="1686"/>
  </r>
  <r>
    <x v="11"/>
    <x v="11"/>
    <x v="158"/>
    <x v="1687"/>
  </r>
  <r>
    <x v="12"/>
    <x v="12"/>
    <x v="158"/>
    <x v="12"/>
  </r>
  <r>
    <x v="59"/>
    <x v="59"/>
    <x v="158"/>
    <x v="1688"/>
  </r>
  <r>
    <x v="29"/>
    <x v="29"/>
    <x v="158"/>
    <x v="1145"/>
  </r>
  <r>
    <x v="30"/>
    <x v="30"/>
    <x v="158"/>
    <x v="1689"/>
  </r>
  <r>
    <x v="91"/>
    <x v="91"/>
    <x v="158"/>
    <x v="1690"/>
  </r>
  <r>
    <x v="31"/>
    <x v="31"/>
    <x v="158"/>
    <x v="295"/>
  </r>
  <r>
    <x v="64"/>
    <x v="64"/>
    <x v="158"/>
    <x v="1691"/>
  </r>
  <r>
    <x v="32"/>
    <x v="32"/>
    <x v="158"/>
    <x v="38"/>
  </r>
  <r>
    <x v="51"/>
    <x v="51"/>
    <x v="158"/>
    <x v="807"/>
  </r>
  <r>
    <x v="46"/>
    <x v="46"/>
    <x v="158"/>
    <x v="1232"/>
  </r>
  <r>
    <x v="110"/>
    <x v="110"/>
    <x v="158"/>
    <x v="111"/>
  </r>
  <r>
    <x v="14"/>
    <x v="14"/>
    <x v="158"/>
    <x v="245"/>
  </r>
  <r>
    <x v="78"/>
    <x v="78"/>
    <x v="158"/>
    <x v="160"/>
  </r>
  <r>
    <x v="15"/>
    <x v="15"/>
    <x v="158"/>
    <x v="62"/>
  </r>
  <r>
    <x v="16"/>
    <x v="16"/>
    <x v="158"/>
    <x v="40"/>
  </r>
  <r>
    <x v="17"/>
    <x v="17"/>
    <x v="158"/>
    <x v="500"/>
  </r>
  <r>
    <x v="49"/>
    <x v="49"/>
    <x v="159"/>
    <x v="15"/>
  </r>
  <r>
    <x v="2"/>
    <x v="2"/>
    <x v="159"/>
    <x v="231"/>
  </r>
  <r>
    <x v="21"/>
    <x v="21"/>
    <x v="159"/>
    <x v="1692"/>
  </r>
  <r>
    <x v="3"/>
    <x v="3"/>
    <x v="159"/>
    <x v="1466"/>
  </r>
  <r>
    <x v="4"/>
    <x v="4"/>
    <x v="159"/>
    <x v="1693"/>
  </r>
  <r>
    <x v="5"/>
    <x v="5"/>
    <x v="159"/>
    <x v="422"/>
  </r>
  <r>
    <x v="23"/>
    <x v="23"/>
    <x v="159"/>
    <x v="1694"/>
  </r>
  <r>
    <x v="55"/>
    <x v="55"/>
    <x v="159"/>
    <x v="194"/>
  </r>
  <r>
    <x v="70"/>
    <x v="70"/>
    <x v="159"/>
    <x v="895"/>
  </r>
  <r>
    <x v="26"/>
    <x v="26"/>
    <x v="159"/>
    <x v="1695"/>
  </r>
  <r>
    <x v="36"/>
    <x v="36"/>
    <x v="159"/>
    <x v="692"/>
  </r>
  <r>
    <x v="8"/>
    <x v="8"/>
    <x v="159"/>
    <x v="238"/>
  </r>
  <r>
    <x v="9"/>
    <x v="9"/>
    <x v="159"/>
    <x v="36"/>
  </r>
  <r>
    <x v="68"/>
    <x v="68"/>
    <x v="159"/>
    <x v="1305"/>
  </r>
  <r>
    <x v="38"/>
    <x v="38"/>
    <x v="159"/>
    <x v="591"/>
  </r>
  <r>
    <x v="10"/>
    <x v="10"/>
    <x v="159"/>
    <x v="1696"/>
  </r>
  <r>
    <x v="11"/>
    <x v="11"/>
    <x v="159"/>
    <x v="1697"/>
  </r>
  <r>
    <x v="28"/>
    <x v="28"/>
    <x v="159"/>
    <x v="1116"/>
  </r>
  <r>
    <x v="12"/>
    <x v="12"/>
    <x v="159"/>
    <x v="949"/>
  </r>
  <r>
    <x v="29"/>
    <x v="29"/>
    <x v="159"/>
    <x v="907"/>
  </r>
  <r>
    <x v="30"/>
    <x v="30"/>
    <x v="159"/>
    <x v="1471"/>
  </r>
  <r>
    <x v="97"/>
    <x v="97"/>
    <x v="159"/>
    <x v="1091"/>
  </r>
  <r>
    <x v="64"/>
    <x v="64"/>
    <x v="159"/>
    <x v="775"/>
  </r>
  <r>
    <x v="32"/>
    <x v="32"/>
    <x v="159"/>
    <x v="338"/>
  </r>
  <r>
    <x v="51"/>
    <x v="51"/>
    <x v="159"/>
    <x v="673"/>
  </r>
  <r>
    <x v="69"/>
    <x v="69"/>
    <x v="159"/>
    <x v="63"/>
  </r>
  <r>
    <x v="96"/>
    <x v="96"/>
    <x v="159"/>
    <x v="16"/>
  </r>
  <r>
    <x v="46"/>
    <x v="46"/>
    <x v="159"/>
    <x v="159"/>
  </r>
  <r>
    <x v="14"/>
    <x v="14"/>
    <x v="159"/>
    <x v="209"/>
  </r>
  <r>
    <x v="78"/>
    <x v="78"/>
    <x v="159"/>
    <x v="40"/>
  </r>
  <r>
    <x v="16"/>
    <x v="16"/>
    <x v="159"/>
    <x v="111"/>
  </r>
  <r>
    <x v="75"/>
    <x v="75"/>
    <x v="160"/>
    <x v="63"/>
  </r>
  <r>
    <x v="19"/>
    <x v="19"/>
    <x v="160"/>
    <x v="645"/>
  </r>
  <r>
    <x v="0"/>
    <x v="0"/>
    <x v="160"/>
    <x v="658"/>
  </r>
  <r>
    <x v="76"/>
    <x v="76"/>
    <x v="160"/>
    <x v="1465"/>
  </r>
  <r>
    <x v="2"/>
    <x v="2"/>
    <x v="160"/>
    <x v="361"/>
  </r>
  <r>
    <x v="20"/>
    <x v="20"/>
    <x v="160"/>
    <x v="118"/>
  </r>
  <r>
    <x v="21"/>
    <x v="21"/>
    <x v="160"/>
    <x v="102"/>
  </r>
  <r>
    <x v="4"/>
    <x v="4"/>
    <x v="160"/>
    <x v="116"/>
  </r>
  <r>
    <x v="87"/>
    <x v="87"/>
    <x v="160"/>
    <x v="862"/>
  </r>
  <r>
    <x v="23"/>
    <x v="23"/>
    <x v="160"/>
    <x v="989"/>
  </r>
  <r>
    <x v="67"/>
    <x v="67"/>
    <x v="160"/>
    <x v="1302"/>
  </r>
  <r>
    <x v="79"/>
    <x v="79"/>
    <x v="160"/>
    <x v="1698"/>
  </r>
  <r>
    <x v="36"/>
    <x v="36"/>
    <x v="160"/>
    <x v="1699"/>
  </r>
  <r>
    <x v="8"/>
    <x v="8"/>
    <x v="160"/>
    <x v="270"/>
  </r>
  <r>
    <x v="9"/>
    <x v="9"/>
    <x v="160"/>
    <x v="1700"/>
  </r>
  <r>
    <x v="68"/>
    <x v="68"/>
    <x v="160"/>
    <x v="309"/>
  </r>
  <r>
    <x v="38"/>
    <x v="38"/>
    <x v="160"/>
    <x v="353"/>
  </r>
  <r>
    <x v="10"/>
    <x v="10"/>
    <x v="160"/>
    <x v="10"/>
  </r>
  <r>
    <x v="11"/>
    <x v="11"/>
    <x v="160"/>
    <x v="1701"/>
  </r>
  <r>
    <x v="28"/>
    <x v="28"/>
    <x v="160"/>
    <x v="886"/>
  </r>
  <r>
    <x v="12"/>
    <x v="12"/>
    <x v="160"/>
    <x v="1702"/>
  </r>
  <r>
    <x v="59"/>
    <x v="59"/>
    <x v="160"/>
    <x v="925"/>
  </r>
  <r>
    <x v="29"/>
    <x v="29"/>
    <x v="160"/>
    <x v="656"/>
  </r>
  <r>
    <x v="30"/>
    <x v="30"/>
    <x v="160"/>
    <x v="1703"/>
  </r>
  <r>
    <x v="32"/>
    <x v="32"/>
    <x v="160"/>
    <x v="338"/>
  </r>
  <r>
    <x v="46"/>
    <x v="46"/>
    <x v="160"/>
    <x v="826"/>
  </r>
  <r>
    <x v="110"/>
    <x v="110"/>
    <x v="160"/>
    <x v="111"/>
  </r>
  <r>
    <x v="14"/>
    <x v="14"/>
    <x v="160"/>
    <x v="245"/>
  </r>
  <r>
    <x v="78"/>
    <x v="78"/>
    <x v="160"/>
    <x v="507"/>
  </r>
  <r>
    <x v="15"/>
    <x v="15"/>
    <x v="160"/>
    <x v="111"/>
  </r>
  <r>
    <x v="16"/>
    <x v="16"/>
    <x v="160"/>
    <x v="62"/>
  </r>
  <r>
    <x v="17"/>
    <x v="17"/>
    <x v="160"/>
    <x v="615"/>
  </r>
  <r>
    <x v="2"/>
    <x v="2"/>
    <x v="161"/>
    <x v="81"/>
  </r>
  <r>
    <x v="21"/>
    <x v="21"/>
    <x v="161"/>
    <x v="598"/>
  </r>
  <r>
    <x v="37"/>
    <x v="37"/>
    <x v="161"/>
    <x v="351"/>
  </r>
  <r>
    <x v="38"/>
    <x v="38"/>
    <x v="161"/>
    <x v="1148"/>
  </r>
  <r>
    <x v="11"/>
    <x v="11"/>
    <x v="161"/>
    <x v="1704"/>
  </r>
  <r>
    <x v="12"/>
    <x v="12"/>
    <x v="161"/>
    <x v="1705"/>
  </r>
  <r>
    <x v="30"/>
    <x v="30"/>
    <x v="161"/>
    <x v="431"/>
  </r>
  <r>
    <x v="31"/>
    <x v="31"/>
    <x v="161"/>
    <x v="1706"/>
  </r>
  <r>
    <x v="73"/>
    <x v="73"/>
    <x v="161"/>
    <x v="1707"/>
  </r>
  <r>
    <x v="69"/>
    <x v="69"/>
    <x v="161"/>
    <x v="111"/>
  </r>
  <r>
    <x v="46"/>
    <x v="46"/>
    <x v="161"/>
    <x v="500"/>
  </r>
  <r>
    <x v="15"/>
    <x v="15"/>
    <x v="161"/>
    <x v="160"/>
  </r>
  <r>
    <x v="0"/>
    <x v="0"/>
    <x v="162"/>
    <x v="470"/>
  </r>
  <r>
    <x v="2"/>
    <x v="2"/>
    <x v="162"/>
    <x v="1708"/>
  </r>
  <r>
    <x v="21"/>
    <x v="21"/>
    <x v="162"/>
    <x v="517"/>
  </r>
  <r>
    <x v="3"/>
    <x v="3"/>
    <x v="162"/>
    <x v="1084"/>
  </r>
  <r>
    <x v="101"/>
    <x v="101"/>
    <x v="162"/>
    <x v="1709"/>
  </r>
  <r>
    <x v="4"/>
    <x v="4"/>
    <x v="162"/>
    <x v="4"/>
  </r>
  <r>
    <x v="5"/>
    <x v="5"/>
    <x v="162"/>
    <x v="520"/>
  </r>
  <r>
    <x v="61"/>
    <x v="61"/>
    <x v="162"/>
    <x v="1710"/>
  </r>
  <r>
    <x v="86"/>
    <x v="86"/>
    <x v="162"/>
    <x v="523"/>
  </r>
  <r>
    <x v="74"/>
    <x v="74"/>
    <x v="162"/>
    <x v="403"/>
  </r>
  <r>
    <x v="63"/>
    <x v="63"/>
    <x v="162"/>
    <x v="424"/>
  </r>
  <r>
    <x v="37"/>
    <x v="37"/>
    <x v="162"/>
    <x v="70"/>
  </r>
  <r>
    <x v="8"/>
    <x v="8"/>
    <x v="162"/>
    <x v="288"/>
  </r>
  <r>
    <x v="9"/>
    <x v="9"/>
    <x v="162"/>
    <x v="289"/>
  </r>
  <r>
    <x v="38"/>
    <x v="38"/>
    <x v="162"/>
    <x v="591"/>
  </r>
  <r>
    <x v="10"/>
    <x v="10"/>
    <x v="162"/>
    <x v="654"/>
  </r>
  <r>
    <x v="11"/>
    <x v="11"/>
    <x v="162"/>
    <x v="1579"/>
  </r>
  <r>
    <x v="29"/>
    <x v="29"/>
    <x v="162"/>
    <x v="1711"/>
  </r>
  <r>
    <x v="30"/>
    <x v="30"/>
    <x v="162"/>
    <x v="995"/>
  </r>
  <r>
    <x v="44"/>
    <x v="44"/>
    <x v="162"/>
    <x v="986"/>
  </r>
  <r>
    <x v="45"/>
    <x v="45"/>
    <x v="162"/>
    <x v="1712"/>
  </r>
  <r>
    <x v="51"/>
    <x v="51"/>
    <x v="162"/>
    <x v="673"/>
  </r>
  <r>
    <x v="96"/>
    <x v="96"/>
    <x v="162"/>
    <x v="82"/>
  </r>
  <r>
    <x v="46"/>
    <x v="46"/>
    <x v="162"/>
    <x v="1116"/>
  </r>
  <r>
    <x v="14"/>
    <x v="14"/>
    <x v="162"/>
    <x v="98"/>
  </r>
  <r>
    <x v="78"/>
    <x v="78"/>
    <x v="162"/>
    <x v="111"/>
  </r>
  <r>
    <x v="16"/>
    <x v="16"/>
    <x v="162"/>
    <x v="111"/>
  </r>
  <r>
    <x v="2"/>
    <x v="2"/>
    <x v="163"/>
    <x v="81"/>
  </r>
  <r>
    <x v="21"/>
    <x v="21"/>
    <x v="163"/>
    <x v="1455"/>
  </r>
  <r>
    <x v="4"/>
    <x v="4"/>
    <x v="163"/>
    <x v="281"/>
  </r>
  <r>
    <x v="52"/>
    <x v="52"/>
    <x v="163"/>
    <x v="403"/>
  </r>
  <r>
    <x v="5"/>
    <x v="5"/>
    <x v="163"/>
    <x v="265"/>
  </r>
  <r>
    <x v="65"/>
    <x v="65"/>
    <x v="163"/>
    <x v="147"/>
  </r>
  <r>
    <x v="23"/>
    <x v="23"/>
    <x v="163"/>
    <x v="118"/>
  </r>
  <r>
    <x v="67"/>
    <x v="67"/>
    <x v="163"/>
    <x v="1713"/>
  </r>
  <r>
    <x v="26"/>
    <x v="26"/>
    <x v="163"/>
    <x v="195"/>
  </r>
  <r>
    <x v="8"/>
    <x v="8"/>
    <x v="163"/>
    <x v="1714"/>
  </r>
  <r>
    <x v="9"/>
    <x v="9"/>
    <x v="163"/>
    <x v="9"/>
  </r>
  <r>
    <x v="38"/>
    <x v="38"/>
    <x v="163"/>
    <x v="833"/>
  </r>
  <r>
    <x v="10"/>
    <x v="10"/>
    <x v="163"/>
    <x v="1715"/>
  </r>
  <r>
    <x v="11"/>
    <x v="11"/>
    <x v="163"/>
    <x v="1716"/>
  </r>
  <r>
    <x v="28"/>
    <x v="28"/>
    <x v="163"/>
    <x v="1717"/>
  </r>
  <r>
    <x v="12"/>
    <x v="12"/>
    <x v="163"/>
    <x v="1161"/>
  </r>
  <r>
    <x v="29"/>
    <x v="29"/>
    <x v="163"/>
    <x v="75"/>
  </r>
  <r>
    <x v="30"/>
    <x v="30"/>
    <x v="163"/>
    <x v="77"/>
  </r>
  <r>
    <x v="97"/>
    <x v="97"/>
    <x v="163"/>
    <x v="1643"/>
  </r>
  <r>
    <x v="31"/>
    <x v="31"/>
    <x v="163"/>
    <x v="1718"/>
  </r>
  <r>
    <x v="73"/>
    <x v="73"/>
    <x v="163"/>
    <x v="1719"/>
  </r>
  <r>
    <x v="51"/>
    <x v="51"/>
    <x v="163"/>
    <x v="1720"/>
  </r>
  <r>
    <x v="69"/>
    <x v="69"/>
    <x v="163"/>
    <x v="62"/>
  </r>
  <r>
    <x v="46"/>
    <x v="46"/>
    <x v="163"/>
    <x v="740"/>
  </r>
  <r>
    <x v="110"/>
    <x v="110"/>
    <x v="163"/>
    <x v="14"/>
  </r>
  <r>
    <x v="14"/>
    <x v="14"/>
    <x v="163"/>
    <x v="15"/>
  </r>
  <r>
    <x v="78"/>
    <x v="78"/>
    <x v="163"/>
    <x v="62"/>
  </r>
  <r>
    <x v="16"/>
    <x v="16"/>
    <x v="163"/>
    <x v="62"/>
  </r>
  <r>
    <x v="0"/>
    <x v="0"/>
    <x v="164"/>
    <x v="1205"/>
  </r>
  <r>
    <x v="2"/>
    <x v="2"/>
    <x v="164"/>
    <x v="909"/>
  </r>
  <r>
    <x v="20"/>
    <x v="20"/>
    <x v="164"/>
    <x v="65"/>
  </r>
  <r>
    <x v="21"/>
    <x v="21"/>
    <x v="164"/>
    <x v="472"/>
  </r>
  <r>
    <x v="101"/>
    <x v="101"/>
    <x v="164"/>
    <x v="1721"/>
  </r>
  <r>
    <x v="4"/>
    <x v="4"/>
    <x v="164"/>
    <x v="969"/>
  </r>
  <r>
    <x v="55"/>
    <x v="55"/>
    <x v="164"/>
    <x v="194"/>
  </r>
  <r>
    <x v="26"/>
    <x v="26"/>
    <x v="164"/>
    <x v="268"/>
  </r>
  <r>
    <x v="36"/>
    <x v="36"/>
    <x v="164"/>
    <x v="1541"/>
  </r>
  <r>
    <x v="98"/>
    <x v="98"/>
    <x v="164"/>
    <x v="1722"/>
  </r>
  <r>
    <x v="8"/>
    <x v="8"/>
    <x v="164"/>
    <x v="550"/>
  </r>
  <r>
    <x v="9"/>
    <x v="9"/>
    <x v="164"/>
    <x v="289"/>
  </r>
  <r>
    <x v="10"/>
    <x v="10"/>
    <x v="164"/>
    <x v="639"/>
  </r>
  <r>
    <x v="11"/>
    <x v="11"/>
    <x v="164"/>
    <x v="1321"/>
  </r>
  <r>
    <x v="12"/>
    <x v="12"/>
    <x v="164"/>
    <x v="528"/>
  </r>
  <r>
    <x v="29"/>
    <x v="29"/>
    <x v="164"/>
    <x v="1606"/>
  </r>
  <r>
    <x v="30"/>
    <x v="30"/>
    <x v="164"/>
    <x v="1723"/>
  </r>
  <r>
    <x v="64"/>
    <x v="64"/>
    <x v="164"/>
    <x v="503"/>
  </r>
  <r>
    <x v="46"/>
    <x v="46"/>
    <x v="164"/>
    <x v="145"/>
  </r>
  <r>
    <x v="14"/>
    <x v="14"/>
    <x v="164"/>
    <x v="230"/>
  </r>
  <r>
    <x v="83"/>
    <x v="83"/>
    <x v="164"/>
    <x v="40"/>
  </r>
  <r>
    <x v="2"/>
    <x v="2"/>
    <x v="165"/>
    <x v="396"/>
  </r>
  <r>
    <x v="21"/>
    <x v="21"/>
    <x v="165"/>
    <x v="302"/>
  </r>
  <r>
    <x v="3"/>
    <x v="3"/>
    <x v="165"/>
    <x v="190"/>
  </r>
  <r>
    <x v="4"/>
    <x v="4"/>
    <x v="165"/>
    <x v="519"/>
  </r>
  <r>
    <x v="52"/>
    <x v="52"/>
    <x v="165"/>
    <x v="421"/>
  </r>
  <r>
    <x v="5"/>
    <x v="5"/>
    <x v="165"/>
    <x v="796"/>
  </r>
  <r>
    <x v="23"/>
    <x v="23"/>
    <x v="165"/>
    <x v="1724"/>
  </r>
  <r>
    <x v="70"/>
    <x v="70"/>
    <x v="165"/>
    <x v="1725"/>
  </r>
  <r>
    <x v="26"/>
    <x v="26"/>
    <x v="165"/>
    <x v="1726"/>
  </r>
  <r>
    <x v="79"/>
    <x v="79"/>
    <x v="165"/>
    <x v="1727"/>
  </r>
  <r>
    <x v="61"/>
    <x v="61"/>
    <x v="165"/>
    <x v="1728"/>
  </r>
  <r>
    <x v="8"/>
    <x v="8"/>
    <x v="165"/>
    <x v="666"/>
  </r>
  <r>
    <x v="9"/>
    <x v="9"/>
    <x v="165"/>
    <x v="1171"/>
  </r>
  <r>
    <x v="38"/>
    <x v="38"/>
    <x v="165"/>
    <x v="1729"/>
  </r>
  <r>
    <x v="10"/>
    <x v="10"/>
    <x v="165"/>
    <x v="1730"/>
  </r>
  <r>
    <x v="11"/>
    <x v="11"/>
    <x v="165"/>
    <x v="1731"/>
  </r>
  <r>
    <x v="59"/>
    <x v="59"/>
    <x v="165"/>
    <x v="925"/>
  </r>
  <r>
    <x v="29"/>
    <x v="29"/>
    <x v="165"/>
    <x v="1732"/>
  </r>
  <r>
    <x v="30"/>
    <x v="30"/>
    <x v="165"/>
    <x v="1153"/>
  </r>
  <r>
    <x v="97"/>
    <x v="97"/>
    <x v="165"/>
    <x v="1186"/>
  </r>
  <r>
    <x v="84"/>
    <x v="84"/>
    <x v="165"/>
    <x v="1040"/>
  </r>
  <r>
    <x v="40"/>
    <x v="40"/>
    <x v="165"/>
    <x v="1733"/>
  </r>
  <r>
    <x v="31"/>
    <x v="31"/>
    <x v="165"/>
    <x v="295"/>
  </r>
  <r>
    <x v="32"/>
    <x v="32"/>
    <x v="165"/>
    <x v="506"/>
  </r>
  <r>
    <x v="51"/>
    <x v="51"/>
    <x v="165"/>
    <x v="96"/>
  </r>
  <r>
    <x v="46"/>
    <x v="46"/>
    <x v="165"/>
    <x v="18"/>
  </r>
  <r>
    <x v="110"/>
    <x v="110"/>
    <x v="165"/>
    <x v="376"/>
  </r>
  <r>
    <x v="14"/>
    <x v="14"/>
    <x v="165"/>
    <x v="111"/>
  </r>
  <r>
    <x v="17"/>
    <x v="17"/>
    <x v="165"/>
    <x v="996"/>
  </r>
  <r>
    <x v="0"/>
    <x v="0"/>
    <x v="166"/>
    <x v="394"/>
  </r>
  <r>
    <x v="76"/>
    <x v="76"/>
    <x v="166"/>
    <x v="1734"/>
  </r>
  <r>
    <x v="2"/>
    <x v="2"/>
    <x v="166"/>
    <x v="508"/>
  </r>
  <r>
    <x v="20"/>
    <x v="20"/>
    <x v="166"/>
    <x v="572"/>
  </r>
  <r>
    <x v="21"/>
    <x v="21"/>
    <x v="166"/>
    <x v="828"/>
  </r>
  <r>
    <x v="3"/>
    <x v="3"/>
    <x v="166"/>
    <x v="518"/>
  </r>
  <r>
    <x v="101"/>
    <x v="101"/>
    <x v="166"/>
    <x v="922"/>
  </r>
  <r>
    <x v="4"/>
    <x v="4"/>
    <x v="166"/>
    <x v="662"/>
  </r>
  <r>
    <x v="87"/>
    <x v="87"/>
    <x v="166"/>
    <x v="1053"/>
  </r>
  <r>
    <x v="5"/>
    <x v="5"/>
    <x v="166"/>
    <x v="743"/>
  </r>
  <r>
    <x v="26"/>
    <x v="26"/>
    <x v="166"/>
    <x v="1219"/>
  </r>
  <r>
    <x v="61"/>
    <x v="61"/>
    <x v="166"/>
    <x v="1099"/>
  </r>
  <r>
    <x v="86"/>
    <x v="86"/>
    <x v="166"/>
    <x v="1735"/>
  </r>
  <r>
    <x v="92"/>
    <x v="92"/>
    <x v="166"/>
    <x v="1154"/>
  </r>
  <r>
    <x v="62"/>
    <x v="62"/>
    <x v="166"/>
    <x v="1736"/>
  </r>
  <r>
    <x v="7"/>
    <x v="7"/>
    <x v="166"/>
    <x v="405"/>
  </r>
  <r>
    <x v="98"/>
    <x v="98"/>
    <x v="166"/>
    <x v="1187"/>
  </r>
  <r>
    <x v="94"/>
    <x v="94"/>
    <x v="166"/>
    <x v="1737"/>
  </r>
  <r>
    <x v="37"/>
    <x v="37"/>
    <x v="166"/>
    <x v="1738"/>
  </r>
  <r>
    <x v="8"/>
    <x v="8"/>
    <x v="166"/>
    <x v="1739"/>
  </r>
  <r>
    <x v="9"/>
    <x v="9"/>
    <x v="166"/>
    <x v="289"/>
  </r>
  <r>
    <x v="38"/>
    <x v="38"/>
    <x v="166"/>
    <x v="1740"/>
  </r>
  <r>
    <x v="10"/>
    <x v="10"/>
    <x v="166"/>
    <x v="1741"/>
  </r>
  <r>
    <x v="11"/>
    <x v="11"/>
    <x v="166"/>
    <x v="1051"/>
  </r>
  <r>
    <x v="28"/>
    <x v="28"/>
    <x v="166"/>
    <x v="224"/>
  </r>
  <r>
    <x v="12"/>
    <x v="12"/>
    <x v="166"/>
    <x v="1453"/>
  </r>
  <r>
    <x v="29"/>
    <x v="29"/>
    <x v="166"/>
    <x v="872"/>
  </r>
  <r>
    <x v="30"/>
    <x v="30"/>
    <x v="166"/>
    <x v="1665"/>
  </r>
  <r>
    <x v="31"/>
    <x v="31"/>
    <x v="166"/>
    <x v="961"/>
  </r>
  <r>
    <x v="73"/>
    <x v="73"/>
    <x v="166"/>
    <x v="1742"/>
  </r>
  <r>
    <x v="69"/>
    <x v="69"/>
    <x v="166"/>
    <x v="14"/>
  </r>
  <r>
    <x v="46"/>
    <x v="46"/>
    <x v="166"/>
    <x v="1743"/>
  </r>
  <r>
    <x v="14"/>
    <x v="14"/>
    <x v="166"/>
    <x v="360"/>
  </r>
  <r>
    <x v="78"/>
    <x v="78"/>
    <x v="166"/>
    <x v="210"/>
  </r>
  <r>
    <x v="16"/>
    <x v="16"/>
    <x v="166"/>
    <x v="160"/>
  </r>
  <r>
    <x v="19"/>
    <x v="19"/>
    <x v="167"/>
    <x v="1409"/>
  </r>
  <r>
    <x v="76"/>
    <x v="76"/>
    <x v="167"/>
    <x v="1681"/>
  </r>
  <r>
    <x v="2"/>
    <x v="2"/>
    <x v="167"/>
    <x v="535"/>
  </r>
  <r>
    <x v="21"/>
    <x v="21"/>
    <x v="167"/>
    <x v="617"/>
  </r>
  <r>
    <x v="35"/>
    <x v="35"/>
    <x v="167"/>
    <x v="636"/>
  </r>
  <r>
    <x v="4"/>
    <x v="4"/>
    <x v="167"/>
    <x v="1744"/>
  </r>
  <r>
    <x v="86"/>
    <x v="86"/>
    <x v="167"/>
    <x v="523"/>
  </r>
  <r>
    <x v="6"/>
    <x v="6"/>
    <x v="167"/>
    <x v="1109"/>
  </r>
  <r>
    <x v="98"/>
    <x v="98"/>
    <x v="167"/>
    <x v="1008"/>
  </r>
  <r>
    <x v="8"/>
    <x v="8"/>
    <x v="167"/>
    <x v="238"/>
  </r>
  <r>
    <x v="58"/>
    <x v="58"/>
    <x v="167"/>
    <x v="479"/>
  </r>
  <r>
    <x v="10"/>
    <x v="10"/>
    <x v="167"/>
    <x v="1745"/>
  </r>
  <r>
    <x v="11"/>
    <x v="11"/>
    <x v="167"/>
    <x v="1746"/>
  </r>
  <r>
    <x v="29"/>
    <x v="29"/>
    <x v="167"/>
    <x v="804"/>
  </r>
  <r>
    <x v="30"/>
    <x v="30"/>
    <x v="167"/>
    <x v="711"/>
  </r>
  <r>
    <x v="32"/>
    <x v="32"/>
    <x v="167"/>
    <x v="1747"/>
  </r>
  <r>
    <x v="46"/>
    <x v="46"/>
    <x v="167"/>
    <x v="210"/>
  </r>
  <r>
    <x v="14"/>
    <x v="14"/>
    <x v="167"/>
    <x v="160"/>
  </r>
  <r>
    <x v="83"/>
    <x v="83"/>
    <x v="167"/>
    <x v="111"/>
  </r>
  <r>
    <x v="16"/>
    <x v="16"/>
    <x v="167"/>
    <x v="62"/>
  </r>
  <r>
    <x v="19"/>
    <x v="19"/>
    <x v="168"/>
    <x v="1748"/>
  </r>
  <r>
    <x v="76"/>
    <x v="76"/>
    <x v="168"/>
    <x v="588"/>
  </r>
  <r>
    <x v="2"/>
    <x v="2"/>
    <x v="168"/>
    <x v="113"/>
  </r>
  <r>
    <x v="20"/>
    <x v="20"/>
    <x v="168"/>
    <x v="65"/>
  </r>
  <r>
    <x v="21"/>
    <x v="21"/>
    <x v="168"/>
    <x v="1749"/>
  </r>
  <r>
    <x v="3"/>
    <x v="3"/>
    <x v="168"/>
    <x v="1750"/>
  </r>
  <r>
    <x v="101"/>
    <x v="101"/>
    <x v="168"/>
    <x v="621"/>
  </r>
  <r>
    <x v="4"/>
    <x v="4"/>
    <x v="168"/>
    <x v="46"/>
  </r>
  <r>
    <x v="5"/>
    <x v="5"/>
    <x v="168"/>
    <x v="1751"/>
  </r>
  <r>
    <x v="55"/>
    <x v="55"/>
    <x v="168"/>
    <x v="194"/>
  </r>
  <r>
    <x v="67"/>
    <x v="67"/>
    <x v="168"/>
    <x v="734"/>
  </r>
  <r>
    <x v="86"/>
    <x v="86"/>
    <x v="168"/>
    <x v="796"/>
  </r>
  <r>
    <x v="74"/>
    <x v="74"/>
    <x v="168"/>
    <x v="403"/>
  </r>
  <r>
    <x v="7"/>
    <x v="7"/>
    <x v="168"/>
    <x v="7"/>
  </r>
  <r>
    <x v="8"/>
    <x v="8"/>
    <x v="168"/>
    <x v="478"/>
  </r>
  <r>
    <x v="9"/>
    <x v="9"/>
    <x v="168"/>
    <x v="9"/>
  </r>
  <r>
    <x v="38"/>
    <x v="38"/>
    <x v="168"/>
    <x v="239"/>
  </r>
  <r>
    <x v="10"/>
    <x v="10"/>
    <x v="168"/>
    <x v="1160"/>
  </r>
  <r>
    <x v="11"/>
    <x v="11"/>
    <x v="168"/>
    <x v="1307"/>
  </r>
  <r>
    <x v="28"/>
    <x v="28"/>
    <x v="168"/>
    <x v="886"/>
  </r>
  <r>
    <x v="12"/>
    <x v="12"/>
    <x v="168"/>
    <x v="803"/>
  </r>
  <r>
    <x v="29"/>
    <x v="29"/>
    <x v="168"/>
    <x v="872"/>
  </r>
  <r>
    <x v="30"/>
    <x v="30"/>
    <x v="168"/>
    <x v="725"/>
  </r>
  <r>
    <x v="84"/>
    <x v="84"/>
    <x v="168"/>
    <x v="501"/>
  </r>
  <r>
    <x v="73"/>
    <x v="73"/>
    <x v="168"/>
    <x v="504"/>
  </r>
  <r>
    <x v="69"/>
    <x v="69"/>
    <x v="168"/>
    <x v="111"/>
  </r>
  <r>
    <x v="46"/>
    <x v="46"/>
    <x v="168"/>
    <x v="945"/>
  </r>
  <r>
    <x v="110"/>
    <x v="110"/>
    <x v="168"/>
    <x v="111"/>
  </r>
  <r>
    <x v="14"/>
    <x v="14"/>
    <x v="168"/>
    <x v="230"/>
  </r>
  <r>
    <x v="78"/>
    <x v="78"/>
    <x v="168"/>
    <x v="40"/>
  </r>
  <r>
    <x v="15"/>
    <x v="15"/>
    <x v="168"/>
    <x v="111"/>
  </r>
  <r>
    <x v="83"/>
    <x v="83"/>
    <x v="168"/>
    <x v="82"/>
  </r>
  <r>
    <x v="16"/>
    <x v="16"/>
    <x v="168"/>
    <x v="98"/>
  </r>
  <r>
    <x v="0"/>
    <x v="0"/>
    <x v="169"/>
    <x v="394"/>
  </r>
  <r>
    <x v="76"/>
    <x v="76"/>
    <x v="169"/>
    <x v="301"/>
  </r>
  <r>
    <x v="2"/>
    <x v="2"/>
    <x v="169"/>
    <x v="902"/>
  </r>
  <r>
    <x v="21"/>
    <x v="21"/>
    <x v="169"/>
    <x v="437"/>
  </r>
  <r>
    <x v="4"/>
    <x v="4"/>
    <x v="169"/>
    <x v="662"/>
  </r>
  <r>
    <x v="52"/>
    <x v="52"/>
    <x v="169"/>
    <x v="1752"/>
  </r>
  <r>
    <x v="87"/>
    <x v="87"/>
    <x v="169"/>
    <x v="862"/>
  </r>
  <r>
    <x v="5"/>
    <x v="5"/>
    <x v="169"/>
    <x v="1102"/>
  </r>
  <r>
    <x v="65"/>
    <x v="65"/>
    <x v="169"/>
    <x v="1753"/>
  </r>
  <r>
    <x v="70"/>
    <x v="70"/>
    <x v="169"/>
    <x v="1754"/>
  </r>
  <r>
    <x v="26"/>
    <x v="26"/>
    <x v="169"/>
    <x v="601"/>
  </r>
  <r>
    <x v="98"/>
    <x v="98"/>
    <x v="169"/>
    <x v="1008"/>
  </r>
  <r>
    <x v="37"/>
    <x v="37"/>
    <x v="169"/>
    <x v="70"/>
  </r>
  <r>
    <x v="8"/>
    <x v="8"/>
    <x v="169"/>
    <x v="1642"/>
  </r>
  <r>
    <x v="9"/>
    <x v="9"/>
    <x v="169"/>
    <x v="9"/>
  </r>
  <r>
    <x v="38"/>
    <x v="38"/>
    <x v="169"/>
    <x v="833"/>
  </r>
  <r>
    <x v="10"/>
    <x v="10"/>
    <x v="169"/>
    <x v="1730"/>
  </r>
  <r>
    <x v="27"/>
    <x v="27"/>
    <x v="169"/>
    <x v="1447"/>
  </r>
  <r>
    <x v="11"/>
    <x v="11"/>
    <x v="169"/>
    <x v="1151"/>
  </r>
  <r>
    <x v="12"/>
    <x v="12"/>
    <x v="169"/>
    <x v="1271"/>
  </r>
  <r>
    <x v="29"/>
    <x v="29"/>
    <x v="169"/>
    <x v="375"/>
  </r>
  <r>
    <x v="30"/>
    <x v="30"/>
    <x v="169"/>
    <x v="77"/>
  </r>
  <r>
    <x v="84"/>
    <x v="84"/>
    <x v="169"/>
    <x v="1106"/>
  </r>
  <r>
    <x v="73"/>
    <x v="73"/>
    <x v="169"/>
    <x v="643"/>
  </r>
  <r>
    <x v="96"/>
    <x v="96"/>
    <x v="169"/>
    <x v="82"/>
  </r>
  <r>
    <x v="46"/>
    <x v="46"/>
    <x v="169"/>
    <x v="85"/>
  </r>
  <r>
    <x v="14"/>
    <x v="14"/>
    <x v="169"/>
    <x v="82"/>
  </r>
  <r>
    <x v="15"/>
    <x v="15"/>
    <x v="169"/>
    <x v="230"/>
  </r>
  <r>
    <x v="83"/>
    <x v="83"/>
    <x v="169"/>
    <x v="82"/>
  </r>
  <r>
    <x v="17"/>
    <x v="17"/>
    <x v="169"/>
    <x v="1187"/>
  </r>
  <r>
    <x v="76"/>
    <x v="76"/>
    <x v="170"/>
    <x v="1263"/>
  </r>
  <r>
    <x v="2"/>
    <x v="2"/>
    <x v="170"/>
    <x v="81"/>
  </r>
  <r>
    <x v="3"/>
    <x v="3"/>
    <x v="170"/>
    <x v="1216"/>
  </r>
  <r>
    <x v="101"/>
    <x v="101"/>
    <x v="170"/>
    <x v="1755"/>
  </r>
  <r>
    <x v="4"/>
    <x v="4"/>
    <x v="170"/>
    <x v="4"/>
  </r>
  <r>
    <x v="5"/>
    <x v="5"/>
    <x v="170"/>
    <x v="103"/>
  </r>
  <r>
    <x v="89"/>
    <x v="89"/>
    <x v="170"/>
    <x v="1756"/>
  </r>
  <r>
    <x v="26"/>
    <x v="26"/>
    <x v="170"/>
    <x v="1030"/>
  </r>
  <r>
    <x v="57"/>
    <x v="57"/>
    <x v="170"/>
    <x v="1683"/>
  </r>
  <r>
    <x v="92"/>
    <x v="92"/>
    <x v="170"/>
    <x v="673"/>
  </r>
  <r>
    <x v="7"/>
    <x v="7"/>
    <x v="170"/>
    <x v="934"/>
  </r>
  <r>
    <x v="37"/>
    <x v="37"/>
    <x v="170"/>
    <x v="1757"/>
  </r>
  <r>
    <x v="9"/>
    <x v="9"/>
    <x v="170"/>
    <x v="218"/>
  </r>
  <r>
    <x v="68"/>
    <x v="68"/>
    <x v="170"/>
    <x v="425"/>
  </r>
  <r>
    <x v="10"/>
    <x v="10"/>
    <x v="170"/>
    <x v="1758"/>
  </r>
  <r>
    <x v="11"/>
    <x v="11"/>
    <x v="170"/>
    <x v="1759"/>
  </r>
  <r>
    <x v="29"/>
    <x v="29"/>
    <x v="170"/>
    <x v="357"/>
  </r>
  <r>
    <x v="30"/>
    <x v="30"/>
    <x v="170"/>
    <x v="725"/>
  </r>
  <r>
    <x v="97"/>
    <x v="97"/>
    <x v="170"/>
    <x v="1524"/>
  </r>
  <r>
    <x v="84"/>
    <x v="84"/>
    <x v="170"/>
    <x v="501"/>
  </r>
  <r>
    <x v="32"/>
    <x v="32"/>
    <x v="170"/>
    <x v="1760"/>
  </r>
  <r>
    <x v="45"/>
    <x v="45"/>
    <x v="170"/>
    <x v="1483"/>
  </r>
  <r>
    <x v="96"/>
    <x v="96"/>
    <x v="170"/>
    <x v="62"/>
  </r>
  <r>
    <x v="46"/>
    <x v="46"/>
    <x v="170"/>
    <x v="175"/>
  </r>
  <r>
    <x v="110"/>
    <x v="110"/>
    <x v="170"/>
    <x v="111"/>
  </r>
  <r>
    <x v="14"/>
    <x v="14"/>
    <x v="170"/>
    <x v="245"/>
  </r>
  <r>
    <x v="78"/>
    <x v="78"/>
    <x v="170"/>
    <x v="111"/>
  </r>
  <r>
    <x v="15"/>
    <x v="15"/>
    <x v="170"/>
    <x v="98"/>
  </r>
  <r>
    <x v="83"/>
    <x v="83"/>
    <x v="170"/>
    <x v="82"/>
  </r>
  <r>
    <x v="18"/>
    <x v="18"/>
    <x v="171"/>
    <x v="111"/>
  </r>
  <r>
    <x v="76"/>
    <x v="76"/>
    <x v="171"/>
    <x v="687"/>
  </r>
  <r>
    <x v="2"/>
    <x v="2"/>
    <x v="171"/>
    <x v="416"/>
  </r>
  <r>
    <x v="21"/>
    <x v="21"/>
    <x v="171"/>
    <x v="1761"/>
  </r>
  <r>
    <x v="3"/>
    <x v="3"/>
    <x v="171"/>
    <x v="1043"/>
  </r>
  <r>
    <x v="35"/>
    <x v="35"/>
    <x v="171"/>
    <x v="1762"/>
  </r>
  <r>
    <x v="4"/>
    <x v="4"/>
    <x v="171"/>
    <x v="618"/>
  </r>
  <r>
    <x v="87"/>
    <x v="87"/>
    <x v="171"/>
    <x v="876"/>
  </r>
  <r>
    <x v="5"/>
    <x v="5"/>
    <x v="171"/>
    <x v="743"/>
  </r>
  <r>
    <x v="65"/>
    <x v="65"/>
    <x v="171"/>
    <x v="323"/>
  </r>
  <r>
    <x v="23"/>
    <x v="23"/>
    <x v="171"/>
    <x v="192"/>
  </r>
  <r>
    <x v="26"/>
    <x v="26"/>
    <x v="171"/>
    <x v="217"/>
  </r>
  <r>
    <x v="61"/>
    <x v="61"/>
    <x v="171"/>
    <x v="1763"/>
  </r>
  <r>
    <x v="98"/>
    <x v="98"/>
    <x v="171"/>
    <x v="1008"/>
  </r>
  <r>
    <x v="58"/>
    <x v="58"/>
    <x v="171"/>
    <x v="479"/>
  </r>
  <r>
    <x v="68"/>
    <x v="68"/>
    <x v="171"/>
    <x v="39"/>
  </r>
  <r>
    <x v="38"/>
    <x v="38"/>
    <x v="171"/>
    <x v="444"/>
  </r>
  <r>
    <x v="10"/>
    <x v="10"/>
    <x v="171"/>
    <x v="1764"/>
  </r>
  <r>
    <x v="11"/>
    <x v="11"/>
    <x v="171"/>
    <x v="1765"/>
  </r>
  <r>
    <x v="29"/>
    <x v="29"/>
    <x v="171"/>
    <x v="314"/>
  </r>
  <r>
    <x v="30"/>
    <x v="30"/>
    <x v="171"/>
    <x v="1074"/>
  </r>
  <r>
    <x v="97"/>
    <x v="97"/>
    <x v="171"/>
    <x v="1154"/>
  </r>
  <r>
    <x v="84"/>
    <x v="84"/>
    <x v="171"/>
    <x v="1040"/>
  </r>
  <r>
    <x v="31"/>
    <x v="31"/>
    <x v="171"/>
    <x v="37"/>
  </r>
  <r>
    <x v="51"/>
    <x v="51"/>
    <x v="171"/>
    <x v="96"/>
  </r>
  <r>
    <x v="69"/>
    <x v="69"/>
    <x v="171"/>
    <x v="14"/>
  </r>
  <r>
    <x v="46"/>
    <x v="46"/>
    <x v="171"/>
    <x v="159"/>
  </r>
  <r>
    <x v="110"/>
    <x v="110"/>
    <x v="171"/>
    <x v="98"/>
  </r>
  <r>
    <x v="14"/>
    <x v="14"/>
    <x v="171"/>
    <x v="160"/>
  </r>
  <r>
    <x v="16"/>
    <x v="16"/>
    <x v="171"/>
    <x v="16"/>
  </r>
  <r>
    <x v="50"/>
    <x v="50"/>
    <x v="172"/>
    <x v="15"/>
  </r>
  <r>
    <x v="18"/>
    <x v="18"/>
    <x v="172"/>
    <x v="160"/>
  </r>
  <r>
    <x v="0"/>
    <x v="0"/>
    <x v="172"/>
    <x v="340"/>
  </r>
  <r>
    <x v="76"/>
    <x v="76"/>
    <x v="172"/>
    <x v="1766"/>
  </r>
  <r>
    <x v="2"/>
    <x v="2"/>
    <x v="172"/>
    <x v="1767"/>
  </r>
  <r>
    <x v="20"/>
    <x v="20"/>
    <x v="172"/>
    <x v="941"/>
  </r>
  <r>
    <x v="34"/>
    <x v="34"/>
    <x v="172"/>
    <x v="189"/>
  </r>
  <r>
    <x v="21"/>
    <x v="21"/>
    <x v="172"/>
    <x v="1768"/>
  </r>
  <r>
    <x v="3"/>
    <x v="3"/>
    <x v="172"/>
    <x v="1216"/>
  </r>
  <r>
    <x v="4"/>
    <x v="4"/>
    <x v="172"/>
    <x v="1769"/>
  </r>
  <r>
    <x v="87"/>
    <x v="87"/>
    <x v="172"/>
    <x v="862"/>
  </r>
  <r>
    <x v="22"/>
    <x v="22"/>
    <x v="172"/>
    <x v="90"/>
  </r>
  <r>
    <x v="5"/>
    <x v="5"/>
    <x v="172"/>
    <x v="721"/>
  </r>
  <r>
    <x v="86"/>
    <x v="86"/>
    <x v="172"/>
    <x v="1770"/>
  </r>
  <r>
    <x v="36"/>
    <x v="36"/>
    <x v="172"/>
    <x v="1771"/>
  </r>
  <r>
    <x v="57"/>
    <x v="57"/>
    <x v="172"/>
    <x v="1683"/>
  </r>
  <r>
    <x v="74"/>
    <x v="74"/>
    <x v="172"/>
    <x v="104"/>
  </r>
  <r>
    <x v="98"/>
    <x v="98"/>
    <x v="172"/>
    <x v="615"/>
  </r>
  <r>
    <x v="37"/>
    <x v="37"/>
    <x v="172"/>
    <x v="49"/>
  </r>
  <r>
    <x v="8"/>
    <x v="8"/>
    <x v="172"/>
    <x v="30"/>
  </r>
  <r>
    <x v="9"/>
    <x v="9"/>
    <x v="172"/>
    <x v="443"/>
  </r>
  <r>
    <x v="10"/>
    <x v="10"/>
    <x v="172"/>
    <x v="1772"/>
  </r>
  <r>
    <x v="103"/>
    <x v="103"/>
    <x v="172"/>
    <x v="314"/>
  </r>
  <r>
    <x v="11"/>
    <x v="11"/>
    <x v="172"/>
    <x v="612"/>
  </r>
  <r>
    <x v="12"/>
    <x v="12"/>
    <x v="172"/>
    <x v="225"/>
  </r>
  <r>
    <x v="29"/>
    <x v="29"/>
    <x v="172"/>
    <x v="446"/>
  </r>
  <r>
    <x v="43"/>
    <x v="43"/>
    <x v="172"/>
    <x v="1470"/>
  </r>
  <r>
    <x v="30"/>
    <x v="30"/>
    <x v="172"/>
    <x v="1393"/>
  </r>
  <r>
    <x v="84"/>
    <x v="84"/>
    <x v="172"/>
    <x v="1773"/>
  </r>
  <r>
    <x v="73"/>
    <x v="73"/>
    <x v="172"/>
    <x v="1312"/>
  </r>
  <r>
    <x v="32"/>
    <x v="32"/>
    <x v="172"/>
    <x v="297"/>
  </r>
  <r>
    <x v="46"/>
    <x v="46"/>
    <x v="172"/>
    <x v="468"/>
  </r>
  <r>
    <x v="110"/>
    <x v="110"/>
    <x v="172"/>
    <x v="40"/>
  </r>
  <r>
    <x v="14"/>
    <x v="14"/>
    <x v="172"/>
    <x v="14"/>
  </r>
  <r>
    <x v="16"/>
    <x v="16"/>
    <x v="172"/>
    <x v="82"/>
  </r>
  <r>
    <x v="17"/>
    <x v="17"/>
    <x v="172"/>
    <x v="1774"/>
  </r>
  <r>
    <x v="19"/>
    <x v="19"/>
    <x v="173"/>
    <x v="1350"/>
  </r>
  <r>
    <x v="0"/>
    <x v="0"/>
    <x v="173"/>
    <x v="340"/>
  </r>
  <r>
    <x v="76"/>
    <x v="76"/>
    <x v="173"/>
    <x v="1177"/>
  </r>
  <r>
    <x v="2"/>
    <x v="2"/>
    <x v="173"/>
    <x v="231"/>
  </r>
  <r>
    <x v="21"/>
    <x v="21"/>
    <x v="173"/>
    <x v="43"/>
  </r>
  <r>
    <x v="3"/>
    <x v="3"/>
    <x v="173"/>
    <x v="757"/>
  </r>
  <r>
    <x v="4"/>
    <x v="4"/>
    <x v="173"/>
    <x v="1044"/>
  </r>
  <r>
    <x v="22"/>
    <x v="22"/>
    <x v="173"/>
    <x v="663"/>
  </r>
  <r>
    <x v="5"/>
    <x v="5"/>
    <x v="173"/>
    <x v="549"/>
  </r>
  <r>
    <x v="70"/>
    <x v="70"/>
    <x v="173"/>
    <x v="796"/>
  </r>
  <r>
    <x v="26"/>
    <x v="26"/>
    <x v="173"/>
    <x v="268"/>
  </r>
  <r>
    <x v="86"/>
    <x v="86"/>
    <x v="173"/>
    <x v="796"/>
  </r>
  <r>
    <x v="98"/>
    <x v="98"/>
    <x v="173"/>
    <x v="1008"/>
  </r>
  <r>
    <x v="37"/>
    <x v="37"/>
    <x v="173"/>
    <x v="222"/>
  </r>
  <r>
    <x v="8"/>
    <x v="8"/>
    <x v="173"/>
    <x v="1775"/>
  </r>
  <r>
    <x v="9"/>
    <x v="9"/>
    <x v="173"/>
    <x v="9"/>
  </r>
  <r>
    <x v="68"/>
    <x v="68"/>
    <x v="173"/>
    <x v="180"/>
  </r>
  <r>
    <x v="38"/>
    <x v="38"/>
    <x v="173"/>
    <x v="124"/>
  </r>
  <r>
    <x v="10"/>
    <x v="10"/>
    <x v="173"/>
    <x v="1336"/>
  </r>
  <r>
    <x v="11"/>
    <x v="11"/>
    <x v="173"/>
    <x v="1776"/>
  </r>
  <r>
    <x v="43"/>
    <x v="43"/>
    <x v="173"/>
    <x v="1470"/>
  </r>
  <r>
    <x v="84"/>
    <x v="84"/>
    <x v="173"/>
    <x v="1146"/>
  </r>
  <r>
    <x v="91"/>
    <x v="91"/>
    <x v="173"/>
    <x v="999"/>
  </r>
  <r>
    <x v="31"/>
    <x v="31"/>
    <x v="173"/>
    <x v="486"/>
  </r>
  <r>
    <x v="45"/>
    <x v="45"/>
    <x v="173"/>
    <x v="1777"/>
  </r>
  <r>
    <x v="51"/>
    <x v="51"/>
    <x v="173"/>
    <x v="96"/>
  </r>
  <r>
    <x v="69"/>
    <x v="69"/>
    <x v="173"/>
    <x v="111"/>
  </r>
  <r>
    <x v="46"/>
    <x v="46"/>
    <x v="173"/>
    <x v="1778"/>
  </r>
  <r>
    <x v="14"/>
    <x v="14"/>
    <x v="173"/>
    <x v="111"/>
  </r>
  <r>
    <x v="78"/>
    <x v="78"/>
    <x v="173"/>
    <x v="82"/>
  </r>
  <r>
    <x v="15"/>
    <x v="15"/>
    <x v="173"/>
    <x v="40"/>
  </r>
  <r>
    <x v="16"/>
    <x v="16"/>
    <x v="173"/>
    <x v="230"/>
  </r>
  <r>
    <x v="17"/>
    <x v="17"/>
    <x v="173"/>
    <x v="162"/>
  </r>
  <r>
    <x v="0"/>
    <x v="0"/>
    <x v="174"/>
    <x v="578"/>
  </r>
  <r>
    <x v="2"/>
    <x v="2"/>
    <x v="174"/>
    <x v="81"/>
  </r>
  <r>
    <x v="21"/>
    <x v="21"/>
    <x v="174"/>
    <x v="1779"/>
  </r>
  <r>
    <x v="3"/>
    <x v="3"/>
    <x v="174"/>
    <x v="344"/>
  </r>
  <r>
    <x v="4"/>
    <x v="4"/>
    <x v="174"/>
    <x v="264"/>
  </r>
  <r>
    <x v="87"/>
    <x v="87"/>
    <x v="174"/>
    <x v="520"/>
  </r>
  <r>
    <x v="22"/>
    <x v="22"/>
    <x v="174"/>
    <x v="1780"/>
  </r>
  <r>
    <x v="5"/>
    <x v="5"/>
    <x v="174"/>
    <x v="1781"/>
  </r>
  <r>
    <x v="55"/>
    <x v="55"/>
    <x v="174"/>
    <x v="1266"/>
  </r>
  <r>
    <x v="79"/>
    <x v="79"/>
    <x v="174"/>
    <x v="1047"/>
  </r>
  <r>
    <x v="86"/>
    <x v="86"/>
    <x v="174"/>
    <x v="265"/>
  </r>
  <r>
    <x v="36"/>
    <x v="36"/>
    <x v="174"/>
    <x v="1031"/>
  </r>
  <r>
    <x v="92"/>
    <x v="92"/>
    <x v="174"/>
    <x v="673"/>
  </r>
  <r>
    <x v="74"/>
    <x v="74"/>
    <x v="174"/>
    <x v="104"/>
  </r>
  <r>
    <x v="82"/>
    <x v="82"/>
    <x v="174"/>
    <x v="1782"/>
  </r>
  <r>
    <x v="6"/>
    <x v="6"/>
    <x v="174"/>
    <x v="1339"/>
  </r>
  <r>
    <x v="7"/>
    <x v="7"/>
    <x v="174"/>
    <x v="405"/>
  </r>
  <r>
    <x v="9"/>
    <x v="9"/>
    <x v="174"/>
    <x v="1368"/>
  </r>
  <r>
    <x v="68"/>
    <x v="68"/>
    <x v="174"/>
    <x v="1649"/>
  </r>
  <r>
    <x v="38"/>
    <x v="38"/>
    <x v="174"/>
    <x v="1783"/>
  </r>
  <r>
    <x v="10"/>
    <x v="10"/>
    <x v="174"/>
    <x v="1784"/>
  </r>
  <r>
    <x v="27"/>
    <x v="27"/>
    <x v="174"/>
    <x v="1757"/>
  </r>
  <r>
    <x v="11"/>
    <x v="11"/>
    <x v="174"/>
    <x v="1785"/>
  </r>
  <r>
    <x v="12"/>
    <x v="12"/>
    <x v="174"/>
    <x v="1539"/>
  </r>
  <r>
    <x v="59"/>
    <x v="59"/>
    <x v="174"/>
    <x v="1786"/>
  </r>
  <r>
    <x v="29"/>
    <x v="29"/>
    <x v="174"/>
    <x v="1787"/>
  </r>
  <r>
    <x v="43"/>
    <x v="43"/>
    <x v="174"/>
    <x v="1303"/>
  </r>
  <r>
    <x v="30"/>
    <x v="30"/>
    <x v="174"/>
    <x v="161"/>
  </r>
  <r>
    <x v="31"/>
    <x v="31"/>
    <x v="174"/>
    <x v="1261"/>
  </r>
  <r>
    <x v="69"/>
    <x v="69"/>
    <x v="174"/>
    <x v="18"/>
  </r>
  <r>
    <x v="96"/>
    <x v="96"/>
    <x v="174"/>
    <x v="111"/>
  </r>
  <r>
    <x v="46"/>
    <x v="46"/>
    <x v="174"/>
    <x v="85"/>
  </r>
  <r>
    <x v="14"/>
    <x v="14"/>
    <x v="174"/>
    <x v="98"/>
  </r>
  <r>
    <x v="78"/>
    <x v="78"/>
    <x v="174"/>
    <x v="111"/>
  </r>
  <r>
    <x v="83"/>
    <x v="83"/>
    <x v="174"/>
    <x v="230"/>
  </r>
  <r>
    <x v="19"/>
    <x v="19"/>
    <x v="175"/>
    <x v="1788"/>
  </r>
  <r>
    <x v="0"/>
    <x v="0"/>
    <x v="175"/>
    <x v="1354"/>
  </r>
  <r>
    <x v="76"/>
    <x v="76"/>
    <x v="175"/>
    <x v="1789"/>
  </r>
  <r>
    <x v="20"/>
    <x v="20"/>
    <x v="175"/>
    <x v="65"/>
  </r>
  <r>
    <x v="21"/>
    <x v="21"/>
    <x v="175"/>
    <x v="1790"/>
  </r>
  <r>
    <x v="3"/>
    <x v="3"/>
    <x v="175"/>
    <x v="518"/>
  </r>
  <r>
    <x v="35"/>
    <x v="35"/>
    <x v="175"/>
    <x v="1791"/>
  </r>
  <r>
    <x v="22"/>
    <x v="22"/>
    <x v="175"/>
    <x v="1792"/>
  </r>
  <r>
    <x v="5"/>
    <x v="5"/>
    <x v="175"/>
    <x v="895"/>
  </r>
  <r>
    <x v="25"/>
    <x v="25"/>
    <x v="175"/>
    <x v="1014"/>
  </r>
  <r>
    <x v="26"/>
    <x v="26"/>
    <x v="175"/>
    <x v="1219"/>
  </r>
  <r>
    <x v="82"/>
    <x v="82"/>
    <x v="175"/>
    <x v="161"/>
  </r>
  <r>
    <x v="9"/>
    <x v="9"/>
    <x v="175"/>
    <x v="408"/>
  </r>
  <r>
    <x v="38"/>
    <x v="38"/>
    <x v="175"/>
    <x v="1793"/>
  </r>
  <r>
    <x v="10"/>
    <x v="10"/>
    <x v="175"/>
    <x v="1794"/>
  </r>
  <r>
    <x v="11"/>
    <x v="11"/>
    <x v="175"/>
    <x v="1795"/>
  </r>
  <r>
    <x v="59"/>
    <x v="59"/>
    <x v="175"/>
    <x v="276"/>
  </r>
  <r>
    <x v="30"/>
    <x v="30"/>
    <x v="175"/>
    <x v="630"/>
  </r>
  <r>
    <x v="97"/>
    <x v="97"/>
    <x v="175"/>
    <x v="1091"/>
  </r>
  <r>
    <x v="31"/>
    <x v="31"/>
    <x v="175"/>
    <x v="1796"/>
  </r>
  <r>
    <x v="64"/>
    <x v="64"/>
    <x v="175"/>
    <x v="587"/>
  </r>
  <r>
    <x v="46"/>
    <x v="46"/>
    <x v="175"/>
    <x v="1752"/>
  </r>
  <r>
    <x v="14"/>
    <x v="14"/>
    <x v="175"/>
    <x v="160"/>
  </r>
  <r>
    <x v="78"/>
    <x v="78"/>
    <x v="175"/>
    <x v="62"/>
  </r>
  <r>
    <x v="18"/>
    <x v="18"/>
    <x v="176"/>
    <x v="245"/>
  </r>
  <r>
    <x v="19"/>
    <x v="19"/>
    <x v="176"/>
    <x v="1188"/>
  </r>
  <r>
    <x v="0"/>
    <x v="0"/>
    <x v="176"/>
    <x v="1205"/>
  </r>
  <r>
    <x v="76"/>
    <x v="76"/>
    <x v="176"/>
    <x v="1797"/>
  </r>
  <r>
    <x v="21"/>
    <x v="21"/>
    <x v="176"/>
    <x v="1798"/>
  </r>
  <r>
    <x v="3"/>
    <x v="3"/>
    <x v="176"/>
    <x v="1799"/>
  </r>
  <r>
    <x v="35"/>
    <x v="35"/>
    <x v="176"/>
    <x v="1800"/>
  </r>
  <r>
    <x v="4"/>
    <x v="4"/>
    <x v="176"/>
    <x v="519"/>
  </r>
  <r>
    <x v="5"/>
    <x v="5"/>
    <x v="176"/>
    <x v="1801"/>
  </r>
  <r>
    <x v="36"/>
    <x v="36"/>
    <x v="176"/>
    <x v="1802"/>
  </r>
  <r>
    <x v="93"/>
    <x v="93"/>
    <x v="176"/>
    <x v="1405"/>
  </r>
  <r>
    <x v="37"/>
    <x v="37"/>
    <x v="176"/>
    <x v="70"/>
  </r>
  <r>
    <x v="8"/>
    <x v="8"/>
    <x v="176"/>
    <x v="799"/>
  </r>
  <r>
    <x v="9"/>
    <x v="9"/>
    <x v="176"/>
    <x v="387"/>
  </r>
  <r>
    <x v="38"/>
    <x v="38"/>
    <x v="176"/>
    <x v="1521"/>
  </r>
  <r>
    <x v="10"/>
    <x v="10"/>
    <x v="176"/>
    <x v="150"/>
  </r>
  <r>
    <x v="11"/>
    <x v="11"/>
    <x v="176"/>
    <x v="1560"/>
  </r>
  <r>
    <x v="53"/>
    <x v="53"/>
    <x v="176"/>
    <x v="184"/>
  </r>
  <r>
    <x v="95"/>
    <x v="95"/>
    <x v="176"/>
    <x v="1803"/>
  </r>
  <r>
    <x v="30"/>
    <x v="30"/>
    <x v="176"/>
    <x v="58"/>
  </r>
  <r>
    <x v="84"/>
    <x v="84"/>
    <x v="176"/>
    <x v="1164"/>
  </r>
  <r>
    <x v="73"/>
    <x v="73"/>
    <x v="176"/>
    <x v="1125"/>
  </r>
  <r>
    <x v="51"/>
    <x v="51"/>
    <x v="176"/>
    <x v="96"/>
  </r>
  <r>
    <x v="69"/>
    <x v="69"/>
    <x v="176"/>
    <x v="111"/>
  </r>
  <r>
    <x v="96"/>
    <x v="96"/>
    <x v="176"/>
    <x v="85"/>
  </r>
  <r>
    <x v="46"/>
    <x v="46"/>
    <x v="176"/>
    <x v="717"/>
  </r>
  <r>
    <x v="14"/>
    <x v="14"/>
    <x v="176"/>
    <x v="18"/>
  </r>
  <r>
    <x v="78"/>
    <x v="78"/>
    <x v="176"/>
    <x v="15"/>
  </r>
  <r>
    <x v="16"/>
    <x v="16"/>
    <x v="176"/>
    <x v="16"/>
  </r>
  <r>
    <x v="17"/>
    <x v="17"/>
    <x v="176"/>
    <x v="500"/>
  </r>
  <r>
    <x v="50"/>
    <x v="50"/>
    <x v="177"/>
    <x v="85"/>
  </r>
  <r>
    <x v="76"/>
    <x v="76"/>
    <x v="177"/>
    <x v="1804"/>
  </r>
  <r>
    <x v="21"/>
    <x v="21"/>
    <x v="177"/>
    <x v="617"/>
  </r>
  <r>
    <x v="3"/>
    <x v="3"/>
    <x v="177"/>
    <x v="572"/>
  </r>
  <r>
    <x v="4"/>
    <x v="4"/>
    <x v="177"/>
    <x v="618"/>
  </r>
  <r>
    <x v="5"/>
    <x v="5"/>
    <x v="177"/>
    <x v="953"/>
  </r>
  <r>
    <x v="26"/>
    <x v="26"/>
    <x v="177"/>
    <x v="1805"/>
  </r>
  <r>
    <x v="36"/>
    <x v="36"/>
    <x v="177"/>
    <x v="143"/>
  </r>
  <r>
    <x v="7"/>
    <x v="7"/>
    <x v="177"/>
    <x v="934"/>
  </r>
  <r>
    <x v="98"/>
    <x v="98"/>
    <x v="177"/>
    <x v="924"/>
  </r>
  <r>
    <x v="37"/>
    <x v="37"/>
    <x v="177"/>
    <x v="49"/>
  </r>
  <r>
    <x v="9"/>
    <x v="9"/>
    <x v="177"/>
    <x v="9"/>
  </r>
  <r>
    <x v="68"/>
    <x v="68"/>
    <x v="177"/>
    <x v="1806"/>
  </r>
  <r>
    <x v="10"/>
    <x v="10"/>
    <x v="177"/>
    <x v="812"/>
  </r>
  <r>
    <x v="27"/>
    <x v="27"/>
    <x v="177"/>
    <x v="917"/>
  </r>
  <r>
    <x v="103"/>
    <x v="103"/>
    <x v="177"/>
    <x v="1378"/>
  </r>
  <r>
    <x v="11"/>
    <x v="11"/>
    <x v="177"/>
    <x v="125"/>
  </r>
  <r>
    <x v="28"/>
    <x v="28"/>
    <x v="177"/>
    <x v="1807"/>
  </r>
  <r>
    <x v="12"/>
    <x v="12"/>
    <x v="177"/>
    <x v="374"/>
  </r>
  <r>
    <x v="29"/>
    <x v="29"/>
    <x v="177"/>
    <x v="430"/>
  </r>
  <r>
    <x v="30"/>
    <x v="30"/>
    <x v="177"/>
    <x v="1808"/>
  </r>
  <r>
    <x v="81"/>
    <x v="81"/>
    <x v="177"/>
    <x v="788"/>
  </r>
  <r>
    <x v="54"/>
    <x v="54"/>
    <x v="177"/>
    <x v="13"/>
  </r>
  <r>
    <x v="91"/>
    <x v="91"/>
    <x v="177"/>
    <x v="1809"/>
  </r>
  <r>
    <x v="96"/>
    <x v="96"/>
    <x v="177"/>
    <x v="62"/>
  </r>
  <r>
    <x v="46"/>
    <x v="46"/>
    <x v="177"/>
    <x v="1232"/>
  </r>
  <r>
    <x v="14"/>
    <x v="14"/>
    <x v="177"/>
    <x v="62"/>
  </r>
  <r>
    <x v="78"/>
    <x v="78"/>
    <x v="177"/>
    <x v="82"/>
  </r>
  <r>
    <x v="16"/>
    <x v="16"/>
    <x v="177"/>
    <x v="160"/>
  </r>
  <r>
    <x v="76"/>
    <x v="76"/>
    <x v="178"/>
    <x v="378"/>
  </r>
  <r>
    <x v="2"/>
    <x v="2"/>
    <x v="178"/>
    <x v="113"/>
  </r>
  <r>
    <x v="21"/>
    <x v="21"/>
    <x v="178"/>
    <x v="647"/>
  </r>
  <r>
    <x v="4"/>
    <x v="4"/>
    <x v="178"/>
    <x v="1316"/>
  </r>
  <r>
    <x v="52"/>
    <x v="52"/>
    <x v="178"/>
    <x v="117"/>
  </r>
  <r>
    <x v="5"/>
    <x v="5"/>
    <x v="178"/>
    <x v="265"/>
  </r>
  <r>
    <x v="25"/>
    <x v="25"/>
    <x v="178"/>
    <x v="1810"/>
  </r>
  <r>
    <x v="86"/>
    <x v="86"/>
    <x v="178"/>
    <x v="565"/>
  </r>
  <r>
    <x v="63"/>
    <x v="63"/>
    <x v="178"/>
    <x v="1648"/>
  </r>
  <r>
    <x v="98"/>
    <x v="98"/>
    <x v="178"/>
    <x v="1187"/>
  </r>
  <r>
    <x v="37"/>
    <x v="37"/>
    <x v="178"/>
    <x v="1811"/>
  </r>
  <r>
    <x v="8"/>
    <x v="8"/>
    <x v="178"/>
    <x v="50"/>
  </r>
  <r>
    <x v="9"/>
    <x v="9"/>
    <x v="178"/>
    <x v="218"/>
  </r>
  <r>
    <x v="68"/>
    <x v="68"/>
    <x v="178"/>
    <x v="1086"/>
  </r>
  <r>
    <x v="38"/>
    <x v="38"/>
    <x v="178"/>
    <x v="611"/>
  </r>
  <r>
    <x v="10"/>
    <x v="10"/>
    <x v="178"/>
    <x v="1283"/>
  </r>
  <r>
    <x v="27"/>
    <x v="27"/>
    <x v="178"/>
    <x v="1757"/>
  </r>
  <r>
    <x v="11"/>
    <x v="11"/>
    <x v="178"/>
    <x v="1812"/>
  </r>
  <r>
    <x v="95"/>
    <x v="95"/>
    <x v="178"/>
    <x v="1813"/>
  </r>
  <r>
    <x v="12"/>
    <x v="12"/>
    <x v="178"/>
    <x v="1814"/>
  </r>
  <r>
    <x v="29"/>
    <x v="29"/>
    <x v="178"/>
    <x v="1072"/>
  </r>
  <r>
    <x v="30"/>
    <x v="30"/>
    <x v="178"/>
    <x v="1815"/>
  </r>
  <r>
    <x v="69"/>
    <x v="69"/>
    <x v="178"/>
    <x v="1816"/>
  </r>
  <r>
    <x v="46"/>
    <x v="46"/>
    <x v="178"/>
    <x v="1817"/>
  </r>
  <r>
    <x v="14"/>
    <x v="14"/>
    <x v="178"/>
    <x v="1816"/>
  </r>
  <r>
    <x v="78"/>
    <x v="78"/>
    <x v="178"/>
    <x v="209"/>
  </r>
  <r>
    <x v="83"/>
    <x v="83"/>
    <x v="178"/>
    <x v="507"/>
  </r>
  <r>
    <x v="16"/>
    <x v="16"/>
    <x v="178"/>
    <x v="160"/>
  </r>
  <r>
    <x v="18"/>
    <x v="18"/>
    <x v="179"/>
    <x v="14"/>
  </r>
  <r>
    <x v="41"/>
    <x v="41"/>
    <x v="179"/>
    <x v="40"/>
  </r>
  <r>
    <x v="0"/>
    <x v="0"/>
    <x v="179"/>
    <x v="516"/>
  </r>
  <r>
    <x v="76"/>
    <x v="76"/>
    <x v="179"/>
    <x v="588"/>
  </r>
  <r>
    <x v="21"/>
    <x v="21"/>
    <x v="179"/>
    <x v="380"/>
  </r>
  <r>
    <x v="3"/>
    <x v="3"/>
    <x v="179"/>
    <x v="572"/>
  </r>
  <r>
    <x v="35"/>
    <x v="35"/>
    <x v="179"/>
    <x v="893"/>
  </r>
  <r>
    <x v="4"/>
    <x v="4"/>
    <x v="179"/>
    <x v="1818"/>
  </r>
  <r>
    <x v="5"/>
    <x v="5"/>
    <x v="179"/>
    <x v="953"/>
  </r>
  <r>
    <x v="23"/>
    <x v="23"/>
    <x v="179"/>
    <x v="989"/>
  </r>
  <r>
    <x v="55"/>
    <x v="55"/>
    <x v="179"/>
    <x v="1819"/>
  </r>
  <r>
    <x v="25"/>
    <x v="25"/>
    <x v="179"/>
    <x v="1810"/>
  </r>
  <r>
    <x v="26"/>
    <x v="26"/>
    <x v="179"/>
    <x v="89"/>
  </r>
  <r>
    <x v="79"/>
    <x v="79"/>
    <x v="179"/>
    <x v="1820"/>
  </r>
  <r>
    <x v="37"/>
    <x v="37"/>
    <x v="179"/>
    <x v="91"/>
  </r>
  <r>
    <x v="9"/>
    <x v="9"/>
    <x v="179"/>
    <x v="179"/>
  </r>
  <r>
    <x v="38"/>
    <x v="38"/>
    <x v="179"/>
    <x v="293"/>
  </r>
  <r>
    <x v="10"/>
    <x v="10"/>
    <x v="179"/>
    <x v="1821"/>
  </r>
  <r>
    <x v="11"/>
    <x v="11"/>
    <x v="179"/>
    <x v="568"/>
  </r>
  <r>
    <x v="28"/>
    <x v="28"/>
    <x v="179"/>
    <x v="802"/>
  </r>
  <r>
    <x v="59"/>
    <x v="59"/>
    <x v="179"/>
    <x v="1822"/>
  </r>
  <r>
    <x v="39"/>
    <x v="39"/>
    <x v="179"/>
    <x v="606"/>
  </r>
  <r>
    <x v="29"/>
    <x v="29"/>
    <x v="179"/>
    <x v="1823"/>
  </r>
  <r>
    <x v="30"/>
    <x v="30"/>
    <x v="179"/>
    <x v="1824"/>
  </r>
  <r>
    <x v="64"/>
    <x v="64"/>
    <x v="179"/>
    <x v="1678"/>
  </r>
  <r>
    <x v="51"/>
    <x v="51"/>
    <x v="179"/>
    <x v="1720"/>
  </r>
  <r>
    <x v="96"/>
    <x v="96"/>
    <x v="179"/>
    <x v="82"/>
  </r>
  <r>
    <x v="46"/>
    <x v="46"/>
    <x v="179"/>
    <x v="82"/>
  </r>
  <r>
    <x v="78"/>
    <x v="78"/>
    <x v="179"/>
    <x v="111"/>
  </r>
  <r>
    <x v="15"/>
    <x v="15"/>
    <x v="179"/>
    <x v="111"/>
  </r>
  <r>
    <x v="16"/>
    <x v="16"/>
    <x v="179"/>
    <x v="82"/>
  </r>
  <r>
    <x v="0"/>
    <x v="0"/>
    <x v="180"/>
    <x v="1418"/>
  </r>
  <r>
    <x v="76"/>
    <x v="76"/>
    <x v="180"/>
    <x v="1026"/>
  </r>
  <r>
    <x v="2"/>
    <x v="2"/>
    <x v="180"/>
    <x v="231"/>
  </r>
  <r>
    <x v="21"/>
    <x v="21"/>
    <x v="180"/>
    <x v="213"/>
  </r>
  <r>
    <x v="4"/>
    <x v="4"/>
    <x v="180"/>
    <x v="1825"/>
  </r>
  <r>
    <x v="23"/>
    <x v="23"/>
    <x v="180"/>
    <x v="348"/>
  </r>
  <r>
    <x v="25"/>
    <x v="25"/>
    <x v="180"/>
    <x v="1826"/>
  </r>
  <r>
    <x v="92"/>
    <x v="92"/>
    <x v="180"/>
    <x v="1379"/>
  </r>
  <r>
    <x v="6"/>
    <x v="6"/>
    <x v="180"/>
    <x v="1827"/>
  </r>
  <r>
    <x v="7"/>
    <x v="7"/>
    <x v="180"/>
    <x v="7"/>
  </r>
  <r>
    <x v="37"/>
    <x v="37"/>
    <x v="180"/>
    <x v="70"/>
  </r>
  <r>
    <x v="8"/>
    <x v="8"/>
    <x v="180"/>
    <x v="50"/>
  </r>
  <r>
    <x v="9"/>
    <x v="9"/>
    <x v="180"/>
    <x v="9"/>
  </r>
  <r>
    <x v="38"/>
    <x v="38"/>
    <x v="180"/>
    <x v="109"/>
  </r>
  <r>
    <x v="10"/>
    <x v="10"/>
    <x v="180"/>
    <x v="1730"/>
  </r>
  <r>
    <x v="11"/>
    <x v="11"/>
    <x v="180"/>
    <x v="1828"/>
  </r>
  <r>
    <x v="39"/>
    <x v="39"/>
    <x v="180"/>
    <x v="1038"/>
  </r>
  <r>
    <x v="29"/>
    <x v="29"/>
    <x v="180"/>
    <x v="1829"/>
  </r>
  <r>
    <x v="97"/>
    <x v="97"/>
    <x v="180"/>
    <x v="1163"/>
  </r>
  <r>
    <x v="81"/>
    <x v="81"/>
    <x v="180"/>
    <x v="1830"/>
  </r>
  <r>
    <x v="31"/>
    <x v="31"/>
    <x v="180"/>
    <x v="60"/>
  </r>
  <r>
    <x v="69"/>
    <x v="69"/>
    <x v="180"/>
    <x v="111"/>
  </r>
  <r>
    <x v="46"/>
    <x v="46"/>
    <x v="180"/>
    <x v="376"/>
  </r>
  <r>
    <x v="110"/>
    <x v="110"/>
    <x v="180"/>
    <x v="111"/>
  </r>
  <r>
    <x v="14"/>
    <x v="14"/>
    <x v="180"/>
    <x v="62"/>
  </r>
  <r>
    <x v="78"/>
    <x v="78"/>
    <x v="180"/>
    <x v="16"/>
  </r>
  <r>
    <x v="15"/>
    <x v="15"/>
    <x v="180"/>
    <x v="62"/>
  </r>
  <r>
    <x v="16"/>
    <x v="16"/>
    <x v="180"/>
    <x v="339"/>
  </r>
  <r>
    <x v="19"/>
    <x v="19"/>
    <x v="181"/>
    <x v="1831"/>
  </r>
  <r>
    <x v="76"/>
    <x v="76"/>
    <x v="181"/>
    <x v="361"/>
  </r>
  <r>
    <x v="2"/>
    <x v="2"/>
    <x v="181"/>
    <x v="508"/>
  </r>
  <r>
    <x v="21"/>
    <x v="21"/>
    <x v="181"/>
    <x v="177"/>
  </r>
  <r>
    <x v="3"/>
    <x v="3"/>
    <x v="181"/>
    <x v="816"/>
  </r>
  <r>
    <x v="35"/>
    <x v="35"/>
    <x v="181"/>
    <x v="1832"/>
  </r>
  <r>
    <x v="4"/>
    <x v="4"/>
    <x v="181"/>
    <x v="1833"/>
  </r>
  <r>
    <x v="5"/>
    <x v="5"/>
    <x v="181"/>
    <x v="721"/>
  </r>
  <r>
    <x v="23"/>
    <x v="23"/>
    <x v="181"/>
    <x v="995"/>
  </r>
  <r>
    <x v="55"/>
    <x v="55"/>
    <x v="181"/>
    <x v="1826"/>
  </r>
  <r>
    <x v="25"/>
    <x v="25"/>
    <x v="181"/>
    <x v="236"/>
  </r>
  <r>
    <x v="26"/>
    <x v="26"/>
    <x v="181"/>
    <x v="89"/>
  </r>
  <r>
    <x v="79"/>
    <x v="79"/>
    <x v="181"/>
    <x v="1834"/>
  </r>
  <r>
    <x v="36"/>
    <x v="36"/>
    <x v="181"/>
    <x v="1835"/>
  </r>
  <r>
    <x v="92"/>
    <x v="92"/>
    <x v="181"/>
    <x v="673"/>
  </r>
  <r>
    <x v="74"/>
    <x v="74"/>
    <x v="181"/>
    <x v="403"/>
  </r>
  <r>
    <x v="7"/>
    <x v="7"/>
    <x v="181"/>
    <x v="7"/>
  </r>
  <r>
    <x v="37"/>
    <x v="37"/>
    <x v="181"/>
    <x v="1476"/>
  </r>
  <r>
    <x v="9"/>
    <x v="9"/>
    <x v="181"/>
    <x v="249"/>
  </r>
  <r>
    <x v="68"/>
    <x v="68"/>
    <x v="181"/>
    <x v="219"/>
  </r>
  <r>
    <x v="38"/>
    <x v="38"/>
    <x v="181"/>
    <x v="1836"/>
  </r>
  <r>
    <x v="10"/>
    <x v="10"/>
    <x v="181"/>
    <x v="1283"/>
  </r>
  <r>
    <x v="11"/>
    <x v="11"/>
    <x v="181"/>
    <x v="1837"/>
  </r>
  <r>
    <x v="12"/>
    <x v="12"/>
    <x v="181"/>
    <x v="715"/>
  </r>
  <r>
    <x v="29"/>
    <x v="29"/>
    <x v="181"/>
    <x v="804"/>
  </r>
  <r>
    <x v="30"/>
    <x v="30"/>
    <x v="181"/>
    <x v="787"/>
  </r>
  <r>
    <x v="84"/>
    <x v="84"/>
    <x v="181"/>
    <x v="1164"/>
  </r>
  <r>
    <x v="64"/>
    <x v="64"/>
    <x v="181"/>
    <x v="672"/>
  </r>
  <r>
    <x v="73"/>
    <x v="73"/>
    <x v="181"/>
    <x v="633"/>
  </r>
  <r>
    <x v="46"/>
    <x v="46"/>
    <x v="181"/>
    <x v="1551"/>
  </r>
  <r>
    <x v="14"/>
    <x v="14"/>
    <x v="181"/>
    <x v="507"/>
  </r>
  <r>
    <x v="78"/>
    <x v="78"/>
    <x v="181"/>
    <x v="82"/>
  </r>
  <r>
    <x v="83"/>
    <x v="83"/>
    <x v="181"/>
    <x v="62"/>
  </r>
  <r>
    <x v="16"/>
    <x v="16"/>
    <x v="181"/>
    <x v="82"/>
  </r>
  <r>
    <x v="0"/>
    <x v="0"/>
    <x v="182"/>
    <x v="394"/>
  </r>
  <r>
    <x v="21"/>
    <x v="21"/>
    <x v="182"/>
    <x v="675"/>
  </r>
  <r>
    <x v="3"/>
    <x v="3"/>
    <x v="182"/>
    <x v="1084"/>
  </r>
  <r>
    <x v="4"/>
    <x v="4"/>
    <x v="182"/>
    <x v="1101"/>
  </r>
  <r>
    <x v="52"/>
    <x v="52"/>
    <x v="182"/>
    <x v="403"/>
  </r>
  <r>
    <x v="5"/>
    <x v="5"/>
    <x v="182"/>
    <x v="577"/>
  </r>
  <r>
    <x v="55"/>
    <x v="55"/>
    <x v="182"/>
    <x v="559"/>
  </r>
  <r>
    <x v="26"/>
    <x v="26"/>
    <x v="182"/>
    <x v="268"/>
  </r>
  <r>
    <x v="36"/>
    <x v="36"/>
    <x v="182"/>
    <x v="423"/>
  </r>
  <r>
    <x v="88"/>
    <x v="88"/>
    <x v="182"/>
    <x v="610"/>
  </r>
  <r>
    <x v="37"/>
    <x v="37"/>
    <x v="182"/>
    <x v="70"/>
  </r>
  <r>
    <x v="68"/>
    <x v="68"/>
    <x v="182"/>
    <x v="1838"/>
  </r>
  <r>
    <x v="10"/>
    <x v="10"/>
    <x v="182"/>
    <x v="952"/>
  </r>
  <r>
    <x v="11"/>
    <x v="11"/>
    <x v="182"/>
    <x v="640"/>
  </r>
  <r>
    <x v="53"/>
    <x v="53"/>
    <x v="182"/>
    <x v="580"/>
  </r>
  <r>
    <x v="12"/>
    <x v="12"/>
    <x v="182"/>
    <x v="1183"/>
  </r>
  <r>
    <x v="59"/>
    <x v="59"/>
    <x v="182"/>
    <x v="1688"/>
  </r>
  <r>
    <x v="29"/>
    <x v="29"/>
    <x v="182"/>
    <x v="414"/>
  </r>
  <r>
    <x v="72"/>
    <x v="72"/>
    <x v="182"/>
    <x v="1403"/>
  </r>
  <r>
    <x v="30"/>
    <x v="30"/>
    <x v="182"/>
    <x v="1839"/>
  </r>
  <r>
    <x v="85"/>
    <x v="85"/>
    <x v="182"/>
    <x v="898"/>
  </r>
  <r>
    <x v="45"/>
    <x v="45"/>
    <x v="182"/>
    <x v="1354"/>
  </r>
  <r>
    <x v="96"/>
    <x v="96"/>
    <x v="182"/>
    <x v="98"/>
  </r>
  <r>
    <x v="46"/>
    <x v="46"/>
    <x v="182"/>
    <x v="18"/>
  </r>
  <r>
    <x v="14"/>
    <x v="14"/>
    <x v="182"/>
    <x v="62"/>
  </r>
  <r>
    <x v="78"/>
    <x v="78"/>
    <x v="182"/>
    <x v="82"/>
  </r>
  <r>
    <x v="15"/>
    <x v="15"/>
    <x v="182"/>
    <x v="82"/>
  </r>
  <r>
    <x v="16"/>
    <x v="16"/>
    <x v="182"/>
    <x v="209"/>
  </r>
  <r>
    <x v="76"/>
    <x v="76"/>
    <x v="183"/>
    <x v="301"/>
  </r>
  <r>
    <x v="2"/>
    <x v="2"/>
    <x v="183"/>
    <x v="81"/>
  </r>
  <r>
    <x v="20"/>
    <x v="20"/>
    <x v="183"/>
    <x v="65"/>
  </r>
  <r>
    <x v="21"/>
    <x v="21"/>
    <x v="183"/>
    <x v="598"/>
  </r>
  <r>
    <x v="4"/>
    <x v="4"/>
    <x v="183"/>
    <x v="473"/>
  </r>
  <r>
    <x v="87"/>
    <x v="87"/>
    <x v="183"/>
    <x v="862"/>
  </r>
  <r>
    <x v="22"/>
    <x v="22"/>
    <x v="183"/>
    <x v="510"/>
  </r>
  <r>
    <x v="23"/>
    <x v="23"/>
    <x v="183"/>
    <x v="1840"/>
  </r>
  <r>
    <x v="55"/>
    <x v="55"/>
    <x v="183"/>
    <x v="1587"/>
  </r>
  <r>
    <x v="66"/>
    <x v="66"/>
    <x v="183"/>
    <x v="1841"/>
  </r>
  <r>
    <x v="99"/>
    <x v="99"/>
    <x v="183"/>
    <x v="1842"/>
  </r>
  <r>
    <x v="56"/>
    <x v="56"/>
    <x v="183"/>
    <x v="1843"/>
  </r>
  <r>
    <x v="26"/>
    <x v="26"/>
    <x v="183"/>
    <x v="325"/>
  </r>
  <r>
    <x v="79"/>
    <x v="79"/>
    <x v="183"/>
    <x v="1318"/>
  </r>
  <r>
    <x v="36"/>
    <x v="36"/>
    <x v="183"/>
    <x v="1844"/>
  </r>
  <r>
    <x v="57"/>
    <x v="57"/>
    <x v="183"/>
    <x v="1845"/>
  </r>
  <r>
    <x v="88"/>
    <x v="88"/>
    <x v="183"/>
    <x v="1846"/>
  </r>
  <r>
    <x v="37"/>
    <x v="37"/>
    <x v="183"/>
    <x v="1847"/>
  </r>
  <r>
    <x v="8"/>
    <x v="8"/>
    <x v="183"/>
    <x v="693"/>
  </r>
  <r>
    <x v="68"/>
    <x v="68"/>
    <x v="183"/>
    <x v="1848"/>
  </r>
  <r>
    <x v="38"/>
    <x v="38"/>
    <x v="183"/>
    <x v="293"/>
  </r>
  <r>
    <x v="10"/>
    <x v="10"/>
    <x v="183"/>
    <x v="1849"/>
  </r>
  <r>
    <x v="27"/>
    <x v="27"/>
    <x v="183"/>
    <x v="1131"/>
  </r>
  <r>
    <x v="11"/>
    <x v="11"/>
    <x v="183"/>
    <x v="1731"/>
  </r>
  <r>
    <x v="53"/>
    <x v="53"/>
    <x v="183"/>
    <x v="1850"/>
  </r>
  <r>
    <x v="12"/>
    <x v="12"/>
    <x v="183"/>
    <x v="1851"/>
  </r>
  <r>
    <x v="59"/>
    <x v="59"/>
    <x v="183"/>
    <x v="1852"/>
  </r>
  <r>
    <x v="29"/>
    <x v="29"/>
    <x v="183"/>
    <x v="446"/>
  </r>
  <r>
    <x v="72"/>
    <x v="72"/>
    <x v="183"/>
    <x v="1711"/>
  </r>
  <r>
    <x v="30"/>
    <x v="30"/>
    <x v="183"/>
    <x v="985"/>
  </r>
  <r>
    <x v="80"/>
    <x v="80"/>
    <x v="183"/>
    <x v="1853"/>
  </r>
  <r>
    <x v="81"/>
    <x v="81"/>
    <x v="183"/>
    <x v="671"/>
  </r>
  <r>
    <x v="31"/>
    <x v="31"/>
    <x v="183"/>
    <x v="295"/>
  </r>
  <r>
    <x v="44"/>
    <x v="44"/>
    <x v="183"/>
    <x v="257"/>
  </r>
  <r>
    <x v="69"/>
    <x v="69"/>
    <x v="183"/>
    <x v="160"/>
  </r>
  <r>
    <x v="96"/>
    <x v="96"/>
    <x v="183"/>
    <x v="62"/>
  </r>
  <r>
    <x v="46"/>
    <x v="46"/>
    <x v="183"/>
    <x v="1743"/>
  </r>
  <r>
    <x v="14"/>
    <x v="14"/>
    <x v="183"/>
    <x v="1116"/>
  </r>
  <r>
    <x v="15"/>
    <x v="15"/>
    <x v="183"/>
    <x v="230"/>
  </r>
  <r>
    <x v="17"/>
    <x v="17"/>
    <x v="183"/>
    <x v="725"/>
  </r>
  <r>
    <x v="41"/>
    <x v="41"/>
    <x v="184"/>
    <x v="63"/>
  </r>
  <r>
    <x v="19"/>
    <x v="19"/>
    <x v="184"/>
    <x v="1854"/>
  </r>
  <r>
    <x v="20"/>
    <x v="20"/>
    <x v="184"/>
    <x v="22"/>
  </r>
  <r>
    <x v="21"/>
    <x v="21"/>
    <x v="184"/>
    <x v="114"/>
  </r>
  <r>
    <x v="3"/>
    <x v="3"/>
    <x v="184"/>
    <x v="1855"/>
  </r>
  <r>
    <x v="4"/>
    <x v="4"/>
    <x v="184"/>
    <x v="977"/>
  </r>
  <r>
    <x v="5"/>
    <x v="5"/>
    <x v="184"/>
    <x v="103"/>
  </r>
  <r>
    <x v="23"/>
    <x v="23"/>
    <x v="184"/>
    <x v="1436"/>
  </r>
  <r>
    <x v="26"/>
    <x v="26"/>
    <x v="184"/>
    <x v="1064"/>
  </r>
  <r>
    <x v="86"/>
    <x v="86"/>
    <x v="184"/>
    <x v="796"/>
  </r>
  <r>
    <x v="92"/>
    <x v="92"/>
    <x v="184"/>
    <x v="673"/>
  </r>
  <r>
    <x v="7"/>
    <x v="7"/>
    <x v="184"/>
    <x v="7"/>
  </r>
  <r>
    <x v="37"/>
    <x v="37"/>
    <x v="184"/>
    <x v="665"/>
  </r>
  <r>
    <x v="9"/>
    <x v="9"/>
    <x v="184"/>
    <x v="1856"/>
  </r>
  <r>
    <x v="10"/>
    <x v="10"/>
    <x v="184"/>
    <x v="1243"/>
  </r>
  <r>
    <x v="11"/>
    <x v="11"/>
    <x v="184"/>
    <x v="291"/>
  </r>
  <r>
    <x v="28"/>
    <x v="28"/>
    <x v="184"/>
    <x v="1857"/>
  </r>
  <r>
    <x v="12"/>
    <x v="12"/>
    <x v="184"/>
    <x v="74"/>
  </r>
  <r>
    <x v="29"/>
    <x v="29"/>
    <x v="184"/>
    <x v="430"/>
  </r>
  <r>
    <x v="43"/>
    <x v="43"/>
    <x v="184"/>
    <x v="1039"/>
  </r>
  <r>
    <x v="30"/>
    <x v="30"/>
    <x v="184"/>
    <x v="1858"/>
  </r>
  <r>
    <x v="31"/>
    <x v="31"/>
    <x v="184"/>
    <x v="336"/>
  </r>
  <r>
    <x v="32"/>
    <x v="32"/>
    <x v="184"/>
    <x v="38"/>
  </r>
  <r>
    <x v="46"/>
    <x v="46"/>
    <x v="184"/>
    <x v="1859"/>
  </r>
  <r>
    <x v="110"/>
    <x v="110"/>
    <x v="184"/>
    <x v="160"/>
  </r>
  <r>
    <x v="14"/>
    <x v="14"/>
    <x v="184"/>
    <x v="339"/>
  </r>
  <r>
    <x v="78"/>
    <x v="78"/>
    <x v="184"/>
    <x v="85"/>
  </r>
  <r>
    <x v="16"/>
    <x v="16"/>
    <x v="184"/>
    <x v="15"/>
  </r>
  <r>
    <x v="17"/>
    <x v="17"/>
    <x v="184"/>
    <x v="111"/>
  </r>
  <r>
    <x v="2"/>
    <x v="2"/>
    <x v="185"/>
    <x v="81"/>
  </r>
  <r>
    <x v="21"/>
    <x v="21"/>
    <x v="185"/>
    <x v="531"/>
  </r>
  <r>
    <x v="3"/>
    <x v="3"/>
    <x v="185"/>
    <x v="757"/>
  </r>
  <r>
    <x v="4"/>
    <x v="4"/>
    <x v="185"/>
    <x v="1357"/>
  </r>
  <r>
    <x v="87"/>
    <x v="87"/>
    <x v="185"/>
    <x v="245"/>
  </r>
  <r>
    <x v="5"/>
    <x v="5"/>
    <x v="185"/>
    <x v="549"/>
  </r>
  <r>
    <x v="23"/>
    <x v="23"/>
    <x v="185"/>
    <x v="348"/>
  </r>
  <r>
    <x v="26"/>
    <x v="26"/>
    <x v="185"/>
    <x v="441"/>
  </r>
  <r>
    <x v="36"/>
    <x v="36"/>
    <x v="185"/>
    <x v="48"/>
  </r>
  <r>
    <x v="6"/>
    <x v="6"/>
    <x v="185"/>
    <x v="123"/>
  </r>
  <r>
    <x v="98"/>
    <x v="98"/>
    <x v="185"/>
    <x v="1187"/>
  </r>
  <r>
    <x v="9"/>
    <x v="9"/>
    <x v="185"/>
    <x v="443"/>
  </r>
  <r>
    <x v="10"/>
    <x v="10"/>
    <x v="185"/>
    <x v="1860"/>
  </r>
  <r>
    <x v="11"/>
    <x v="11"/>
    <x v="185"/>
    <x v="1861"/>
  </r>
  <r>
    <x v="12"/>
    <x v="12"/>
    <x v="185"/>
    <x v="1851"/>
  </r>
  <r>
    <x v="29"/>
    <x v="29"/>
    <x v="185"/>
    <x v="1862"/>
  </r>
  <r>
    <x v="30"/>
    <x v="30"/>
    <x v="185"/>
    <x v="17"/>
  </r>
  <r>
    <x v="84"/>
    <x v="84"/>
    <x v="185"/>
    <x v="1106"/>
  </r>
  <r>
    <x v="69"/>
    <x v="69"/>
    <x v="185"/>
    <x v="13"/>
  </r>
  <r>
    <x v="46"/>
    <x v="46"/>
    <x v="185"/>
    <x v="85"/>
  </r>
  <r>
    <x v="14"/>
    <x v="14"/>
    <x v="185"/>
    <x v="16"/>
  </r>
  <r>
    <x v="78"/>
    <x v="78"/>
    <x v="185"/>
    <x v="62"/>
  </r>
  <r>
    <x v="16"/>
    <x v="16"/>
    <x v="185"/>
    <x v="507"/>
  </r>
  <r>
    <x v="17"/>
    <x v="17"/>
    <x v="185"/>
    <x v="1565"/>
  </r>
  <r>
    <x v="19"/>
    <x v="19"/>
    <x v="186"/>
    <x v="1350"/>
  </r>
  <r>
    <x v="0"/>
    <x v="0"/>
    <x v="186"/>
    <x v="516"/>
  </r>
  <r>
    <x v="76"/>
    <x v="76"/>
    <x v="186"/>
    <x v="561"/>
  </r>
  <r>
    <x v="20"/>
    <x v="20"/>
    <x v="186"/>
    <x v="63"/>
  </r>
  <r>
    <x v="21"/>
    <x v="21"/>
    <x v="186"/>
    <x v="87"/>
  </r>
  <r>
    <x v="3"/>
    <x v="3"/>
    <x v="186"/>
    <x v="741"/>
  </r>
  <r>
    <x v="4"/>
    <x v="4"/>
    <x v="186"/>
    <x v="1622"/>
  </r>
  <r>
    <x v="52"/>
    <x v="52"/>
    <x v="186"/>
    <x v="1318"/>
  </r>
  <r>
    <x v="87"/>
    <x v="87"/>
    <x v="186"/>
    <x v="876"/>
  </r>
  <r>
    <x v="5"/>
    <x v="5"/>
    <x v="186"/>
    <x v="1045"/>
  </r>
  <r>
    <x v="23"/>
    <x v="23"/>
    <x v="186"/>
    <x v="921"/>
  </r>
  <r>
    <x v="24"/>
    <x v="24"/>
    <x v="186"/>
    <x v="1863"/>
  </r>
  <r>
    <x v="36"/>
    <x v="36"/>
    <x v="186"/>
    <x v="933"/>
  </r>
  <r>
    <x v="93"/>
    <x v="93"/>
    <x v="186"/>
    <x v="796"/>
  </r>
  <r>
    <x v="82"/>
    <x v="82"/>
    <x v="186"/>
    <x v="0"/>
  </r>
  <r>
    <x v="37"/>
    <x v="37"/>
    <x v="186"/>
    <x v="1016"/>
  </r>
  <r>
    <x v="8"/>
    <x v="8"/>
    <x v="186"/>
    <x v="1033"/>
  </r>
  <r>
    <x v="9"/>
    <x v="9"/>
    <x v="186"/>
    <x v="148"/>
  </r>
  <r>
    <x v="38"/>
    <x v="38"/>
    <x v="186"/>
    <x v="1864"/>
  </r>
  <r>
    <x v="10"/>
    <x v="10"/>
    <x v="186"/>
    <x v="1865"/>
  </r>
  <r>
    <x v="11"/>
    <x v="11"/>
    <x v="186"/>
    <x v="770"/>
  </r>
  <r>
    <x v="59"/>
    <x v="59"/>
    <x v="186"/>
    <x v="925"/>
  </r>
  <r>
    <x v="29"/>
    <x v="29"/>
    <x v="186"/>
    <x v="624"/>
  </r>
  <r>
    <x v="30"/>
    <x v="30"/>
    <x v="186"/>
    <x v="1499"/>
  </r>
  <r>
    <x v="44"/>
    <x v="44"/>
    <x v="186"/>
    <x v="1866"/>
  </r>
  <r>
    <x v="32"/>
    <x v="32"/>
    <x v="186"/>
    <x v="38"/>
  </r>
  <r>
    <x v="46"/>
    <x v="46"/>
    <x v="186"/>
    <x v="533"/>
  </r>
  <r>
    <x v="110"/>
    <x v="110"/>
    <x v="186"/>
    <x v="111"/>
  </r>
  <r>
    <x v="14"/>
    <x v="14"/>
    <x v="186"/>
    <x v="339"/>
  </r>
  <r>
    <x v="15"/>
    <x v="15"/>
    <x v="186"/>
    <x v="160"/>
  </r>
  <r>
    <x v="16"/>
    <x v="16"/>
    <x v="186"/>
    <x v="62"/>
  </r>
  <r>
    <x v="48"/>
    <x v="48"/>
    <x v="187"/>
    <x v="230"/>
  </r>
  <r>
    <x v="2"/>
    <x v="2"/>
    <x v="187"/>
    <x v="508"/>
  </r>
  <r>
    <x v="21"/>
    <x v="21"/>
    <x v="187"/>
    <x v="1867"/>
  </r>
  <r>
    <x v="35"/>
    <x v="35"/>
    <x v="187"/>
    <x v="1222"/>
  </r>
  <r>
    <x v="4"/>
    <x v="4"/>
    <x v="187"/>
    <x v="662"/>
  </r>
  <r>
    <x v="52"/>
    <x v="52"/>
    <x v="187"/>
    <x v="1511"/>
  </r>
  <r>
    <x v="5"/>
    <x v="5"/>
    <x v="187"/>
    <x v="5"/>
  </r>
  <r>
    <x v="23"/>
    <x v="23"/>
    <x v="187"/>
    <x v="689"/>
  </r>
  <r>
    <x v="70"/>
    <x v="70"/>
    <x v="187"/>
    <x v="265"/>
  </r>
  <r>
    <x v="26"/>
    <x v="26"/>
    <x v="187"/>
    <x v="89"/>
  </r>
  <r>
    <x v="36"/>
    <x v="36"/>
    <x v="187"/>
    <x v="692"/>
  </r>
  <r>
    <x v="98"/>
    <x v="98"/>
    <x v="187"/>
    <x v="1187"/>
  </r>
  <r>
    <x v="37"/>
    <x v="37"/>
    <x v="187"/>
    <x v="91"/>
  </r>
  <r>
    <x v="8"/>
    <x v="8"/>
    <x v="187"/>
    <x v="1739"/>
  </r>
  <r>
    <x v="9"/>
    <x v="9"/>
    <x v="187"/>
    <x v="387"/>
  </r>
  <r>
    <x v="38"/>
    <x v="38"/>
    <x v="187"/>
    <x v="851"/>
  </r>
  <r>
    <x v="10"/>
    <x v="10"/>
    <x v="187"/>
    <x v="1868"/>
  </r>
  <r>
    <x v="11"/>
    <x v="11"/>
    <x v="187"/>
    <x v="1869"/>
  </r>
  <r>
    <x v="53"/>
    <x v="53"/>
    <x v="187"/>
    <x v="924"/>
  </r>
  <r>
    <x v="12"/>
    <x v="12"/>
    <x v="187"/>
    <x v="1308"/>
  </r>
  <r>
    <x v="29"/>
    <x v="29"/>
    <x v="187"/>
    <x v="242"/>
  </r>
  <r>
    <x v="72"/>
    <x v="72"/>
    <x v="187"/>
    <x v="1403"/>
  </r>
  <r>
    <x v="30"/>
    <x v="30"/>
    <x v="187"/>
    <x v="1870"/>
  </r>
  <r>
    <x v="91"/>
    <x v="91"/>
    <x v="187"/>
    <x v="883"/>
  </r>
  <r>
    <x v="32"/>
    <x v="32"/>
    <x v="187"/>
    <x v="38"/>
  </r>
  <r>
    <x v="69"/>
    <x v="69"/>
    <x v="187"/>
    <x v="111"/>
  </r>
  <r>
    <x v="46"/>
    <x v="46"/>
    <x v="187"/>
    <x v="507"/>
  </r>
  <r>
    <x v="78"/>
    <x v="78"/>
    <x v="187"/>
    <x v="16"/>
  </r>
  <r>
    <x v="114"/>
    <x v="114"/>
    <x v="187"/>
    <x v="14"/>
  </r>
  <r>
    <x v="16"/>
    <x v="16"/>
    <x v="187"/>
    <x v="209"/>
  </r>
  <r>
    <x v="17"/>
    <x v="17"/>
    <x v="187"/>
    <x v="230"/>
  </r>
  <r>
    <x v="50"/>
    <x v="50"/>
    <x v="188"/>
    <x v="210"/>
  </r>
  <r>
    <x v="19"/>
    <x v="19"/>
    <x v="188"/>
    <x v="163"/>
  </r>
  <r>
    <x v="0"/>
    <x v="0"/>
    <x v="188"/>
    <x v="987"/>
  </r>
  <r>
    <x v="76"/>
    <x v="76"/>
    <x v="188"/>
    <x v="1791"/>
  </r>
  <r>
    <x v="2"/>
    <x v="2"/>
    <x v="188"/>
    <x v="962"/>
  </r>
  <r>
    <x v="21"/>
    <x v="21"/>
    <x v="188"/>
    <x v="1871"/>
  </r>
  <r>
    <x v="3"/>
    <x v="3"/>
    <x v="188"/>
    <x v="741"/>
  </r>
  <r>
    <x v="35"/>
    <x v="35"/>
    <x v="188"/>
    <x v="1872"/>
  </r>
  <r>
    <x v="4"/>
    <x v="4"/>
    <x v="188"/>
    <x v="1873"/>
  </r>
  <r>
    <x v="5"/>
    <x v="5"/>
    <x v="188"/>
    <x v="577"/>
  </r>
  <r>
    <x v="23"/>
    <x v="23"/>
    <x v="188"/>
    <x v="1874"/>
  </r>
  <r>
    <x v="24"/>
    <x v="24"/>
    <x v="188"/>
    <x v="1875"/>
  </r>
  <r>
    <x v="70"/>
    <x v="70"/>
    <x v="188"/>
    <x v="216"/>
  </r>
  <r>
    <x v="99"/>
    <x v="99"/>
    <x v="188"/>
    <x v="1876"/>
  </r>
  <r>
    <x v="26"/>
    <x v="26"/>
    <x v="188"/>
    <x v="864"/>
  </r>
  <r>
    <x v="36"/>
    <x v="36"/>
    <x v="188"/>
    <x v="1877"/>
  </r>
  <r>
    <x v="74"/>
    <x v="74"/>
    <x v="188"/>
    <x v="403"/>
  </r>
  <r>
    <x v="6"/>
    <x v="6"/>
    <x v="188"/>
    <x v="123"/>
  </r>
  <r>
    <x v="62"/>
    <x v="62"/>
    <x v="188"/>
    <x v="1335"/>
  </r>
  <r>
    <x v="37"/>
    <x v="37"/>
    <x v="188"/>
    <x v="91"/>
  </r>
  <r>
    <x v="8"/>
    <x v="8"/>
    <x v="188"/>
    <x v="1581"/>
  </r>
  <r>
    <x v="38"/>
    <x v="38"/>
    <x v="188"/>
    <x v="712"/>
  </r>
  <r>
    <x v="10"/>
    <x v="10"/>
    <x v="188"/>
    <x v="1878"/>
  </r>
  <r>
    <x v="27"/>
    <x v="27"/>
    <x v="188"/>
    <x v="460"/>
  </r>
  <r>
    <x v="103"/>
    <x v="103"/>
    <x v="188"/>
    <x v="430"/>
  </r>
  <r>
    <x v="11"/>
    <x v="11"/>
    <x v="188"/>
    <x v="1879"/>
  </r>
  <r>
    <x v="53"/>
    <x v="53"/>
    <x v="188"/>
    <x v="924"/>
  </r>
  <r>
    <x v="29"/>
    <x v="29"/>
    <x v="188"/>
    <x v="1880"/>
  </r>
  <r>
    <x v="30"/>
    <x v="30"/>
    <x v="188"/>
    <x v="128"/>
  </r>
  <r>
    <x v="97"/>
    <x v="97"/>
    <x v="188"/>
    <x v="607"/>
  </r>
  <r>
    <x v="81"/>
    <x v="81"/>
    <x v="188"/>
    <x v="685"/>
  </r>
  <r>
    <x v="84"/>
    <x v="84"/>
    <x v="188"/>
    <x v="1881"/>
  </r>
  <r>
    <x v="31"/>
    <x v="31"/>
    <x v="188"/>
    <x v="1882"/>
  </r>
  <r>
    <x v="51"/>
    <x v="51"/>
    <x v="188"/>
    <x v="866"/>
  </r>
  <r>
    <x v="46"/>
    <x v="46"/>
    <x v="188"/>
    <x v="117"/>
  </r>
  <r>
    <x v="14"/>
    <x v="14"/>
    <x v="188"/>
    <x v="14"/>
  </r>
  <r>
    <x v="15"/>
    <x v="15"/>
    <x v="188"/>
    <x v="111"/>
  </r>
  <r>
    <x v="114"/>
    <x v="114"/>
    <x v="188"/>
    <x v="1565"/>
  </r>
  <r>
    <x v="16"/>
    <x v="16"/>
    <x v="188"/>
    <x v="1232"/>
  </r>
  <r>
    <x v="2"/>
    <x v="2"/>
    <x v="189"/>
    <x v="616"/>
  </r>
  <r>
    <x v="21"/>
    <x v="21"/>
    <x v="189"/>
    <x v="970"/>
  </r>
  <r>
    <x v="4"/>
    <x v="4"/>
    <x v="189"/>
    <x v="1199"/>
  </r>
  <r>
    <x v="22"/>
    <x v="22"/>
    <x v="189"/>
    <x v="1883"/>
  </r>
  <r>
    <x v="55"/>
    <x v="55"/>
    <x v="189"/>
    <x v="194"/>
  </r>
  <r>
    <x v="26"/>
    <x v="26"/>
    <x v="189"/>
    <x v="1030"/>
  </r>
  <r>
    <x v="86"/>
    <x v="86"/>
    <x v="189"/>
    <x v="796"/>
  </r>
  <r>
    <x v="36"/>
    <x v="36"/>
    <x v="189"/>
    <x v="1844"/>
  </r>
  <r>
    <x v="6"/>
    <x v="6"/>
    <x v="189"/>
    <x v="90"/>
  </r>
  <r>
    <x v="8"/>
    <x v="8"/>
    <x v="189"/>
    <x v="799"/>
  </r>
  <r>
    <x v="9"/>
    <x v="9"/>
    <x v="189"/>
    <x v="1171"/>
  </r>
  <r>
    <x v="38"/>
    <x v="38"/>
    <x v="189"/>
    <x v="71"/>
  </r>
  <r>
    <x v="10"/>
    <x v="10"/>
    <x v="189"/>
    <x v="1730"/>
  </r>
  <r>
    <x v="11"/>
    <x v="11"/>
    <x v="189"/>
    <x v="1884"/>
  </r>
  <r>
    <x v="29"/>
    <x v="29"/>
    <x v="189"/>
    <x v="227"/>
  </r>
  <r>
    <x v="30"/>
    <x v="30"/>
    <x v="189"/>
    <x v="985"/>
  </r>
  <r>
    <x v="31"/>
    <x v="31"/>
    <x v="189"/>
    <x v="486"/>
  </r>
  <r>
    <x v="73"/>
    <x v="73"/>
    <x v="189"/>
    <x v="633"/>
  </r>
  <r>
    <x v="85"/>
    <x v="85"/>
    <x v="189"/>
    <x v="1075"/>
  </r>
  <r>
    <x v="46"/>
    <x v="46"/>
    <x v="189"/>
    <x v="98"/>
  </r>
  <r>
    <x v="14"/>
    <x v="14"/>
    <x v="189"/>
    <x v="62"/>
  </r>
  <r>
    <x v="114"/>
    <x v="114"/>
    <x v="189"/>
    <x v="500"/>
  </r>
  <r>
    <x v="83"/>
    <x v="83"/>
    <x v="189"/>
    <x v="40"/>
  </r>
  <r>
    <x v="16"/>
    <x v="16"/>
    <x v="189"/>
    <x v="111"/>
  </r>
  <r>
    <x v="75"/>
    <x v="75"/>
    <x v="190"/>
    <x v="111"/>
  </r>
  <r>
    <x v="41"/>
    <x v="41"/>
    <x v="190"/>
    <x v="62"/>
  </r>
  <r>
    <x v="19"/>
    <x v="19"/>
    <x v="190"/>
    <x v="570"/>
  </r>
  <r>
    <x v="0"/>
    <x v="0"/>
    <x v="190"/>
    <x v="516"/>
  </r>
  <r>
    <x v="76"/>
    <x v="76"/>
    <x v="190"/>
    <x v="705"/>
  </r>
  <r>
    <x v="2"/>
    <x v="2"/>
    <x v="190"/>
    <x v="416"/>
  </r>
  <r>
    <x v="34"/>
    <x v="34"/>
    <x v="190"/>
    <x v="42"/>
  </r>
  <r>
    <x v="21"/>
    <x v="21"/>
    <x v="190"/>
    <x v="1885"/>
  </r>
  <r>
    <x v="3"/>
    <x v="3"/>
    <x v="190"/>
    <x v="1886"/>
  </r>
  <r>
    <x v="4"/>
    <x v="4"/>
    <x v="190"/>
    <x v="24"/>
  </r>
  <r>
    <x v="5"/>
    <x v="5"/>
    <x v="190"/>
    <x v="1887"/>
  </r>
  <r>
    <x v="23"/>
    <x v="23"/>
    <x v="190"/>
    <x v="118"/>
  </r>
  <r>
    <x v="26"/>
    <x v="26"/>
    <x v="190"/>
    <x v="932"/>
  </r>
  <r>
    <x v="79"/>
    <x v="79"/>
    <x v="190"/>
    <x v="306"/>
  </r>
  <r>
    <x v="74"/>
    <x v="74"/>
    <x v="190"/>
    <x v="403"/>
  </r>
  <r>
    <x v="8"/>
    <x v="8"/>
    <x v="190"/>
    <x v="1739"/>
  </r>
  <r>
    <x v="9"/>
    <x v="9"/>
    <x v="190"/>
    <x v="1888"/>
  </r>
  <r>
    <x v="38"/>
    <x v="38"/>
    <x v="190"/>
    <x v="1148"/>
  </r>
  <r>
    <x v="10"/>
    <x v="10"/>
    <x v="190"/>
    <x v="1889"/>
  </r>
  <r>
    <x v="103"/>
    <x v="103"/>
    <x v="190"/>
    <x v="227"/>
  </r>
  <r>
    <x v="11"/>
    <x v="11"/>
    <x v="190"/>
    <x v="1890"/>
  </r>
  <r>
    <x v="12"/>
    <x v="12"/>
    <x v="190"/>
    <x v="483"/>
  </r>
  <r>
    <x v="29"/>
    <x v="29"/>
    <x v="190"/>
    <x v="656"/>
  </r>
  <r>
    <x v="30"/>
    <x v="30"/>
    <x v="190"/>
    <x v="158"/>
  </r>
  <r>
    <x v="84"/>
    <x v="84"/>
    <x v="190"/>
    <x v="1891"/>
  </r>
  <r>
    <x v="91"/>
    <x v="91"/>
    <x v="190"/>
    <x v="947"/>
  </r>
  <r>
    <x v="44"/>
    <x v="44"/>
    <x v="190"/>
    <x v="1892"/>
  </r>
  <r>
    <x v="73"/>
    <x v="73"/>
    <x v="190"/>
    <x v="1893"/>
  </r>
  <r>
    <x v="46"/>
    <x v="46"/>
    <x v="190"/>
    <x v="230"/>
  </r>
  <r>
    <x v="14"/>
    <x v="14"/>
    <x v="190"/>
    <x v="210"/>
  </r>
  <r>
    <x v="78"/>
    <x v="78"/>
    <x v="190"/>
    <x v="230"/>
  </r>
  <r>
    <x v="114"/>
    <x v="114"/>
    <x v="190"/>
    <x v="83"/>
  </r>
  <r>
    <x v="16"/>
    <x v="16"/>
    <x v="190"/>
    <x v="160"/>
  </r>
  <r>
    <x v="17"/>
    <x v="17"/>
    <x v="190"/>
    <x v="118"/>
  </r>
  <r>
    <x v="19"/>
    <x v="19"/>
    <x v="191"/>
    <x v="1894"/>
  </r>
  <r>
    <x v="0"/>
    <x v="0"/>
    <x v="191"/>
    <x v="1895"/>
  </r>
  <r>
    <x v="76"/>
    <x v="76"/>
    <x v="191"/>
    <x v="1896"/>
  </r>
  <r>
    <x v="2"/>
    <x v="2"/>
    <x v="191"/>
    <x v="471"/>
  </r>
  <r>
    <x v="20"/>
    <x v="20"/>
    <x v="191"/>
    <x v="65"/>
  </r>
  <r>
    <x v="21"/>
    <x v="21"/>
    <x v="191"/>
    <x v="928"/>
  </r>
  <r>
    <x v="3"/>
    <x v="3"/>
    <x v="191"/>
    <x v="757"/>
  </r>
  <r>
    <x v="101"/>
    <x v="101"/>
    <x v="191"/>
    <x v="1897"/>
  </r>
  <r>
    <x v="4"/>
    <x v="4"/>
    <x v="191"/>
    <x v="1357"/>
  </r>
  <r>
    <x v="22"/>
    <x v="22"/>
    <x v="191"/>
    <x v="1898"/>
  </r>
  <r>
    <x v="23"/>
    <x v="23"/>
    <x v="191"/>
    <x v="1899"/>
  </r>
  <r>
    <x v="55"/>
    <x v="55"/>
    <x v="191"/>
    <x v="1266"/>
  </r>
  <r>
    <x v="25"/>
    <x v="25"/>
    <x v="191"/>
    <x v="1900"/>
  </r>
  <r>
    <x v="26"/>
    <x v="26"/>
    <x v="191"/>
    <x v="494"/>
  </r>
  <r>
    <x v="36"/>
    <x v="36"/>
    <x v="191"/>
    <x v="1877"/>
  </r>
  <r>
    <x v="115"/>
    <x v="115"/>
    <x v="191"/>
    <x v="1901"/>
  </r>
  <r>
    <x v="98"/>
    <x v="98"/>
    <x v="191"/>
    <x v="1187"/>
  </r>
  <r>
    <x v="37"/>
    <x v="37"/>
    <x v="191"/>
    <x v="91"/>
  </r>
  <r>
    <x v="8"/>
    <x v="8"/>
    <x v="191"/>
    <x v="8"/>
  </r>
  <r>
    <x v="9"/>
    <x v="9"/>
    <x v="191"/>
    <x v="148"/>
  </r>
  <r>
    <x v="38"/>
    <x v="38"/>
    <x v="191"/>
    <x v="1902"/>
  </r>
  <r>
    <x v="10"/>
    <x v="10"/>
    <x v="191"/>
    <x v="1903"/>
  </r>
  <r>
    <x v="27"/>
    <x v="27"/>
    <x v="191"/>
    <x v="1904"/>
  </r>
  <r>
    <x v="11"/>
    <x v="11"/>
    <x v="191"/>
    <x v="274"/>
  </r>
  <r>
    <x v="29"/>
    <x v="29"/>
    <x v="191"/>
    <x v="1905"/>
  </r>
  <r>
    <x v="97"/>
    <x v="97"/>
    <x v="191"/>
    <x v="1154"/>
  </r>
  <r>
    <x v="73"/>
    <x v="73"/>
    <x v="191"/>
    <x v="1509"/>
  </r>
  <r>
    <x v="46"/>
    <x v="46"/>
    <x v="191"/>
    <x v="18"/>
  </r>
  <r>
    <x v="14"/>
    <x v="14"/>
    <x v="191"/>
    <x v="230"/>
  </r>
  <r>
    <x v="78"/>
    <x v="78"/>
    <x v="191"/>
    <x v="16"/>
  </r>
  <r>
    <x v="15"/>
    <x v="15"/>
    <x v="191"/>
    <x v="82"/>
  </r>
  <r>
    <x v="16"/>
    <x v="16"/>
    <x v="191"/>
    <x v="16"/>
  </r>
  <r>
    <x v="17"/>
    <x v="17"/>
    <x v="191"/>
    <x v="82"/>
  </r>
  <r>
    <x v="0"/>
    <x v="0"/>
    <x v="192"/>
    <x v="578"/>
  </r>
  <r>
    <x v="2"/>
    <x v="2"/>
    <x v="192"/>
    <x v="231"/>
  </r>
  <r>
    <x v="21"/>
    <x v="21"/>
    <x v="192"/>
    <x v="1630"/>
  </r>
  <r>
    <x v="101"/>
    <x v="101"/>
    <x v="192"/>
    <x v="548"/>
  </r>
  <r>
    <x v="4"/>
    <x v="4"/>
    <x v="192"/>
    <x v="1487"/>
  </r>
  <r>
    <x v="22"/>
    <x v="22"/>
    <x v="192"/>
    <x v="1906"/>
  </r>
  <r>
    <x v="24"/>
    <x v="24"/>
    <x v="192"/>
    <x v="27"/>
  </r>
  <r>
    <x v="25"/>
    <x v="25"/>
    <x v="192"/>
    <x v="194"/>
  </r>
  <r>
    <x v="88"/>
    <x v="88"/>
    <x v="192"/>
    <x v="289"/>
  </r>
  <r>
    <x v="9"/>
    <x v="9"/>
    <x v="192"/>
    <x v="387"/>
  </r>
  <r>
    <x v="38"/>
    <x v="38"/>
    <x v="192"/>
    <x v="293"/>
  </r>
  <r>
    <x v="10"/>
    <x v="10"/>
    <x v="192"/>
    <x v="884"/>
  </r>
  <r>
    <x v="27"/>
    <x v="27"/>
    <x v="192"/>
    <x v="372"/>
  </r>
  <r>
    <x v="103"/>
    <x v="103"/>
    <x v="192"/>
    <x v="227"/>
  </r>
  <r>
    <x v="11"/>
    <x v="11"/>
    <x v="192"/>
    <x v="1292"/>
  </r>
  <r>
    <x v="28"/>
    <x v="28"/>
    <x v="192"/>
    <x v="1807"/>
  </r>
  <r>
    <x v="59"/>
    <x v="59"/>
    <x v="192"/>
    <x v="127"/>
  </r>
  <r>
    <x v="29"/>
    <x v="29"/>
    <x v="192"/>
    <x v="1907"/>
  </r>
  <r>
    <x v="97"/>
    <x v="97"/>
    <x v="192"/>
    <x v="1032"/>
  </r>
  <r>
    <x v="44"/>
    <x v="44"/>
    <x v="192"/>
    <x v="1908"/>
  </r>
  <r>
    <x v="32"/>
    <x v="32"/>
    <x v="192"/>
    <x v="487"/>
  </r>
  <r>
    <x v="46"/>
    <x v="46"/>
    <x v="192"/>
    <x v="533"/>
  </r>
  <r>
    <x v="14"/>
    <x v="14"/>
    <x v="192"/>
    <x v="62"/>
  </r>
  <r>
    <x v="78"/>
    <x v="78"/>
    <x v="192"/>
    <x v="16"/>
  </r>
  <r>
    <x v="15"/>
    <x v="15"/>
    <x v="192"/>
    <x v="40"/>
  </r>
  <r>
    <x v="114"/>
    <x v="114"/>
    <x v="192"/>
    <x v="40"/>
  </r>
  <r>
    <x v="48"/>
    <x v="48"/>
    <x v="193"/>
    <x v="210"/>
  </r>
  <r>
    <x v="0"/>
    <x v="0"/>
    <x v="193"/>
    <x v="404"/>
  </r>
  <r>
    <x v="2"/>
    <x v="2"/>
    <x v="193"/>
    <x v="219"/>
  </r>
  <r>
    <x v="20"/>
    <x v="20"/>
    <x v="193"/>
    <x v="22"/>
  </r>
  <r>
    <x v="21"/>
    <x v="21"/>
    <x v="193"/>
    <x v="517"/>
  </r>
  <r>
    <x v="4"/>
    <x v="4"/>
    <x v="193"/>
    <x v="1316"/>
  </r>
  <r>
    <x v="52"/>
    <x v="52"/>
    <x v="193"/>
    <x v="403"/>
  </r>
  <r>
    <x v="5"/>
    <x v="5"/>
    <x v="193"/>
    <x v="721"/>
  </r>
  <r>
    <x v="23"/>
    <x v="23"/>
    <x v="193"/>
    <x v="1909"/>
  </r>
  <r>
    <x v="89"/>
    <x v="89"/>
    <x v="193"/>
    <x v="1910"/>
  </r>
  <r>
    <x v="79"/>
    <x v="79"/>
    <x v="193"/>
    <x v="1911"/>
  </r>
  <r>
    <x v="36"/>
    <x v="36"/>
    <x v="193"/>
    <x v="708"/>
  </r>
  <r>
    <x v="7"/>
    <x v="7"/>
    <x v="193"/>
    <x v="1303"/>
  </r>
  <r>
    <x v="8"/>
    <x v="8"/>
    <x v="193"/>
    <x v="147"/>
  </r>
  <r>
    <x v="9"/>
    <x v="9"/>
    <x v="193"/>
    <x v="850"/>
  </r>
  <r>
    <x v="10"/>
    <x v="10"/>
    <x v="193"/>
    <x v="426"/>
  </r>
  <r>
    <x v="11"/>
    <x v="11"/>
    <x v="193"/>
    <x v="1912"/>
  </r>
  <r>
    <x v="28"/>
    <x v="28"/>
    <x v="193"/>
    <x v="1913"/>
  </r>
  <r>
    <x v="12"/>
    <x v="12"/>
    <x v="193"/>
    <x v="1814"/>
  </r>
  <r>
    <x v="29"/>
    <x v="29"/>
    <x v="193"/>
    <x v="1549"/>
  </r>
  <r>
    <x v="30"/>
    <x v="30"/>
    <x v="193"/>
    <x v="739"/>
  </r>
  <r>
    <x v="84"/>
    <x v="84"/>
    <x v="193"/>
    <x v="1549"/>
  </r>
  <r>
    <x v="44"/>
    <x v="44"/>
    <x v="193"/>
    <x v="1914"/>
  </r>
  <r>
    <x v="73"/>
    <x v="73"/>
    <x v="193"/>
    <x v="1915"/>
  </r>
  <r>
    <x v="46"/>
    <x v="46"/>
    <x v="193"/>
    <x v="408"/>
  </r>
  <r>
    <x v="14"/>
    <x v="14"/>
    <x v="193"/>
    <x v="16"/>
  </r>
  <r>
    <x v="78"/>
    <x v="78"/>
    <x v="193"/>
    <x v="111"/>
  </r>
  <r>
    <x v="15"/>
    <x v="15"/>
    <x v="193"/>
    <x v="210"/>
  </r>
  <r>
    <x v="114"/>
    <x v="114"/>
    <x v="193"/>
    <x v="83"/>
  </r>
  <r>
    <x v="17"/>
    <x v="17"/>
    <x v="193"/>
    <x v="14"/>
  </r>
  <r>
    <x v="19"/>
    <x v="19"/>
    <x v="194"/>
    <x v="1409"/>
  </r>
  <r>
    <x v="76"/>
    <x v="76"/>
    <x v="194"/>
    <x v="179"/>
  </r>
  <r>
    <x v="2"/>
    <x v="2"/>
    <x v="194"/>
    <x v="113"/>
  </r>
  <r>
    <x v="20"/>
    <x v="20"/>
    <x v="194"/>
    <x v="63"/>
  </r>
  <r>
    <x v="21"/>
    <x v="21"/>
    <x v="194"/>
    <x v="23"/>
  </r>
  <r>
    <x v="4"/>
    <x v="4"/>
    <x v="194"/>
    <x v="1818"/>
  </r>
  <r>
    <x v="8"/>
    <x v="8"/>
    <x v="194"/>
    <x v="799"/>
  </r>
  <r>
    <x v="9"/>
    <x v="9"/>
    <x v="194"/>
    <x v="408"/>
  </r>
  <r>
    <x v="38"/>
    <x v="38"/>
    <x v="194"/>
    <x v="220"/>
  </r>
  <r>
    <x v="10"/>
    <x v="10"/>
    <x v="194"/>
    <x v="1916"/>
  </r>
  <r>
    <x v="11"/>
    <x v="11"/>
    <x v="194"/>
    <x v="125"/>
  </r>
  <r>
    <x v="12"/>
    <x v="12"/>
    <x v="194"/>
    <x v="202"/>
  </r>
  <r>
    <x v="39"/>
    <x v="39"/>
    <x v="194"/>
    <x v="56"/>
  </r>
  <r>
    <x v="29"/>
    <x v="29"/>
    <x v="194"/>
    <x v="430"/>
  </r>
  <r>
    <x v="30"/>
    <x v="30"/>
    <x v="194"/>
    <x v="77"/>
  </r>
  <r>
    <x v="31"/>
    <x v="31"/>
    <x v="194"/>
    <x v="336"/>
  </r>
  <r>
    <x v="46"/>
    <x v="46"/>
    <x v="194"/>
    <x v="133"/>
  </r>
  <r>
    <x v="14"/>
    <x v="14"/>
    <x v="194"/>
    <x v="209"/>
  </r>
  <r>
    <x v="114"/>
    <x v="114"/>
    <x v="194"/>
    <x v="82"/>
  </r>
  <r>
    <x v="50"/>
    <x v="50"/>
    <x v="195"/>
    <x v="15"/>
  </r>
  <r>
    <x v="19"/>
    <x v="19"/>
    <x v="195"/>
    <x v="1917"/>
  </r>
  <r>
    <x v="0"/>
    <x v="0"/>
    <x v="195"/>
    <x v="1918"/>
  </r>
  <r>
    <x v="76"/>
    <x v="76"/>
    <x v="195"/>
    <x v="534"/>
  </r>
  <r>
    <x v="2"/>
    <x v="2"/>
    <x v="195"/>
    <x v="1919"/>
  </r>
  <r>
    <x v="20"/>
    <x v="20"/>
    <x v="195"/>
    <x v="22"/>
  </r>
  <r>
    <x v="21"/>
    <x v="21"/>
    <x v="195"/>
    <x v="1920"/>
  </r>
  <r>
    <x v="35"/>
    <x v="35"/>
    <x v="195"/>
    <x v="1921"/>
  </r>
  <r>
    <x v="4"/>
    <x v="4"/>
    <x v="195"/>
    <x v="1922"/>
  </r>
  <r>
    <x v="22"/>
    <x v="22"/>
    <x v="195"/>
    <x v="1883"/>
  </r>
  <r>
    <x v="89"/>
    <x v="89"/>
    <x v="195"/>
    <x v="1756"/>
  </r>
  <r>
    <x v="26"/>
    <x v="26"/>
    <x v="195"/>
    <x v="1064"/>
  </r>
  <r>
    <x v="79"/>
    <x v="79"/>
    <x v="195"/>
    <x v="548"/>
  </r>
  <r>
    <x v="86"/>
    <x v="86"/>
    <x v="195"/>
    <x v="796"/>
  </r>
  <r>
    <x v="36"/>
    <x v="36"/>
    <x v="195"/>
    <x v="1802"/>
  </r>
  <r>
    <x v="8"/>
    <x v="8"/>
    <x v="195"/>
    <x v="666"/>
  </r>
  <r>
    <x v="68"/>
    <x v="68"/>
    <x v="195"/>
    <x v="1331"/>
  </r>
  <r>
    <x v="38"/>
    <x v="38"/>
    <x v="195"/>
    <x v="1923"/>
  </r>
  <r>
    <x v="10"/>
    <x v="10"/>
    <x v="195"/>
    <x v="1924"/>
  </r>
  <r>
    <x v="11"/>
    <x v="11"/>
    <x v="195"/>
    <x v="854"/>
  </r>
  <r>
    <x v="28"/>
    <x v="28"/>
    <x v="195"/>
    <x v="34"/>
  </r>
  <r>
    <x v="29"/>
    <x v="29"/>
    <x v="195"/>
    <x v="1925"/>
  </r>
  <r>
    <x v="30"/>
    <x v="30"/>
    <x v="195"/>
    <x v="446"/>
  </r>
  <r>
    <x v="40"/>
    <x v="40"/>
    <x v="195"/>
    <x v="1926"/>
  </r>
  <r>
    <x v="73"/>
    <x v="73"/>
    <x v="195"/>
    <x v="207"/>
  </r>
  <r>
    <x v="32"/>
    <x v="32"/>
    <x v="195"/>
    <x v="1679"/>
  </r>
  <r>
    <x v="46"/>
    <x v="46"/>
    <x v="195"/>
    <x v="15"/>
  </r>
  <r>
    <x v="14"/>
    <x v="14"/>
    <x v="195"/>
    <x v="376"/>
  </r>
  <r>
    <x v="15"/>
    <x v="15"/>
    <x v="195"/>
    <x v="111"/>
  </r>
  <r>
    <x v="114"/>
    <x v="114"/>
    <x v="195"/>
    <x v="210"/>
  </r>
  <r>
    <x v="16"/>
    <x v="16"/>
    <x v="195"/>
    <x v="230"/>
  </r>
  <r>
    <x v="0"/>
    <x v="0"/>
    <x v="196"/>
    <x v="0"/>
  </r>
  <r>
    <x v="76"/>
    <x v="76"/>
    <x v="196"/>
    <x v="561"/>
  </r>
  <r>
    <x v="21"/>
    <x v="21"/>
    <x v="196"/>
    <x v="889"/>
  </r>
  <r>
    <x v="3"/>
    <x v="3"/>
    <x v="196"/>
    <x v="1927"/>
  </r>
  <r>
    <x v="35"/>
    <x v="35"/>
    <x v="196"/>
    <x v="1061"/>
  </r>
  <r>
    <x v="4"/>
    <x v="4"/>
    <x v="196"/>
    <x v="1098"/>
  </r>
  <r>
    <x v="5"/>
    <x v="5"/>
    <x v="196"/>
    <x v="400"/>
  </r>
  <r>
    <x v="7"/>
    <x v="7"/>
    <x v="196"/>
    <x v="7"/>
  </r>
  <r>
    <x v="116"/>
    <x v="116"/>
    <x v="196"/>
    <x v="1928"/>
  </r>
  <r>
    <x v="8"/>
    <x v="8"/>
    <x v="196"/>
    <x v="736"/>
  </r>
  <r>
    <x v="9"/>
    <x v="9"/>
    <x v="196"/>
    <x v="387"/>
  </r>
  <r>
    <x v="38"/>
    <x v="38"/>
    <x v="196"/>
    <x v="1929"/>
  </r>
  <r>
    <x v="10"/>
    <x v="10"/>
    <x v="196"/>
    <x v="1930"/>
  </r>
  <r>
    <x v="103"/>
    <x v="103"/>
    <x v="196"/>
    <x v="1293"/>
  </r>
  <r>
    <x v="11"/>
    <x v="11"/>
    <x v="196"/>
    <x v="1931"/>
  </r>
  <r>
    <x v="28"/>
    <x v="28"/>
    <x v="196"/>
    <x v="1932"/>
  </r>
  <r>
    <x v="95"/>
    <x v="95"/>
    <x v="196"/>
    <x v="909"/>
  </r>
  <r>
    <x v="29"/>
    <x v="29"/>
    <x v="196"/>
    <x v="514"/>
  </r>
  <r>
    <x v="30"/>
    <x v="30"/>
    <x v="196"/>
    <x v="630"/>
  </r>
  <r>
    <x v="64"/>
    <x v="64"/>
    <x v="196"/>
    <x v="1933"/>
  </r>
  <r>
    <x v="32"/>
    <x v="32"/>
    <x v="196"/>
    <x v="1747"/>
  </r>
  <r>
    <x v="46"/>
    <x v="46"/>
    <x v="196"/>
    <x v="5"/>
  </r>
  <r>
    <x v="114"/>
    <x v="114"/>
    <x v="196"/>
    <x v="111"/>
  </r>
  <r>
    <x v="83"/>
    <x v="83"/>
    <x v="196"/>
    <x v="40"/>
  </r>
  <r>
    <x v="41"/>
    <x v="41"/>
    <x v="197"/>
    <x v="159"/>
  </r>
  <r>
    <x v="2"/>
    <x v="2"/>
    <x v="197"/>
    <x v="231"/>
  </r>
  <r>
    <x v="20"/>
    <x v="20"/>
    <x v="197"/>
    <x v="417"/>
  </r>
  <r>
    <x v="21"/>
    <x v="21"/>
    <x v="197"/>
    <x v="1934"/>
  </r>
  <r>
    <x v="101"/>
    <x v="101"/>
    <x v="197"/>
    <x v="993"/>
  </r>
  <r>
    <x v="4"/>
    <x v="4"/>
    <x v="197"/>
    <x v="1253"/>
  </r>
  <r>
    <x v="52"/>
    <x v="52"/>
    <x v="197"/>
    <x v="1511"/>
  </r>
  <r>
    <x v="23"/>
    <x v="23"/>
    <x v="197"/>
    <x v="1935"/>
  </r>
  <r>
    <x v="70"/>
    <x v="70"/>
    <x v="197"/>
    <x v="795"/>
  </r>
  <r>
    <x v="79"/>
    <x v="79"/>
    <x v="197"/>
    <x v="1936"/>
  </r>
  <r>
    <x v="74"/>
    <x v="74"/>
    <x v="197"/>
    <x v="664"/>
  </r>
  <r>
    <x v="8"/>
    <x v="8"/>
    <x v="197"/>
    <x v="799"/>
  </r>
  <r>
    <x v="9"/>
    <x v="9"/>
    <x v="197"/>
    <x v="1937"/>
  </r>
  <r>
    <x v="38"/>
    <x v="38"/>
    <x v="197"/>
    <x v="1938"/>
  </r>
  <r>
    <x v="10"/>
    <x v="10"/>
    <x v="197"/>
    <x v="1939"/>
  </r>
  <r>
    <x v="27"/>
    <x v="27"/>
    <x v="197"/>
    <x v="1940"/>
  </r>
  <r>
    <x v="11"/>
    <x v="11"/>
    <x v="197"/>
    <x v="1941"/>
  </r>
  <r>
    <x v="28"/>
    <x v="28"/>
    <x v="197"/>
    <x v="1651"/>
  </r>
  <r>
    <x v="29"/>
    <x v="29"/>
    <x v="197"/>
    <x v="1829"/>
  </r>
  <r>
    <x v="30"/>
    <x v="30"/>
    <x v="197"/>
    <x v="725"/>
  </r>
  <r>
    <x v="97"/>
    <x v="97"/>
    <x v="197"/>
    <x v="1942"/>
  </r>
  <r>
    <x v="102"/>
    <x v="102"/>
    <x v="197"/>
    <x v="77"/>
  </r>
  <r>
    <x v="46"/>
    <x v="46"/>
    <x v="197"/>
    <x v="533"/>
  </r>
  <r>
    <x v="78"/>
    <x v="78"/>
    <x v="197"/>
    <x v="62"/>
  </r>
  <r>
    <x v="83"/>
    <x v="83"/>
    <x v="197"/>
    <x v="62"/>
  </r>
  <r>
    <x v="16"/>
    <x v="16"/>
    <x v="197"/>
    <x v="40"/>
  </r>
  <r>
    <x v="50"/>
    <x v="50"/>
    <x v="198"/>
    <x v="904"/>
  </r>
  <r>
    <x v="0"/>
    <x v="0"/>
    <x v="198"/>
    <x v="404"/>
  </r>
  <r>
    <x v="76"/>
    <x v="76"/>
    <x v="198"/>
    <x v="1177"/>
  </r>
  <r>
    <x v="2"/>
    <x v="2"/>
    <x v="198"/>
    <x v="1943"/>
  </r>
  <r>
    <x v="20"/>
    <x v="20"/>
    <x v="198"/>
    <x v="941"/>
  </r>
  <r>
    <x v="21"/>
    <x v="21"/>
    <x v="198"/>
    <x v="942"/>
  </r>
  <r>
    <x v="3"/>
    <x v="3"/>
    <x v="198"/>
    <x v="741"/>
  </r>
  <r>
    <x v="101"/>
    <x v="101"/>
    <x v="198"/>
    <x v="922"/>
  </r>
  <r>
    <x v="4"/>
    <x v="4"/>
    <x v="198"/>
    <x v="1944"/>
  </r>
  <r>
    <x v="22"/>
    <x v="22"/>
    <x v="198"/>
    <x v="1945"/>
  </r>
  <r>
    <x v="5"/>
    <x v="5"/>
    <x v="198"/>
    <x v="1946"/>
  </r>
  <r>
    <x v="55"/>
    <x v="55"/>
    <x v="198"/>
    <x v="1192"/>
  </r>
  <r>
    <x v="86"/>
    <x v="86"/>
    <x v="198"/>
    <x v="796"/>
  </r>
  <r>
    <x v="36"/>
    <x v="36"/>
    <x v="198"/>
    <x v="865"/>
  </r>
  <r>
    <x v="74"/>
    <x v="74"/>
    <x v="198"/>
    <x v="1947"/>
  </r>
  <r>
    <x v="8"/>
    <x v="8"/>
    <x v="198"/>
    <x v="811"/>
  </r>
  <r>
    <x v="9"/>
    <x v="9"/>
    <x v="198"/>
    <x v="408"/>
  </r>
  <r>
    <x v="10"/>
    <x v="10"/>
    <x v="198"/>
    <x v="1948"/>
  </r>
  <r>
    <x v="103"/>
    <x v="103"/>
    <x v="198"/>
    <x v="414"/>
  </r>
  <r>
    <x v="11"/>
    <x v="11"/>
    <x v="198"/>
    <x v="1949"/>
  </r>
  <r>
    <x v="53"/>
    <x v="53"/>
    <x v="198"/>
    <x v="924"/>
  </r>
  <r>
    <x v="28"/>
    <x v="28"/>
    <x v="198"/>
    <x v="1950"/>
  </r>
  <r>
    <x v="95"/>
    <x v="95"/>
    <x v="198"/>
    <x v="1951"/>
  </r>
  <r>
    <x v="12"/>
    <x v="12"/>
    <x v="198"/>
    <x v="74"/>
  </r>
  <r>
    <x v="29"/>
    <x v="29"/>
    <x v="198"/>
    <x v="1952"/>
  </r>
  <r>
    <x v="72"/>
    <x v="72"/>
    <x v="198"/>
    <x v="1953"/>
  </r>
  <r>
    <x v="30"/>
    <x v="30"/>
    <x v="198"/>
    <x v="1533"/>
  </r>
  <r>
    <x v="73"/>
    <x v="73"/>
    <x v="198"/>
    <x v="1213"/>
  </r>
  <r>
    <x v="32"/>
    <x v="32"/>
    <x v="198"/>
    <x v="1954"/>
  </r>
  <r>
    <x v="51"/>
    <x v="51"/>
    <x v="198"/>
    <x v="1955"/>
  </r>
  <r>
    <x v="69"/>
    <x v="69"/>
    <x v="198"/>
    <x v="159"/>
  </r>
  <r>
    <x v="46"/>
    <x v="46"/>
    <x v="198"/>
    <x v="1956"/>
  </r>
  <r>
    <x v="14"/>
    <x v="14"/>
    <x v="198"/>
    <x v="1883"/>
  </r>
  <r>
    <x v="78"/>
    <x v="78"/>
    <x v="198"/>
    <x v="40"/>
  </r>
  <r>
    <x v="114"/>
    <x v="114"/>
    <x v="198"/>
    <x v="230"/>
  </r>
  <r>
    <x v="50"/>
    <x v="50"/>
    <x v="199"/>
    <x v="14"/>
  </r>
  <r>
    <x v="41"/>
    <x v="41"/>
    <x v="199"/>
    <x v="62"/>
  </r>
  <r>
    <x v="76"/>
    <x v="76"/>
    <x v="199"/>
    <x v="1957"/>
  </r>
  <r>
    <x v="2"/>
    <x v="2"/>
    <x v="199"/>
    <x v="231"/>
  </r>
  <r>
    <x v="20"/>
    <x v="20"/>
    <x v="199"/>
    <x v="65"/>
  </r>
  <r>
    <x v="21"/>
    <x v="21"/>
    <x v="199"/>
    <x v="1958"/>
  </r>
  <r>
    <x v="3"/>
    <x v="3"/>
    <x v="199"/>
    <x v="719"/>
  </r>
  <r>
    <x v="101"/>
    <x v="101"/>
    <x v="199"/>
    <x v="1721"/>
  </r>
  <r>
    <x v="35"/>
    <x v="35"/>
    <x v="199"/>
    <x v="382"/>
  </r>
  <r>
    <x v="4"/>
    <x v="4"/>
    <x v="199"/>
    <x v="1959"/>
  </r>
  <r>
    <x v="5"/>
    <x v="5"/>
    <x v="199"/>
    <x v="904"/>
  </r>
  <r>
    <x v="23"/>
    <x v="23"/>
    <x v="199"/>
    <x v="989"/>
  </r>
  <r>
    <x v="70"/>
    <x v="70"/>
    <x v="199"/>
    <x v="1382"/>
  </r>
  <r>
    <x v="99"/>
    <x v="99"/>
    <x v="199"/>
    <x v="932"/>
  </r>
  <r>
    <x v="26"/>
    <x v="26"/>
    <x v="199"/>
    <x v="1960"/>
  </r>
  <r>
    <x v="86"/>
    <x v="86"/>
    <x v="199"/>
    <x v="565"/>
  </r>
  <r>
    <x v="74"/>
    <x v="74"/>
    <x v="199"/>
    <x v="104"/>
  </r>
  <r>
    <x v="6"/>
    <x v="6"/>
    <x v="199"/>
    <x v="1254"/>
  </r>
  <r>
    <x v="37"/>
    <x v="37"/>
    <x v="199"/>
    <x v="91"/>
  </r>
  <r>
    <x v="8"/>
    <x v="8"/>
    <x v="199"/>
    <x v="1961"/>
  </r>
  <r>
    <x v="38"/>
    <x v="38"/>
    <x v="199"/>
    <x v="868"/>
  </r>
  <r>
    <x v="10"/>
    <x v="10"/>
    <x v="199"/>
    <x v="1962"/>
  </r>
  <r>
    <x v="11"/>
    <x v="11"/>
    <x v="199"/>
    <x v="1547"/>
  </r>
  <r>
    <x v="95"/>
    <x v="95"/>
    <x v="199"/>
    <x v="902"/>
  </r>
  <r>
    <x v="12"/>
    <x v="12"/>
    <x v="199"/>
    <x v="1814"/>
  </r>
  <r>
    <x v="29"/>
    <x v="29"/>
    <x v="199"/>
    <x v="1309"/>
  </r>
  <r>
    <x v="30"/>
    <x v="30"/>
    <x v="199"/>
    <x v="36"/>
  </r>
  <r>
    <x v="84"/>
    <x v="84"/>
    <x v="199"/>
    <x v="1164"/>
  </r>
  <r>
    <x v="40"/>
    <x v="40"/>
    <x v="199"/>
    <x v="1041"/>
  </r>
  <r>
    <x v="31"/>
    <x v="31"/>
    <x v="199"/>
    <x v="874"/>
  </r>
  <r>
    <x v="64"/>
    <x v="64"/>
    <x v="199"/>
    <x v="466"/>
  </r>
  <r>
    <x v="85"/>
    <x v="85"/>
    <x v="199"/>
    <x v="460"/>
  </r>
  <r>
    <x v="32"/>
    <x v="32"/>
    <x v="199"/>
    <x v="338"/>
  </r>
  <r>
    <x v="51"/>
    <x v="51"/>
    <x v="199"/>
    <x v="96"/>
  </r>
  <r>
    <x v="46"/>
    <x v="46"/>
    <x v="199"/>
    <x v="876"/>
  </r>
  <r>
    <x v="14"/>
    <x v="14"/>
    <x v="199"/>
    <x v="507"/>
  </r>
  <r>
    <x v="15"/>
    <x v="15"/>
    <x v="199"/>
    <x v="62"/>
  </r>
  <r>
    <x v="114"/>
    <x v="114"/>
    <x v="199"/>
    <x v="98"/>
  </r>
  <r>
    <x v="16"/>
    <x v="16"/>
    <x v="199"/>
    <x v="500"/>
  </r>
  <r>
    <x v="75"/>
    <x v="75"/>
    <x v="200"/>
    <x v="500"/>
  </r>
  <r>
    <x v="19"/>
    <x v="19"/>
    <x v="200"/>
    <x v="1963"/>
  </r>
  <r>
    <x v="0"/>
    <x v="0"/>
    <x v="200"/>
    <x v="340"/>
  </r>
  <r>
    <x v="76"/>
    <x v="76"/>
    <x v="200"/>
    <x v="1529"/>
  </r>
  <r>
    <x v="2"/>
    <x v="2"/>
    <x v="200"/>
    <x v="703"/>
  </r>
  <r>
    <x v="20"/>
    <x v="20"/>
    <x v="200"/>
    <x v="22"/>
  </r>
  <r>
    <x v="21"/>
    <x v="21"/>
    <x v="200"/>
    <x v="756"/>
  </r>
  <r>
    <x v="3"/>
    <x v="3"/>
    <x v="200"/>
    <x v="344"/>
  </r>
  <r>
    <x v="35"/>
    <x v="35"/>
    <x v="200"/>
    <x v="1964"/>
  </r>
  <r>
    <x v="4"/>
    <x v="4"/>
    <x v="200"/>
    <x v="1833"/>
  </r>
  <r>
    <x v="23"/>
    <x v="23"/>
    <x v="200"/>
    <x v="1965"/>
  </r>
  <r>
    <x v="55"/>
    <x v="55"/>
    <x v="200"/>
    <x v="324"/>
  </r>
  <r>
    <x v="67"/>
    <x v="67"/>
    <x v="200"/>
    <x v="620"/>
  </r>
  <r>
    <x v="26"/>
    <x v="26"/>
    <x v="200"/>
    <x v="1966"/>
  </r>
  <r>
    <x v="36"/>
    <x v="36"/>
    <x v="200"/>
    <x v="387"/>
  </r>
  <r>
    <x v="37"/>
    <x v="37"/>
    <x v="200"/>
    <x v="70"/>
  </r>
  <r>
    <x v="8"/>
    <x v="8"/>
    <x v="200"/>
    <x v="746"/>
  </r>
  <r>
    <x v="9"/>
    <x v="9"/>
    <x v="200"/>
    <x v="663"/>
  </r>
  <r>
    <x v="38"/>
    <x v="38"/>
    <x v="200"/>
    <x v="1967"/>
  </r>
  <r>
    <x v="10"/>
    <x v="10"/>
    <x v="200"/>
    <x v="1764"/>
  </r>
  <r>
    <x v="11"/>
    <x v="11"/>
    <x v="200"/>
    <x v="1968"/>
  </r>
  <r>
    <x v="12"/>
    <x v="12"/>
    <x v="200"/>
    <x v="74"/>
  </r>
  <r>
    <x v="29"/>
    <x v="29"/>
    <x v="200"/>
    <x v="628"/>
  </r>
  <r>
    <x v="30"/>
    <x v="30"/>
    <x v="200"/>
    <x v="1870"/>
  </r>
  <r>
    <x v="91"/>
    <x v="91"/>
    <x v="200"/>
    <x v="196"/>
  </r>
  <r>
    <x v="64"/>
    <x v="64"/>
    <x v="200"/>
    <x v="1517"/>
  </r>
  <r>
    <x v="73"/>
    <x v="73"/>
    <x v="200"/>
    <x v="1969"/>
  </r>
  <r>
    <x v="46"/>
    <x v="46"/>
    <x v="200"/>
    <x v="84"/>
  </r>
  <r>
    <x v="110"/>
    <x v="110"/>
    <x v="200"/>
    <x v="230"/>
  </r>
  <r>
    <x v="14"/>
    <x v="14"/>
    <x v="200"/>
    <x v="85"/>
  </r>
  <r>
    <x v="114"/>
    <x v="114"/>
    <x v="200"/>
    <x v="111"/>
  </r>
  <r>
    <x v="83"/>
    <x v="83"/>
    <x v="200"/>
    <x v="40"/>
  </r>
  <r>
    <x v="76"/>
    <x v="76"/>
    <x v="201"/>
    <x v="634"/>
  </r>
  <r>
    <x v="2"/>
    <x v="2"/>
    <x v="201"/>
    <x v="508"/>
  </r>
  <r>
    <x v="34"/>
    <x v="34"/>
    <x v="201"/>
    <x v="167"/>
  </r>
  <r>
    <x v="21"/>
    <x v="21"/>
    <x v="201"/>
    <x v="1083"/>
  </r>
  <r>
    <x v="4"/>
    <x v="4"/>
    <x v="201"/>
    <x v="246"/>
  </r>
  <r>
    <x v="87"/>
    <x v="87"/>
    <x v="201"/>
    <x v="978"/>
  </r>
  <r>
    <x v="23"/>
    <x v="23"/>
    <x v="201"/>
    <x v="1566"/>
  </r>
  <r>
    <x v="24"/>
    <x v="24"/>
    <x v="201"/>
    <x v="1970"/>
  </r>
  <r>
    <x v="67"/>
    <x v="67"/>
    <x v="201"/>
    <x v="734"/>
  </r>
  <r>
    <x v="26"/>
    <x v="26"/>
    <x v="201"/>
    <x v="441"/>
  </r>
  <r>
    <x v="62"/>
    <x v="62"/>
    <x v="201"/>
    <x v="912"/>
  </r>
  <r>
    <x v="7"/>
    <x v="7"/>
    <x v="201"/>
    <x v="405"/>
  </r>
  <r>
    <x v="98"/>
    <x v="98"/>
    <x v="201"/>
    <x v="1187"/>
  </r>
  <r>
    <x v="8"/>
    <x v="8"/>
    <x v="201"/>
    <x v="30"/>
  </r>
  <r>
    <x v="9"/>
    <x v="9"/>
    <x v="201"/>
    <x v="408"/>
  </r>
  <r>
    <x v="10"/>
    <x v="10"/>
    <x v="201"/>
    <x v="1971"/>
  </r>
  <r>
    <x v="11"/>
    <x v="11"/>
    <x v="201"/>
    <x v="1475"/>
  </r>
  <r>
    <x v="29"/>
    <x v="29"/>
    <x v="201"/>
    <x v="357"/>
  </r>
  <r>
    <x v="46"/>
    <x v="46"/>
    <x v="201"/>
    <x v="85"/>
  </r>
  <r>
    <x v="14"/>
    <x v="14"/>
    <x v="201"/>
    <x v="40"/>
  </r>
  <r>
    <x v="16"/>
    <x v="16"/>
    <x v="201"/>
    <x v="111"/>
  </r>
  <r>
    <x v="0"/>
    <x v="0"/>
    <x v="202"/>
    <x v="1972"/>
  </r>
  <r>
    <x v="2"/>
    <x v="2"/>
    <x v="202"/>
    <x v="1708"/>
  </r>
  <r>
    <x v="20"/>
    <x v="20"/>
    <x v="202"/>
    <x v="63"/>
  </r>
  <r>
    <x v="21"/>
    <x v="21"/>
    <x v="202"/>
    <x v="1234"/>
  </r>
  <r>
    <x v="4"/>
    <x v="4"/>
    <x v="202"/>
    <x v="1298"/>
  </r>
  <r>
    <x v="5"/>
    <x v="5"/>
    <x v="202"/>
    <x v="5"/>
  </r>
  <r>
    <x v="67"/>
    <x v="67"/>
    <x v="202"/>
    <x v="991"/>
  </r>
  <r>
    <x v="26"/>
    <x v="26"/>
    <x v="202"/>
    <x v="1030"/>
  </r>
  <r>
    <x v="36"/>
    <x v="36"/>
    <x v="202"/>
    <x v="692"/>
  </r>
  <r>
    <x v="8"/>
    <x v="8"/>
    <x v="202"/>
    <x v="896"/>
  </r>
  <r>
    <x v="9"/>
    <x v="9"/>
    <x v="202"/>
    <x v="1596"/>
  </r>
  <r>
    <x v="38"/>
    <x v="38"/>
    <x v="202"/>
    <x v="1386"/>
  </r>
  <r>
    <x v="10"/>
    <x v="10"/>
    <x v="202"/>
    <x v="1973"/>
  </r>
  <r>
    <x v="11"/>
    <x v="11"/>
    <x v="202"/>
    <x v="1974"/>
  </r>
  <r>
    <x v="29"/>
    <x v="29"/>
    <x v="202"/>
    <x v="1975"/>
  </r>
  <r>
    <x v="30"/>
    <x v="30"/>
    <x v="202"/>
    <x v="1976"/>
  </r>
  <r>
    <x v="84"/>
    <x v="84"/>
    <x v="202"/>
    <x v="951"/>
  </r>
  <r>
    <x v="32"/>
    <x v="32"/>
    <x v="202"/>
    <x v="467"/>
  </r>
  <r>
    <x v="46"/>
    <x v="46"/>
    <x v="202"/>
    <x v="1592"/>
  </r>
  <r>
    <x v="14"/>
    <x v="14"/>
    <x v="202"/>
    <x v="814"/>
  </r>
  <r>
    <x v="78"/>
    <x v="78"/>
    <x v="202"/>
    <x v="16"/>
  </r>
  <r>
    <x v="114"/>
    <x v="114"/>
    <x v="202"/>
    <x v="160"/>
  </r>
  <r>
    <x v="17"/>
    <x v="17"/>
    <x v="202"/>
    <x v="14"/>
  </r>
  <r>
    <x v="50"/>
    <x v="50"/>
    <x v="203"/>
    <x v="500"/>
  </r>
  <r>
    <x v="0"/>
    <x v="0"/>
    <x v="203"/>
    <x v="1418"/>
  </r>
  <r>
    <x v="1"/>
    <x v="1"/>
    <x v="203"/>
    <x v="1"/>
  </r>
  <r>
    <x v="2"/>
    <x v="2"/>
    <x v="203"/>
    <x v="1977"/>
  </r>
  <r>
    <x v="20"/>
    <x v="20"/>
    <x v="203"/>
    <x v="63"/>
  </r>
  <r>
    <x v="21"/>
    <x v="21"/>
    <x v="203"/>
    <x v="942"/>
  </r>
  <r>
    <x v="3"/>
    <x v="3"/>
    <x v="203"/>
    <x v="1978"/>
  </r>
  <r>
    <x v="4"/>
    <x v="4"/>
    <x v="203"/>
    <x v="969"/>
  </r>
  <r>
    <x v="52"/>
    <x v="52"/>
    <x v="203"/>
    <x v="944"/>
  </r>
  <r>
    <x v="5"/>
    <x v="5"/>
    <x v="203"/>
    <x v="873"/>
  </r>
  <r>
    <x v="23"/>
    <x v="23"/>
    <x v="203"/>
    <x v="989"/>
  </r>
  <r>
    <x v="67"/>
    <x v="67"/>
    <x v="203"/>
    <x v="493"/>
  </r>
  <r>
    <x v="26"/>
    <x v="26"/>
    <x v="203"/>
    <x v="547"/>
  </r>
  <r>
    <x v="79"/>
    <x v="79"/>
    <x v="203"/>
    <x v="1936"/>
  </r>
  <r>
    <x v="86"/>
    <x v="86"/>
    <x v="203"/>
    <x v="523"/>
  </r>
  <r>
    <x v="82"/>
    <x v="82"/>
    <x v="203"/>
    <x v="578"/>
  </r>
  <r>
    <x v="7"/>
    <x v="7"/>
    <x v="203"/>
    <x v="934"/>
  </r>
  <r>
    <x v="8"/>
    <x v="8"/>
    <x v="203"/>
    <x v="1017"/>
  </r>
  <r>
    <x v="9"/>
    <x v="9"/>
    <x v="203"/>
    <x v="148"/>
  </r>
  <r>
    <x v="38"/>
    <x v="38"/>
    <x v="203"/>
    <x v="1404"/>
  </r>
  <r>
    <x v="10"/>
    <x v="10"/>
    <x v="203"/>
    <x v="1522"/>
  </r>
  <r>
    <x v="11"/>
    <x v="11"/>
    <x v="203"/>
    <x v="1759"/>
  </r>
  <r>
    <x v="12"/>
    <x v="12"/>
    <x v="203"/>
    <x v="1211"/>
  </r>
  <r>
    <x v="29"/>
    <x v="29"/>
    <x v="203"/>
    <x v="1862"/>
  </r>
  <r>
    <x v="30"/>
    <x v="30"/>
    <x v="203"/>
    <x v="1979"/>
  </r>
  <r>
    <x v="97"/>
    <x v="97"/>
    <x v="203"/>
    <x v="1980"/>
  </r>
  <r>
    <x v="73"/>
    <x v="73"/>
    <x v="203"/>
    <x v="1981"/>
  </r>
  <r>
    <x v="45"/>
    <x v="45"/>
    <x v="203"/>
    <x v="1354"/>
  </r>
  <r>
    <x v="46"/>
    <x v="46"/>
    <x v="203"/>
    <x v="533"/>
  </r>
  <r>
    <x v="14"/>
    <x v="14"/>
    <x v="203"/>
    <x v="98"/>
  </r>
  <r>
    <x v="83"/>
    <x v="83"/>
    <x v="203"/>
    <x v="111"/>
  </r>
  <r>
    <x v="16"/>
    <x v="16"/>
    <x v="203"/>
    <x v="507"/>
  </r>
  <r>
    <x v="50"/>
    <x v="50"/>
    <x v="204"/>
    <x v="210"/>
  </r>
  <r>
    <x v="41"/>
    <x v="41"/>
    <x v="204"/>
    <x v="15"/>
  </r>
  <r>
    <x v="2"/>
    <x v="2"/>
    <x v="204"/>
    <x v="231"/>
  </r>
  <r>
    <x v="20"/>
    <x v="20"/>
    <x v="204"/>
    <x v="941"/>
  </r>
  <r>
    <x v="21"/>
    <x v="21"/>
    <x v="204"/>
    <x v="573"/>
  </r>
  <r>
    <x v="3"/>
    <x v="3"/>
    <x v="204"/>
    <x v="1043"/>
  </r>
  <r>
    <x v="101"/>
    <x v="101"/>
    <x v="204"/>
    <x v="1897"/>
  </r>
  <r>
    <x v="4"/>
    <x v="4"/>
    <x v="204"/>
    <x v="1044"/>
  </r>
  <r>
    <x v="87"/>
    <x v="87"/>
    <x v="204"/>
    <x v="876"/>
  </r>
  <r>
    <x v="5"/>
    <x v="5"/>
    <x v="204"/>
    <x v="1982"/>
  </r>
  <r>
    <x v="74"/>
    <x v="74"/>
    <x v="204"/>
    <x v="403"/>
  </r>
  <r>
    <x v="98"/>
    <x v="98"/>
    <x v="204"/>
    <x v="1089"/>
  </r>
  <r>
    <x v="8"/>
    <x v="8"/>
    <x v="204"/>
    <x v="30"/>
  </r>
  <r>
    <x v="9"/>
    <x v="9"/>
    <x v="204"/>
    <x v="663"/>
  </r>
  <r>
    <x v="68"/>
    <x v="68"/>
    <x v="204"/>
    <x v="1983"/>
  </r>
  <r>
    <x v="10"/>
    <x v="10"/>
    <x v="204"/>
    <x v="1671"/>
  </r>
  <r>
    <x v="103"/>
    <x v="103"/>
    <x v="204"/>
    <x v="277"/>
  </r>
  <r>
    <x v="11"/>
    <x v="11"/>
    <x v="204"/>
    <x v="1984"/>
  </r>
  <r>
    <x v="28"/>
    <x v="28"/>
    <x v="204"/>
    <x v="1985"/>
  </r>
  <r>
    <x v="12"/>
    <x v="12"/>
    <x v="204"/>
    <x v="202"/>
  </r>
  <r>
    <x v="29"/>
    <x v="29"/>
    <x v="204"/>
    <x v="514"/>
  </r>
  <r>
    <x v="30"/>
    <x v="30"/>
    <x v="204"/>
    <x v="1986"/>
  </r>
  <r>
    <x v="91"/>
    <x v="91"/>
    <x v="204"/>
    <x v="1987"/>
  </r>
  <r>
    <x v="31"/>
    <x v="31"/>
    <x v="204"/>
    <x v="486"/>
  </r>
  <r>
    <x v="32"/>
    <x v="32"/>
    <x v="204"/>
    <x v="1593"/>
  </r>
  <r>
    <x v="45"/>
    <x v="45"/>
    <x v="204"/>
    <x v="488"/>
  </r>
  <r>
    <x v="102"/>
    <x v="102"/>
    <x v="204"/>
    <x v="140"/>
  </r>
  <r>
    <x v="46"/>
    <x v="46"/>
    <x v="204"/>
    <x v="533"/>
  </r>
  <r>
    <x v="110"/>
    <x v="110"/>
    <x v="204"/>
    <x v="82"/>
  </r>
  <r>
    <x v="14"/>
    <x v="14"/>
    <x v="204"/>
    <x v="376"/>
  </r>
  <r>
    <x v="78"/>
    <x v="78"/>
    <x v="204"/>
    <x v="111"/>
  </r>
  <r>
    <x v="114"/>
    <x v="114"/>
    <x v="204"/>
    <x v="40"/>
  </r>
  <r>
    <x v="16"/>
    <x v="16"/>
    <x v="204"/>
    <x v="98"/>
  </r>
  <r>
    <x v="50"/>
    <x v="50"/>
    <x v="205"/>
    <x v="15"/>
  </r>
  <r>
    <x v="19"/>
    <x v="19"/>
    <x v="205"/>
    <x v="19"/>
  </r>
  <r>
    <x v="0"/>
    <x v="0"/>
    <x v="205"/>
    <x v="1972"/>
  </r>
  <r>
    <x v="76"/>
    <x v="76"/>
    <x v="205"/>
    <x v="1026"/>
  </r>
  <r>
    <x v="2"/>
    <x v="2"/>
    <x v="205"/>
    <x v="449"/>
  </r>
  <r>
    <x v="20"/>
    <x v="20"/>
    <x v="205"/>
    <x v="342"/>
  </r>
  <r>
    <x v="34"/>
    <x v="34"/>
    <x v="205"/>
    <x v="1082"/>
  </r>
  <r>
    <x v="21"/>
    <x v="21"/>
    <x v="205"/>
    <x v="451"/>
  </r>
  <r>
    <x v="101"/>
    <x v="101"/>
    <x v="205"/>
    <x v="1988"/>
  </r>
  <r>
    <x v="4"/>
    <x v="4"/>
    <x v="205"/>
    <x v="264"/>
  </r>
  <r>
    <x v="5"/>
    <x v="5"/>
    <x v="205"/>
    <x v="347"/>
  </r>
  <r>
    <x v="23"/>
    <x v="23"/>
    <x v="205"/>
    <x v="1989"/>
  </r>
  <r>
    <x v="55"/>
    <x v="55"/>
    <x v="205"/>
    <x v="1587"/>
  </r>
  <r>
    <x v="26"/>
    <x v="26"/>
    <x v="205"/>
    <x v="946"/>
  </r>
  <r>
    <x v="36"/>
    <x v="36"/>
    <x v="205"/>
    <x v="1990"/>
  </r>
  <r>
    <x v="88"/>
    <x v="88"/>
    <x v="205"/>
    <x v="1991"/>
  </r>
  <r>
    <x v="6"/>
    <x v="6"/>
    <x v="205"/>
    <x v="663"/>
  </r>
  <r>
    <x v="7"/>
    <x v="7"/>
    <x v="205"/>
    <x v="7"/>
  </r>
  <r>
    <x v="8"/>
    <x v="8"/>
    <x v="205"/>
    <x v="238"/>
  </r>
  <r>
    <x v="9"/>
    <x v="9"/>
    <x v="205"/>
    <x v="1171"/>
  </r>
  <r>
    <x v="38"/>
    <x v="38"/>
    <x v="205"/>
    <x v="1992"/>
  </r>
  <r>
    <x v="10"/>
    <x v="10"/>
    <x v="205"/>
    <x v="426"/>
  </r>
  <r>
    <x v="27"/>
    <x v="27"/>
    <x v="205"/>
    <x v="1993"/>
  </r>
  <r>
    <x v="11"/>
    <x v="11"/>
    <x v="205"/>
    <x v="1994"/>
  </r>
  <r>
    <x v="28"/>
    <x v="28"/>
    <x v="205"/>
    <x v="1610"/>
  </r>
  <r>
    <x v="12"/>
    <x v="12"/>
    <x v="205"/>
    <x v="1851"/>
  </r>
  <r>
    <x v="59"/>
    <x v="59"/>
    <x v="205"/>
    <x v="1995"/>
  </r>
  <r>
    <x v="29"/>
    <x v="29"/>
    <x v="205"/>
    <x v="357"/>
  </r>
  <r>
    <x v="72"/>
    <x v="72"/>
    <x v="205"/>
    <x v="1996"/>
  </r>
  <r>
    <x v="43"/>
    <x v="43"/>
    <x v="205"/>
    <x v="1997"/>
  </r>
  <r>
    <x v="30"/>
    <x v="30"/>
    <x v="205"/>
    <x v="158"/>
  </r>
  <r>
    <x v="32"/>
    <x v="32"/>
    <x v="205"/>
    <x v="38"/>
  </r>
  <r>
    <x v="46"/>
    <x v="46"/>
    <x v="205"/>
    <x v="469"/>
  </r>
  <r>
    <x v="14"/>
    <x v="14"/>
    <x v="205"/>
    <x v="98"/>
  </r>
  <r>
    <x v="15"/>
    <x v="15"/>
    <x v="205"/>
    <x v="62"/>
  </r>
  <r>
    <x v="83"/>
    <x v="83"/>
    <x v="205"/>
    <x v="160"/>
  </r>
  <r>
    <x v="16"/>
    <x v="16"/>
    <x v="205"/>
    <x v="82"/>
  </r>
  <r>
    <x v="17"/>
    <x v="17"/>
    <x v="205"/>
    <x v="1076"/>
  </r>
  <r>
    <x v="41"/>
    <x v="41"/>
    <x v="206"/>
    <x v="996"/>
  </r>
  <r>
    <x v="19"/>
    <x v="19"/>
    <x v="206"/>
    <x v="1963"/>
  </r>
  <r>
    <x v="76"/>
    <x v="76"/>
    <x v="206"/>
    <x v="726"/>
  </r>
  <r>
    <x v="2"/>
    <x v="2"/>
    <x v="206"/>
    <x v="508"/>
  </r>
  <r>
    <x v="21"/>
    <x v="21"/>
    <x v="206"/>
    <x v="596"/>
  </r>
  <r>
    <x v="3"/>
    <x v="3"/>
    <x v="206"/>
    <x v="1855"/>
  </r>
  <r>
    <x v="101"/>
    <x v="101"/>
    <x v="206"/>
    <x v="1318"/>
  </r>
  <r>
    <x v="35"/>
    <x v="35"/>
    <x v="206"/>
    <x v="893"/>
  </r>
  <r>
    <x v="4"/>
    <x v="4"/>
    <x v="206"/>
    <x v="303"/>
  </r>
  <r>
    <x v="22"/>
    <x v="22"/>
    <x v="206"/>
    <x v="1998"/>
  </r>
  <r>
    <x v="5"/>
    <x v="5"/>
    <x v="206"/>
    <x v="1545"/>
  </r>
  <r>
    <x v="23"/>
    <x v="23"/>
    <x v="206"/>
    <x v="1436"/>
  </r>
  <r>
    <x v="55"/>
    <x v="55"/>
    <x v="206"/>
    <x v="1999"/>
  </r>
  <r>
    <x v="67"/>
    <x v="67"/>
    <x v="206"/>
    <x v="2000"/>
  </r>
  <r>
    <x v="25"/>
    <x v="25"/>
    <x v="206"/>
    <x v="849"/>
  </r>
  <r>
    <x v="26"/>
    <x v="26"/>
    <x v="206"/>
    <x v="369"/>
  </r>
  <r>
    <x v="86"/>
    <x v="86"/>
    <x v="206"/>
    <x v="1102"/>
  </r>
  <r>
    <x v="98"/>
    <x v="98"/>
    <x v="206"/>
    <x v="615"/>
  </r>
  <r>
    <x v="37"/>
    <x v="37"/>
    <x v="206"/>
    <x v="665"/>
  </r>
  <r>
    <x v="8"/>
    <x v="8"/>
    <x v="206"/>
    <x v="896"/>
  </r>
  <r>
    <x v="9"/>
    <x v="9"/>
    <x v="206"/>
    <x v="218"/>
  </r>
  <r>
    <x v="38"/>
    <x v="38"/>
    <x v="206"/>
    <x v="2001"/>
  </r>
  <r>
    <x v="10"/>
    <x v="10"/>
    <x v="206"/>
    <x v="2002"/>
  </r>
  <r>
    <x v="11"/>
    <x v="11"/>
    <x v="206"/>
    <x v="1861"/>
  </r>
  <r>
    <x v="12"/>
    <x v="12"/>
    <x v="206"/>
    <x v="2003"/>
  </r>
  <r>
    <x v="29"/>
    <x v="29"/>
    <x v="206"/>
    <x v="628"/>
  </r>
  <r>
    <x v="30"/>
    <x v="30"/>
    <x v="206"/>
    <x v="2004"/>
  </r>
  <r>
    <x v="40"/>
    <x v="40"/>
    <x v="206"/>
    <x v="1500"/>
  </r>
  <r>
    <x v="73"/>
    <x v="73"/>
    <x v="206"/>
    <x v="2005"/>
  </r>
  <r>
    <x v="46"/>
    <x v="46"/>
    <x v="206"/>
    <x v="245"/>
  </r>
  <r>
    <x v="14"/>
    <x v="14"/>
    <x v="206"/>
    <x v="1076"/>
  </r>
  <r>
    <x v="78"/>
    <x v="78"/>
    <x v="206"/>
    <x v="230"/>
  </r>
  <r>
    <x v="114"/>
    <x v="114"/>
    <x v="206"/>
    <x v="14"/>
  </r>
  <r>
    <x v="16"/>
    <x v="16"/>
    <x v="206"/>
    <x v="15"/>
  </r>
  <r>
    <x v="76"/>
    <x v="76"/>
    <x v="207"/>
    <x v="687"/>
  </r>
  <r>
    <x v="2"/>
    <x v="2"/>
    <x v="207"/>
    <x v="416"/>
  </r>
  <r>
    <x v="20"/>
    <x v="20"/>
    <x v="207"/>
    <x v="65"/>
  </r>
  <r>
    <x v="21"/>
    <x v="21"/>
    <x v="207"/>
    <x v="2006"/>
  </r>
  <r>
    <x v="3"/>
    <x v="3"/>
    <x v="207"/>
    <x v="115"/>
  </r>
  <r>
    <x v="4"/>
    <x v="4"/>
    <x v="207"/>
    <x v="2007"/>
  </r>
  <r>
    <x v="5"/>
    <x v="5"/>
    <x v="207"/>
    <x v="474"/>
  </r>
  <r>
    <x v="23"/>
    <x v="23"/>
    <x v="207"/>
    <x v="651"/>
  </r>
  <r>
    <x v="70"/>
    <x v="70"/>
    <x v="207"/>
    <x v="978"/>
  </r>
  <r>
    <x v="25"/>
    <x v="25"/>
    <x v="207"/>
    <x v="349"/>
  </r>
  <r>
    <x v="26"/>
    <x v="26"/>
    <x v="207"/>
    <x v="369"/>
  </r>
  <r>
    <x v="36"/>
    <x v="36"/>
    <x v="207"/>
    <x v="865"/>
  </r>
  <r>
    <x v="74"/>
    <x v="74"/>
    <x v="207"/>
    <x v="104"/>
  </r>
  <r>
    <x v="8"/>
    <x v="8"/>
    <x v="207"/>
    <x v="324"/>
  </r>
  <r>
    <x v="9"/>
    <x v="9"/>
    <x v="207"/>
    <x v="443"/>
  </r>
  <r>
    <x v="38"/>
    <x v="38"/>
    <x v="207"/>
    <x v="353"/>
  </r>
  <r>
    <x v="10"/>
    <x v="10"/>
    <x v="207"/>
    <x v="1306"/>
  </r>
  <r>
    <x v="11"/>
    <x v="11"/>
    <x v="207"/>
    <x v="2008"/>
  </r>
  <r>
    <x v="28"/>
    <x v="28"/>
    <x v="207"/>
    <x v="2009"/>
  </r>
  <r>
    <x v="59"/>
    <x v="59"/>
    <x v="207"/>
    <x v="2010"/>
  </r>
  <r>
    <x v="29"/>
    <x v="29"/>
    <x v="207"/>
    <x v="1493"/>
  </r>
  <r>
    <x v="30"/>
    <x v="30"/>
    <x v="207"/>
    <x v="711"/>
  </r>
  <r>
    <x v="97"/>
    <x v="97"/>
    <x v="207"/>
    <x v="270"/>
  </r>
  <r>
    <x v="31"/>
    <x v="31"/>
    <x v="207"/>
    <x v="60"/>
  </r>
  <r>
    <x v="85"/>
    <x v="85"/>
    <x v="207"/>
    <x v="2011"/>
  </r>
  <r>
    <x v="51"/>
    <x v="51"/>
    <x v="207"/>
    <x v="807"/>
  </r>
  <r>
    <x v="69"/>
    <x v="69"/>
    <x v="207"/>
    <x v="533"/>
  </r>
  <r>
    <x v="46"/>
    <x v="46"/>
    <x v="207"/>
    <x v="15"/>
  </r>
  <r>
    <x v="14"/>
    <x v="14"/>
    <x v="207"/>
    <x v="209"/>
  </r>
  <r>
    <x v="15"/>
    <x v="15"/>
    <x v="207"/>
    <x v="62"/>
  </r>
  <r>
    <x v="16"/>
    <x v="16"/>
    <x v="207"/>
    <x v="14"/>
  </r>
  <r>
    <x v="17"/>
    <x v="17"/>
    <x v="207"/>
    <x v="2012"/>
  </r>
  <r>
    <x v="0"/>
    <x v="0"/>
    <x v="208"/>
    <x v="340"/>
  </r>
  <r>
    <x v="76"/>
    <x v="76"/>
    <x v="208"/>
    <x v="859"/>
  </r>
  <r>
    <x v="2"/>
    <x v="2"/>
    <x v="208"/>
    <x v="113"/>
  </r>
  <r>
    <x v="20"/>
    <x v="20"/>
    <x v="208"/>
    <x v="63"/>
  </r>
  <r>
    <x v="34"/>
    <x v="34"/>
    <x v="208"/>
    <x v="167"/>
  </r>
  <r>
    <x v="21"/>
    <x v="21"/>
    <x v="208"/>
    <x v="437"/>
  </r>
  <r>
    <x v="3"/>
    <x v="3"/>
    <x v="208"/>
    <x v="115"/>
  </r>
  <r>
    <x v="35"/>
    <x v="35"/>
    <x v="208"/>
    <x v="2013"/>
  </r>
  <r>
    <x v="4"/>
    <x v="4"/>
    <x v="208"/>
    <x v="791"/>
  </r>
  <r>
    <x v="87"/>
    <x v="87"/>
    <x v="208"/>
    <x v="876"/>
  </r>
  <r>
    <x v="5"/>
    <x v="5"/>
    <x v="208"/>
    <x v="1945"/>
  </r>
  <r>
    <x v="23"/>
    <x v="23"/>
    <x v="208"/>
    <x v="1604"/>
  </r>
  <r>
    <x v="55"/>
    <x v="55"/>
    <x v="208"/>
    <x v="174"/>
  </r>
  <r>
    <x v="26"/>
    <x v="26"/>
    <x v="208"/>
    <x v="2014"/>
  </r>
  <r>
    <x v="36"/>
    <x v="36"/>
    <x v="208"/>
    <x v="327"/>
  </r>
  <r>
    <x v="74"/>
    <x v="74"/>
    <x v="208"/>
    <x v="104"/>
  </r>
  <r>
    <x v="62"/>
    <x v="62"/>
    <x v="208"/>
    <x v="680"/>
  </r>
  <r>
    <x v="7"/>
    <x v="7"/>
    <x v="208"/>
    <x v="1330"/>
  </r>
  <r>
    <x v="71"/>
    <x v="71"/>
    <x v="208"/>
    <x v="196"/>
  </r>
  <r>
    <x v="8"/>
    <x v="8"/>
    <x v="208"/>
    <x v="551"/>
  </r>
  <r>
    <x v="9"/>
    <x v="9"/>
    <x v="208"/>
    <x v="1110"/>
  </r>
  <r>
    <x v="38"/>
    <x v="38"/>
    <x v="208"/>
    <x v="723"/>
  </r>
  <r>
    <x v="10"/>
    <x v="10"/>
    <x v="208"/>
    <x v="2015"/>
  </r>
  <r>
    <x v="103"/>
    <x v="103"/>
    <x v="208"/>
    <x v="1482"/>
  </r>
  <r>
    <x v="11"/>
    <x v="11"/>
    <x v="208"/>
    <x v="2016"/>
  </r>
  <r>
    <x v="12"/>
    <x v="12"/>
    <x v="208"/>
    <x v="1161"/>
  </r>
  <r>
    <x v="30"/>
    <x v="30"/>
    <x v="208"/>
    <x v="1986"/>
  </r>
  <r>
    <x v="84"/>
    <x v="84"/>
    <x v="208"/>
    <x v="1164"/>
  </r>
  <r>
    <x v="31"/>
    <x v="31"/>
    <x v="208"/>
    <x v="2017"/>
  </r>
  <r>
    <x v="73"/>
    <x v="73"/>
    <x v="208"/>
    <x v="2018"/>
  </r>
  <r>
    <x v="32"/>
    <x v="32"/>
    <x v="208"/>
    <x v="2019"/>
  </r>
  <r>
    <x v="45"/>
    <x v="45"/>
    <x v="208"/>
    <x v="2020"/>
  </r>
  <r>
    <x v="96"/>
    <x v="96"/>
    <x v="208"/>
    <x v="111"/>
  </r>
  <r>
    <x v="14"/>
    <x v="14"/>
    <x v="208"/>
    <x v="996"/>
  </r>
  <r>
    <x v="78"/>
    <x v="78"/>
    <x v="208"/>
    <x v="111"/>
  </r>
  <r>
    <x v="0"/>
    <x v="0"/>
    <x v="209"/>
    <x v="404"/>
  </r>
  <r>
    <x v="2"/>
    <x v="2"/>
    <x v="209"/>
    <x v="616"/>
  </r>
  <r>
    <x v="20"/>
    <x v="20"/>
    <x v="209"/>
    <x v="63"/>
  </r>
  <r>
    <x v="34"/>
    <x v="34"/>
    <x v="209"/>
    <x v="1442"/>
  </r>
  <r>
    <x v="21"/>
    <x v="21"/>
    <x v="209"/>
    <x v="87"/>
  </r>
  <r>
    <x v="3"/>
    <x v="3"/>
    <x v="209"/>
    <x v="3"/>
  </r>
  <r>
    <x v="101"/>
    <x v="101"/>
    <x v="209"/>
    <x v="2021"/>
  </r>
  <r>
    <x v="4"/>
    <x v="4"/>
    <x v="209"/>
    <x v="2022"/>
  </r>
  <r>
    <x v="22"/>
    <x v="22"/>
    <x v="209"/>
    <x v="1998"/>
  </r>
  <r>
    <x v="5"/>
    <x v="5"/>
    <x v="209"/>
    <x v="778"/>
  </r>
  <r>
    <x v="86"/>
    <x v="86"/>
    <x v="209"/>
    <x v="577"/>
  </r>
  <r>
    <x v="36"/>
    <x v="36"/>
    <x v="209"/>
    <x v="2023"/>
  </r>
  <r>
    <x v="74"/>
    <x v="74"/>
    <x v="209"/>
    <x v="285"/>
  </r>
  <r>
    <x v="98"/>
    <x v="98"/>
    <x v="209"/>
    <x v="1008"/>
  </r>
  <r>
    <x v="37"/>
    <x v="37"/>
    <x v="209"/>
    <x v="70"/>
  </r>
  <r>
    <x v="8"/>
    <x v="8"/>
    <x v="209"/>
    <x v="913"/>
  </r>
  <r>
    <x v="9"/>
    <x v="9"/>
    <x v="209"/>
    <x v="408"/>
  </r>
  <r>
    <x v="10"/>
    <x v="10"/>
    <x v="209"/>
    <x v="603"/>
  </r>
  <r>
    <x v="27"/>
    <x v="27"/>
    <x v="209"/>
    <x v="2024"/>
  </r>
  <r>
    <x v="11"/>
    <x v="11"/>
    <x v="209"/>
    <x v="2025"/>
  </r>
  <r>
    <x v="28"/>
    <x v="28"/>
    <x v="209"/>
    <x v="2026"/>
  </r>
  <r>
    <x v="95"/>
    <x v="95"/>
    <x v="209"/>
    <x v="1519"/>
  </r>
  <r>
    <x v="12"/>
    <x v="12"/>
    <x v="209"/>
    <x v="1308"/>
  </r>
  <r>
    <x v="39"/>
    <x v="39"/>
    <x v="209"/>
    <x v="2027"/>
  </r>
  <r>
    <x v="29"/>
    <x v="29"/>
    <x v="209"/>
    <x v="2028"/>
  </r>
  <r>
    <x v="43"/>
    <x v="43"/>
    <x v="209"/>
    <x v="1073"/>
  </r>
  <r>
    <x v="30"/>
    <x v="30"/>
    <x v="209"/>
    <x v="278"/>
  </r>
  <r>
    <x v="73"/>
    <x v="73"/>
    <x v="209"/>
    <x v="1020"/>
  </r>
  <r>
    <x v="102"/>
    <x v="102"/>
    <x v="209"/>
    <x v="2029"/>
  </r>
  <r>
    <x v="46"/>
    <x v="46"/>
    <x v="209"/>
    <x v="58"/>
  </r>
  <r>
    <x v="110"/>
    <x v="110"/>
    <x v="209"/>
    <x v="14"/>
  </r>
  <r>
    <x v="14"/>
    <x v="14"/>
    <x v="209"/>
    <x v="16"/>
  </r>
  <r>
    <x v="114"/>
    <x v="114"/>
    <x v="209"/>
    <x v="62"/>
  </r>
  <r>
    <x v="83"/>
    <x v="83"/>
    <x v="209"/>
    <x v="40"/>
  </r>
  <r>
    <x v="1"/>
    <x v="1"/>
    <x v="210"/>
    <x v="1"/>
  </r>
  <r>
    <x v="76"/>
    <x v="76"/>
    <x v="210"/>
    <x v="2030"/>
  </r>
  <r>
    <x v="2"/>
    <x v="2"/>
    <x v="210"/>
    <x v="231"/>
  </r>
  <r>
    <x v="20"/>
    <x v="20"/>
    <x v="210"/>
    <x v="118"/>
  </r>
  <r>
    <x v="21"/>
    <x v="21"/>
    <x v="210"/>
    <x v="490"/>
  </r>
  <r>
    <x v="4"/>
    <x v="4"/>
    <x v="210"/>
    <x v="1965"/>
  </r>
  <r>
    <x v="87"/>
    <x v="87"/>
    <x v="210"/>
    <x v="1443"/>
  </r>
  <r>
    <x v="22"/>
    <x v="22"/>
    <x v="210"/>
    <x v="2031"/>
  </r>
  <r>
    <x v="55"/>
    <x v="55"/>
    <x v="210"/>
    <x v="2032"/>
  </r>
  <r>
    <x v="67"/>
    <x v="67"/>
    <x v="210"/>
    <x v="819"/>
  </r>
  <r>
    <x v="86"/>
    <x v="86"/>
    <x v="210"/>
    <x v="1102"/>
  </r>
  <r>
    <x v="115"/>
    <x v="115"/>
    <x v="210"/>
    <x v="2033"/>
  </r>
  <r>
    <x v="82"/>
    <x v="82"/>
    <x v="210"/>
    <x v="578"/>
  </r>
  <r>
    <x v="62"/>
    <x v="62"/>
    <x v="210"/>
    <x v="2034"/>
  </r>
  <r>
    <x v="7"/>
    <x v="7"/>
    <x v="210"/>
    <x v="735"/>
  </r>
  <r>
    <x v="37"/>
    <x v="37"/>
    <x v="210"/>
    <x v="70"/>
  </r>
  <r>
    <x v="8"/>
    <x v="8"/>
    <x v="210"/>
    <x v="666"/>
  </r>
  <r>
    <x v="9"/>
    <x v="9"/>
    <x v="210"/>
    <x v="249"/>
  </r>
  <r>
    <x v="38"/>
    <x v="38"/>
    <x v="210"/>
    <x v="52"/>
  </r>
  <r>
    <x v="10"/>
    <x v="10"/>
    <x v="210"/>
    <x v="2035"/>
  </r>
  <r>
    <x v="27"/>
    <x v="27"/>
    <x v="210"/>
    <x v="1491"/>
  </r>
  <r>
    <x v="103"/>
    <x v="103"/>
    <x v="210"/>
    <x v="1293"/>
  </r>
  <r>
    <x v="11"/>
    <x v="11"/>
    <x v="210"/>
    <x v="1687"/>
  </r>
  <r>
    <x v="53"/>
    <x v="53"/>
    <x v="210"/>
    <x v="2036"/>
  </r>
  <r>
    <x v="12"/>
    <x v="12"/>
    <x v="210"/>
    <x v="2037"/>
  </r>
  <r>
    <x v="59"/>
    <x v="59"/>
    <x v="210"/>
    <x v="2038"/>
  </r>
  <r>
    <x v="30"/>
    <x v="30"/>
    <x v="210"/>
    <x v="2039"/>
  </r>
  <r>
    <x v="97"/>
    <x v="97"/>
    <x v="210"/>
    <x v="2040"/>
  </r>
  <r>
    <x v="91"/>
    <x v="91"/>
    <x v="210"/>
    <x v="1281"/>
  </r>
  <r>
    <x v="31"/>
    <x v="31"/>
    <x v="210"/>
    <x v="2041"/>
  </r>
  <r>
    <x v="73"/>
    <x v="73"/>
    <x v="210"/>
    <x v="614"/>
  </r>
  <r>
    <x v="102"/>
    <x v="102"/>
    <x v="210"/>
    <x v="77"/>
  </r>
  <r>
    <x v="46"/>
    <x v="46"/>
    <x v="210"/>
    <x v="435"/>
  </r>
  <r>
    <x v="14"/>
    <x v="14"/>
    <x v="210"/>
    <x v="160"/>
  </r>
  <r>
    <x v="15"/>
    <x v="15"/>
    <x v="210"/>
    <x v="111"/>
  </r>
  <r>
    <x v="114"/>
    <x v="114"/>
    <x v="210"/>
    <x v="210"/>
  </r>
  <r>
    <x v="83"/>
    <x v="83"/>
    <x v="210"/>
    <x v="82"/>
  </r>
  <r>
    <x v="16"/>
    <x v="16"/>
    <x v="210"/>
    <x v="230"/>
  </r>
  <r>
    <x v="0"/>
    <x v="0"/>
    <x v="211"/>
    <x v="646"/>
  </r>
  <r>
    <x v="76"/>
    <x v="76"/>
    <x v="211"/>
    <x v="301"/>
  </r>
  <r>
    <x v="2"/>
    <x v="2"/>
    <x v="211"/>
    <x v="535"/>
  </r>
  <r>
    <x v="21"/>
    <x v="21"/>
    <x v="211"/>
    <x v="419"/>
  </r>
  <r>
    <x v="3"/>
    <x v="3"/>
    <x v="211"/>
    <x v="2042"/>
  </r>
  <r>
    <x v="101"/>
    <x v="101"/>
    <x v="211"/>
    <x v="1318"/>
  </r>
  <r>
    <x v="4"/>
    <x v="4"/>
    <x v="211"/>
    <x v="303"/>
  </r>
  <r>
    <x v="22"/>
    <x v="22"/>
    <x v="211"/>
    <x v="1883"/>
  </r>
  <r>
    <x v="5"/>
    <x v="5"/>
    <x v="211"/>
    <x v="1751"/>
  </r>
  <r>
    <x v="24"/>
    <x v="24"/>
    <x v="211"/>
    <x v="2043"/>
  </r>
  <r>
    <x v="56"/>
    <x v="56"/>
    <x v="211"/>
    <x v="1111"/>
  </r>
  <r>
    <x v="26"/>
    <x v="26"/>
    <x v="211"/>
    <x v="864"/>
  </r>
  <r>
    <x v="86"/>
    <x v="86"/>
    <x v="211"/>
    <x v="549"/>
  </r>
  <r>
    <x v="7"/>
    <x v="7"/>
    <x v="211"/>
    <x v="7"/>
  </r>
  <r>
    <x v="98"/>
    <x v="98"/>
    <x v="211"/>
    <x v="1008"/>
  </r>
  <r>
    <x v="8"/>
    <x v="8"/>
    <x v="211"/>
    <x v="147"/>
  </r>
  <r>
    <x v="38"/>
    <x v="38"/>
    <x v="211"/>
    <x v="591"/>
  </r>
  <r>
    <x v="10"/>
    <x v="10"/>
    <x v="211"/>
    <x v="2044"/>
  </r>
  <r>
    <x v="11"/>
    <x v="11"/>
    <x v="211"/>
    <x v="2008"/>
  </r>
  <r>
    <x v="28"/>
    <x v="28"/>
    <x v="211"/>
    <x v="2045"/>
  </r>
  <r>
    <x v="12"/>
    <x v="12"/>
    <x v="211"/>
    <x v="12"/>
  </r>
  <r>
    <x v="29"/>
    <x v="29"/>
    <x v="211"/>
    <x v="2046"/>
  </r>
  <r>
    <x v="72"/>
    <x v="72"/>
    <x v="211"/>
    <x v="1365"/>
  </r>
  <r>
    <x v="30"/>
    <x v="30"/>
    <x v="211"/>
    <x v="1986"/>
  </r>
  <r>
    <x v="84"/>
    <x v="84"/>
    <x v="211"/>
    <x v="501"/>
  </r>
  <r>
    <x v="31"/>
    <x v="31"/>
    <x v="211"/>
    <x v="295"/>
  </r>
  <r>
    <x v="85"/>
    <x v="85"/>
    <x v="211"/>
    <x v="460"/>
  </r>
  <r>
    <x v="45"/>
    <x v="45"/>
    <x v="211"/>
    <x v="470"/>
  </r>
  <r>
    <x v="46"/>
    <x v="46"/>
    <x v="211"/>
    <x v="84"/>
  </r>
  <r>
    <x v="110"/>
    <x v="110"/>
    <x v="211"/>
    <x v="62"/>
  </r>
  <r>
    <x v="14"/>
    <x v="14"/>
    <x v="211"/>
    <x v="63"/>
  </r>
  <r>
    <x v="114"/>
    <x v="114"/>
    <x v="211"/>
    <x v="40"/>
  </r>
  <r>
    <x v="17"/>
    <x v="17"/>
    <x v="211"/>
    <x v="826"/>
  </r>
  <r>
    <x v="19"/>
    <x v="19"/>
    <x v="212"/>
    <x v="2047"/>
  </r>
  <r>
    <x v="76"/>
    <x v="76"/>
    <x v="212"/>
    <x v="1059"/>
  </r>
  <r>
    <x v="35"/>
    <x v="35"/>
    <x v="212"/>
    <x v="790"/>
  </r>
  <r>
    <x v="4"/>
    <x v="4"/>
    <x v="212"/>
    <x v="2048"/>
  </r>
  <r>
    <x v="82"/>
    <x v="82"/>
    <x v="212"/>
    <x v="1373"/>
  </r>
  <r>
    <x v="6"/>
    <x v="6"/>
    <x v="212"/>
    <x v="6"/>
  </r>
  <r>
    <x v="37"/>
    <x v="37"/>
    <x v="212"/>
    <x v="1847"/>
  </r>
  <r>
    <x v="38"/>
    <x v="38"/>
    <x v="212"/>
    <x v="2049"/>
  </r>
  <r>
    <x v="10"/>
    <x v="10"/>
    <x v="212"/>
    <x v="2050"/>
  </r>
  <r>
    <x v="11"/>
    <x v="11"/>
    <x v="212"/>
    <x v="498"/>
  </r>
  <r>
    <x v="46"/>
    <x v="46"/>
    <x v="212"/>
    <x v="82"/>
  </r>
  <r>
    <x v="14"/>
    <x v="14"/>
    <x v="212"/>
    <x v="40"/>
  </r>
  <r>
    <x v="114"/>
    <x v="114"/>
    <x v="212"/>
    <x v="62"/>
  </r>
  <r>
    <x v="0"/>
    <x v="0"/>
    <x v="213"/>
    <x v="2051"/>
  </r>
  <r>
    <x v="76"/>
    <x v="76"/>
    <x v="213"/>
    <x v="687"/>
  </r>
  <r>
    <x v="2"/>
    <x v="2"/>
    <x v="213"/>
    <x v="260"/>
  </r>
  <r>
    <x v="34"/>
    <x v="34"/>
    <x v="213"/>
    <x v="1167"/>
  </r>
  <r>
    <x v="21"/>
    <x v="21"/>
    <x v="213"/>
    <x v="2052"/>
  </r>
  <r>
    <x v="35"/>
    <x v="35"/>
    <x v="213"/>
    <x v="1655"/>
  </r>
  <r>
    <x v="4"/>
    <x v="4"/>
    <x v="213"/>
    <x v="1487"/>
  </r>
  <r>
    <x v="23"/>
    <x v="23"/>
    <x v="213"/>
    <x v="1566"/>
  </r>
  <r>
    <x v="89"/>
    <x v="89"/>
    <x v="213"/>
    <x v="2053"/>
  </r>
  <r>
    <x v="26"/>
    <x v="26"/>
    <x v="213"/>
    <x v="932"/>
  </r>
  <r>
    <x v="86"/>
    <x v="86"/>
    <x v="213"/>
    <x v="577"/>
  </r>
  <r>
    <x v="36"/>
    <x v="36"/>
    <x v="213"/>
    <x v="495"/>
  </r>
  <r>
    <x v="74"/>
    <x v="74"/>
    <x v="213"/>
    <x v="104"/>
  </r>
  <r>
    <x v="6"/>
    <x v="6"/>
    <x v="213"/>
    <x v="1268"/>
  </r>
  <r>
    <x v="62"/>
    <x v="62"/>
    <x v="213"/>
    <x v="965"/>
  </r>
  <r>
    <x v="7"/>
    <x v="7"/>
    <x v="213"/>
    <x v="2054"/>
  </r>
  <r>
    <x v="37"/>
    <x v="37"/>
    <x v="213"/>
    <x v="222"/>
  </r>
  <r>
    <x v="8"/>
    <x v="8"/>
    <x v="213"/>
    <x v="197"/>
  </r>
  <r>
    <x v="38"/>
    <x v="38"/>
    <x v="213"/>
    <x v="611"/>
  </r>
  <r>
    <x v="10"/>
    <x v="10"/>
    <x v="213"/>
    <x v="2055"/>
  </r>
  <r>
    <x v="11"/>
    <x v="11"/>
    <x v="213"/>
    <x v="2056"/>
  </r>
  <r>
    <x v="28"/>
    <x v="28"/>
    <x v="213"/>
    <x v="1269"/>
  </r>
  <r>
    <x v="29"/>
    <x v="29"/>
    <x v="213"/>
    <x v="836"/>
  </r>
  <r>
    <x v="30"/>
    <x v="30"/>
    <x v="213"/>
    <x v="985"/>
  </r>
  <r>
    <x v="31"/>
    <x v="31"/>
    <x v="213"/>
    <x v="2057"/>
  </r>
  <r>
    <x v="46"/>
    <x v="46"/>
    <x v="213"/>
    <x v="98"/>
  </r>
  <r>
    <x v="14"/>
    <x v="14"/>
    <x v="213"/>
    <x v="98"/>
  </r>
  <r>
    <x v="78"/>
    <x v="78"/>
    <x v="213"/>
    <x v="111"/>
  </r>
  <r>
    <x v="83"/>
    <x v="83"/>
    <x v="213"/>
    <x v="40"/>
  </r>
  <r>
    <x v="16"/>
    <x v="16"/>
    <x v="213"/>
    <x v="62"/>
  </r>
  <r>
    <x v="76"/>
    <x v="76"/>
    <x v="214"/>
    <x v="469"/>
  </r>
  <r>
    <x v="2"/>
    <x v="2"/>
    <x v="214"/>
    <x v="508"/>
  </r>
  <r>
    <x v="20"/>
    <x v="20"/>
    <x v="214"/>
    <x v="65"/>
  </r>
  <r>
    <x v="21"/>
    <x v="21"/>
    <x v="214"/>
    <x v="704"/>
  </r>
  <r>
    <x v="3"/>
    <x v="3"/>
    <x v="214"/>
    <x v="44"/>
  </r>
  <r>
    <x v="4"/>
    <x v="4"/>
    <x v="214"/>
    <x v="234"/>
  </r>
  <r>
    <x v="52"/>
    <x v="52"/>
    <x v="214"/>
    <x v="421"/>
  </r>
  <r>
    <x v="87"/>
    <x v="87"/>
    <x v="214"/>
    <x v="945"/>
  </r>
  <r>
    <x v="5"/>
    <x v="5"/>
    <x v="214"/>
    <x v="1887"/>
  </r>
  <r>
    <x v="23"/>
    <x v="23"/>
    <x v="214"/>
    <x v="192"/>
  </r>
  <r>
    <x v="67"/>
    <x v="67"/>
    <x v="214"/>
    <x v="819"/>
  </r>
  <r>
    <x v="26"/>
    <x v="26"/>
    <x v="214"/>
    <x v="1030"/>
  </r>
  <r>
    <x v="98"/>
    <x v="98"/>
    <x v="214"/>
    <x v="641"/>
  </r>
  <r>
    <x v="37"/>
    <x v="37"/>
    <x v="214"/>
    <x v="91"/>
  </r>
  <r>
    <x v="8"/>
    <x v="8"/>
    <x v="214"/>
    <x v="238"/>
  </r>
  <r>
    <x v="9"/>
    <x v="9"/>
    <x v="214"/>
    <x v="148"/>
  </r>
  <r>
    <x v="68"/>
    <x v="68"/>
    <x v="214"/>
    <x v="2058"/>
  </r>
  <r>
    <x v="10"/>
    <x v="10"/>
    <x v="214"/>
    <x v="1258"/>
  </r>
  <r>
    <x v="11"/>
    <x v="11"/>
    <x v="214"/>
    <x v="730"/>
  </r>
  <r>
    <x v="28"/>
    <x v="28"/>
    <x v="214"/>
    <x v="185"/>
  </r>
  <r>
    <x v="29"/>
    <x v="29"/>
    <x v="214"/>
    <x v="357"/>
  </r>
  <r>
    <x v="72"/>
    <x v="72"/>
    <x v="214"/>
    <x v="2059"/>
  </r>
  <r>
    <x v="30"/>
    <x v="30"/>
    <x v="214"/>
    <x v="787"/>
  </r>
  <r>
    <x v="84"/>
    <x v="84"/>
    <x v="214"/>
    <x v="1280"/>
  </r>
  <r>
    <x v="91"/>
    <x v="91"/>
    <x v="214"/>
    <x v="308"/>
  </r>
  <r>
    <x v="64"/>
    <x v="64"/>
    <x v="214"/>
    <x v="503"/>
  </r>
  <r>
    <x v="46"/>
    <x v="46"/>
    <x v="214"/>
    <x v="1527"/>
  </r>
  <r>
    <x v="14"/>
    <x v="14"/>
    <x v="214"/>
    <x v="40"/>
  </r>
  <r>
    <x v="78"/>
    <x v="78"/>
    <x v="214"/>
    <x v="111"/>
  </r>
  <r>
    <x v="114"/>
    <x v="114"/>
    <x v="214"/>
    <x v="83"/>
  </r>
  <r>
    <x v="16"/>
    <x v="16"/>
    <x v="214"/>
    <x v="111"/>
  </r>
  <r>
    <x v="0"/>
    <x v="0"/>
    <x v="215"/>
    <x v="340"/>
  </r>
  <r>
    <x v="76"/>
    <x v="76"/>
    <x v="215"/>
    <x v="859"/>
  </r>
  <r>
    <x v="2"/>
    <x v="2"/>
    <x v="215"/>
    <x v="1239"/>
  </r>
  <r>
    <x v="20"/>
    <x v="20"/>
    <x v="215"/>
    <x v="320"/>
  </r>
  <r>
    <x v="21"/>
    <x v="21"/>
    <x v="215"/>
    <x v="1646"/>
  </r>
  <r>
    <x v="4"/>
    <x v="4"/>
    <x v="215"/>
    <x v="952"/>
  </r>
  <r>
    <x v="5"/>
    <x v="5"/>
    <x v="215"/>
    <x v="953"/>
  </r>
  <r>
    <x v="65"/>
    <x v="65"/>
    <x v="215"/>
    <x v="1906"/>
  </r>
  <r>
    <x v="23"/>
    <x v="23"/>
    <x v="215"/>
    <x v="979"/>
  </r>
  <r>
    <x v="55"/>
    <x v="55"/>
    <x v="215"/>
    <x v="2060"/>
  </r>
  <r>
    <x v="26"/>
    <x v="26"/>
    <x v="215"/>
    <x v="1030"/>
  </r>
  <r>
    <x v="74"/>
    <x v="74"/>
    <x v="215"/>
    <x v="664"/>
  </r>
  <r>
    <x v="62"/>
    <x v="62"/>
    <x v="215"/>
    <x v="912"/>
  </r>
  <r>
    <x v="7"/>
    <x v="7"/>
    <x v="215"/>
    <x v="7"/>
  </r>
  <r>
    <x v="37"/>
    <x v="37"/>
    <x v="215"/>
    <x v="178"/>
  </r>
  <r>
    <x v="8"/>
    <x v="8"/>
    <x v="215"/>
    <x v="799"/>
  </r>
  <r>
    <x v="9"/>
    <x v="9"/>
    <x v="215"/>
    <x v="1385"/>
  </r>
  <r>
    <x v="10"/>
    <x v="10"/>
    <x v="215"/>
    <x v="2061"/>
  </r>
  <r>
    <x v="11"/>
    <x v="11"/>
    <x v="215"/>
    <x v="899"/>
  </r>
  <r>
    <x v="29"/>
    <x v="29"/>
    <x v="215"/>
    <x v="628"/>
  </r>
  <r>
    <x v="72"/>
    <x v="72"/>
    <x v="215"/>
    <x v="2062"/>
  </r>
  <r>
    <x v="30"/>
    <x v="30"/>
    <x v="215"/>
    <x v="278"/>
  </r>
  <r>
    <x v="40"/>
    <x v="40"/>
    <x v="215"/>
    <x v="724"/>
  </r>
  <r>
    <x v="31"/>
    <x v="31"/>
    <x v="215"/>
    <x v="2041"/>
  </r>
  <r>
    <x v="73"/>
    <x v="73"/>
    <x v="215"/>
    <x v="1213"/>
  </r>
  <r>
    <x v="69"/>
    <x v="69"/>
    <x v="215"/>
    <x v="111"/>
  </r>
  <r>
    <x v="46"/>
    <x v="46"/>
    <x v="215"/>
    <x v="532"/>
  </r>
  <r>
    <x v="110"/>
    <x v="110"/>
    <x v="215"/>
    <x v="82"/>
  </r>
  <r>
    <x v="14"/>
    <x v="14"/>
    <x v="215"/>
    <x v="14"/>
  </r>
  <r>
    <x v="78"/>
    <x v="78"/>
    <x v="215"/>
    <x v="62"/>
  </r>
  <r>
    <x v="114"/>
    <x v="114"/>
    <x v="215"/>
    <x v="98"/>
  </r>
  <r>
    <x v="16"/>
    <x v="16"/>
    <x v="215"/>
    <x v="82"/>
  </r>
  <r>
    <x v="17"/>
    <x v="17"/>
    <x v="215"/>
    <x v="507"/>
  </r>
  <r>
    <x v="49"/>
    <x v="49"/>
    <x v="216"/>
    <x v="18"/>
  </r>
  <r>
    <x v="19"/>
    <x v="19"/>
    <x v="216"/>
    <x v="19"/>
  </r>
  <r>
    <x v="76"/>
    <x v="76"/>
    <x v="216"/>
    <x v="301"/>
  </r>
  <r>
    <x v="2"/>
    <x v="2"/>
    <x v="216"/>
    <x v="2"/>
  </r>
  <r>
    <x v="20"/>
    <x v="20"/>
    <x v="216"/>
    <x v="2063"/>
  </r>
  <r>
    <x v="21"/>
    <x v="21"/>
    <x v="216"/>
    <x v="1586"/>
  </r>
  <r>
    <x v="3"/>
    <x v="3"/>
    <x v="216"/>
    <x v="572"/>
  </r>
  <r>
    <x v="101"/>
    <x v="101"/>
    <x v="216"/>
    <x v="1318"/>
  </r>
  <r>
    <x v="4"/>
    <x v="4"/>
    <x v="216"/>
    <x v="2064"/>
  </r>
  <r>
    <x v="22"/>
    <x v="22"/>
    <x v="216"/>
    <x v="1287"/>
  </r>
  <r>
    <x v="5"/>
    <x v="5"/>
    <x v="216"/>
    <x v="2065"/>
  </r>
  <r>
    <x v="65"/>
    <x v="65"/>
    <x v="216"/>
    <x v="2066"/>
  </r>
  <r>
    <x v="23"/>
    <x v="23"/>
    <x v="216"/>
    <x v="305"/>
  </r>
  <r>
    <x v="67"/>
    <x v="67"/>
    <x v="216"/>
    <x v="819"/>
  </r>
  <r>
    <x v="26"/>
    <x v="26"/>
    <x v="216"/>
    <x v="932"/>
  </r>
  <r>
    <x v="86"/>
    <x v="86"/>
    <x v="216"/>
    <x v="796"/>
  </r>
  <r>
    <x v="74"/>
    <x v="74"/>
    <x v="216"/>
    <x v="104"/>
  </r>
  <r>
    <x v="98"/>
    <x v="98"/>
    <x v="216"/>
    <x v="1187"/>
  </r>
  <r>
    <x v="37"/>
    <x v="37"/>
    <x v="216"/>
    <x v="91"/>
  </r>
  <r>
    <x v="8"/>
    <x v="8"/>
    <x v="216"/>
    <x v="50"/>
  </r>
  <r>
    <x v="9"/>
    <x v="9"/>
    <x v="216"/>
    <x v="525"/>
  </r>
  <r>
    <x v="38"/>
    <x v="38"/>
    <x v="216"/>
    <x v="293"/>
  </r>
  <r>
    <x v="10"/>
    <x v="10"/>
    <x v="216"/>
    <x v="2067"/>
  </r>
  <r>
    <x v="11"/>
    <x v="11"/>
    <x v="216"/>
    <x v="612"/>
  </r>
  <r>
    <x v="28"/>
    <x v="28"/>
    <x v="216"/>
    <x v="292"/>
  </r>
  <r>
    <x v="29"/>
    <x v="29"/>
    <x v="216"/>
    <x v="907"/>
  </r>
  <r>
    <x v="43"/>
    <x v="43"/>
    <x v="216"/>
    <x v="1470"/>
  </r>
  <r>
    <x v="30"/>
    <x v="30"/>
    <x v="216"/>
    <x v="485"/>
  </r>
  <r>
    <x v="117"/>
    <x v="117"/>
    <x v="216"/>
    <x v="2068"/>
  </r>
  <r>
    <x v="31"/>
    <x v="31"/>
    <x v="216"/>
    <x v="37"/>
  </r>
  <r>
    <x v="64"/>
    <x v="64"/>
    <x v="216"/>
    <x v="1517"/>
  </r>
  <r>
    <x v="46"/>
    <x v="46"/>
    <x v="216"/>
    <x v="133"/>
  </r>
  <r>
    <x v="14"/>
    <x v="14"/>
    <x v="216"/>
    <x v="40"/>
  </r>
  <r>
    <x v="15"/>
    <x v="15"/>
    <x v="216"/>
    <x v="160"/>
  </r>
  <r>
    <x v="16"/>
    <x v="16"/>
    <x v="216"/>
    <x v="160"/>
  </r>
  <r>
    <x v="17"/>
    <x v="17"/>
    <x v="216"/>
    <x v="15"/>
  </r>
  <r>
    <x v="49"/>
    <x v="49"/>
    <x v="217"/>
    <x v="210"/>
  </r>
  <r>
    <x v="0"/>
    <x v="0"/>
    <x v="217"/>
    <x v="1354"/>
  </r>
  <r>
    <x v="1"/>
    <x v="1"/>
    <x v="217"/>
    <x v="134"/>
  </r>
  <r>
    <x v="2"/>
    <x v="2"/>
    <x v="217"/>
    <x v="1155"/>
  </r>
  <r>
    <x v="20"/>
    <x v="20"/>
    <x v="217"/>
    <x v="22"/>
  </r>
  <r>
    <x v="34"/>
    <x v="34"/>
    <x v="217"/>
    <x v="2069"/>
  </r>
  <r>
    <x v="21"/>
    <x v="21"/>
    <x v="217"/>
    <x v="2070"/>
  </r>
  <r>
    <x v="4"/>
    <x v="4"/>
    <x v="217"/>
    <x v="2071"/>
  </r>
  <r>
    <x v="52"/>
    <x v="52"/>
    <x v="217"/>
    <x v="764"/>
  </r>
  <r>
    <x v="5"/>
    <x v="5"/>
    <x v="217"/>
    <x v="793"/>
  </r>
  <r>
    <x v="65"/>
    <x v="65"/>
    <x v="217"/>
    <x v="1503"/>
  </r>
  <r>
    <x v="23"/>
    <x v="23"/>
    <x v="217"/>
    <x v="1510"/>
  </r>
  <r>
    <x v="26"/>
    <x v="26"/>
    <x v="217"/>
    <x v="1030"/>
  </r>
  <r>
    <x v="79"/>
    <x v="79"/>
    <x v="217"/>
    <x v="1936"/>
  </r>
  <r>
    <x v="61"/>
    <x v="61"/>
    <x v="217"/>
    <x v="2024"/>
  </r>
  <r>
    <x v="74"/>
    <x v="74"/>
    <x v="217"/>
    <x v="237"/>
  </r>
  <r>
    <x v="6"/>
    <x v="6"/>
    <x v="217"/>
    <x v="90"/>
  </r>
  <r>
    <x v="7"/>
    <x v="7"/>
    <x v="217"/>
    <x v="122"/>
  </r>
  <r>
    <x v="37"/>
    <x v="37"/>
    <x v="217"/>
    <x v="2072"/>
  </r>
  <r>
    <x v="9"/>
    <x v="9"/>
    <x v="217"/>
    <x v="2073"/>
  </r>
  <r>
    <x v="38"/>
    <x v="38"/>
    <x v="217"/>
    <x v="2074"/>
  </r>
  <r>
    <x v="10"/>
    <x v="10"/>
    <x v="217"/>
    <x v="2075"/>
  </r>
  <r>
    <x v="27"/>
    <x v="27"/>
    <x v="217"/>
    <x v="1993"/>
  </r>
  <r>
    <x v="11"/>
    <x v="11"/>
    <x v="217"/>
    <x v="770"/>
  </r>
  <r>
    <x v="12"/>
    <x v="12"/>
    <x v="217"/>
    <x v="949"/>
  </r>
  <r>
    <x v="29"/>
    <x v="29"/>
    <x v="217"/>
    <x v="2076"/>
  </r>
  <r>
    <x v="72"/>
    <x v="72"/>
    <x v="217"/>
    <x v="204"/>
  </r>
  <r>
    <x v="30"/>
    <x v="30"/>
    <x v="217"/>
    <x v="1689"/>
  </r>
  <r>
    <x v="81"/>
    <x v="81"/>
    <x v="217"/>
    <x v="2077"/>
  </r>
  <r>
    <x v="84"/>
    <x v="84"/>
    <x v="217"/>
    <x v="2078"/>
  </r>
  <r>
    <x v="117"/>
    <x v="117"/>
    <x v="217"/>
    <x v="972"/>
  </r>
  <r>
    <x v="64"/>
    <x v="64"/>
    <x v="217"/>
    <x v="337"/>
  </r>
  <r>
    <x v="73"/>
    <x v="73"/>
    <x v="217"/>
    <x v="207"/>
  </r>
  <r>
    <x v="45"/>
    <x v="45"/>
    <x v="217"/>
    <x v="2079"/>
  </r>
  <r>
    <x v="51"/>
    <x v="51"/>
    <x v="217"/>
    <x v="96"/>
  </r>
  <r>
    <x v="46"/>
    <x v="46"/>
    <x v="217"/>
    <x v="245"/>
  </r>
  <r>
    <x v="14"/>
    <x v="14"/>
    <x v="217"/>
    <x v="230"/>
  </r>
  <r>
    <x v="78"/>
    <x v="78"/>
    <x v="217"/>
    <x v="62"/>
  </r>
  <r>
    <x v="16"/>
    <x v="16"/>
    <x v="217"/>
    <x v="14"/>
  </r>
  <r>
    <x v="17"/>
    <x v="17"/>
    <x v="217"/>
    <x v="85"/>
  </r>
  <r>
    <x v="19"/>
    <x v="19"/>
    <x v="218"/>
    <x v="1788"/>
  </r>
  <r>
    <x v="76"/>
    <x v="76"/>
    <x v="218"/>
    <x v="977"/>
  </r>
  <r>
    <x v="2"/>
    <x v="2"/>
    <x v="218"/>
    <x v="471"/>
  </r>
  <r>
    <x v="20"/>
    <x v="20"/>
    <x v="218"/>
    <x v="65"/>
  </r>
  <r>
    <x v="21"/>
    <x v="21"/>
    <x v="218"/>
    <x v="647"/>
  </r>
  <r>
    <x v="101"/>
    <x v="101"/>
    <x v="218"/>
    <x v="1318"/>
  </r>
  <r>
    <x v="4"/>
    <x v="4"/>
    <x v="218"/>
    <x v="742"/>
  </r>
  <r>
    <x v="52"/>
    <x v="52"/>
    <x v="218"/>
    <x v="2080"/>
  </r>
  <r>
    <x v="87"/>
    <x v="87"/>
    <x v="218"/>
    <x v="904"/>
  </r>
  <r>
    <x v="23"/>
    <x v="23"/>
    <x v="218"/>
    <x v="1989"/>
  </r>
  <r>
    <x v="26"/>
    <x v="26"/>
    <x v="218"/>
    <x v="547"/>
  </r>
  <r>
    <x v="92"/>
    <x v="92"/>
    <x v="218"/>
    <x v="607"/>
  </r>
  <r>
    <x v="93"/>
    <x v="93"/>
    <x v="218"/>
    <x v="1326"/>
  </r>
  <r>
    <x v="71"/>
    <x v="71"/>
    <x v="218"/>
    <x v="308"/>
  </r>
  <r>
    <x v="38"/>
    <x v="38"/>
    <x v="218"/>
    <x v="1506"/>
  </r>
  <r>
    <x v="10"/>
    <x v="10"/>
    <x v="218"/>
    <x v="1905"/>
  </r>
  <r>
    <x v="27"/>
    <x v="27"/>
    <x v="218"/>
    <x v="2081"/>
  </r>
  <r>
    <x v="11"/>
    <x v="11"/>
    <x v="218"/>
    <x v="2082"/>
  </r>
  <r>
    <x v="12"/>
    <x v="12"/>
    <x v="218"/>
    <x v="1052"/>
  </r>
  <r>
    <x v="39"/>
    <x v="39"/>
    <x v="218"/>
    <x v="2083"/>
  </r>
  <r>
    <x v="29"/>
    <x v="29"/>
    <x v="218"/>
    <x v="357"/>
  </r>
  <r>
    <x v="43"/>
    <x v="43"/>
    <x v="218"/>
    <x v="1470"/>
  </r>
  <r>
    <x v="30"/>
    <x v="30"/>
    <x v="218"/>
    <x v="995"/>
  </r>
  <r>
    <x v="44"/>
    <x v="44"/>
    <x v="218"/>
    <x v="257"/>
  </r>
  <r>
    <x v="51"/>
    <x v="51"/>
    <x v="218"/>
    <x v="96"/>
  </r>
  <r>
    <x v="69"/>
    <x v="69"/>
    <x v="218"/>
    <x v="507"/>
  </r>
  <r>
    <x v="46"/>
    <x v="46"/>
    <x v="218"/>
    <x v="500"/>
  </r>
  <r>
    <x v="14"/>
    <x v="14"/>
    <x v="218"/>
    <x v="15"/>
  </r>
  <r>
    <x v="16"/>
    <x v="16"/>
    <x v="218"/>
    <x v="62"/>
  </r>
  <r>
    <x v="17"/>
    <x v="17"/>
    <x v="218"/>
    <x v="63"/>
  </r>
  <r>
    <x v="76"/>
    <x v="76"/>
    <x v="219"/>
    <x v="561"/>
  </r>
  <r>
    <x v="2"/>
    <x v="2"/>
    <x v="219"/>
    <x v="219"/>
  </r>
  <r>
    <x v="20"/>
    <x v="20"/>
    <x v="219"/>
    <x v="2084"/>
  </r>
  <r>
    <x v="21"/>
    <x v="21"/>
    <x v="219"/>
    <x v="1342"/>
  </r>
  <r>
    <x v="3"/>
    <x v="3"/>
    <x v="219"/>
    <x v="44"/>
  </r>
  <r>
    <x v="4"/>
    <x v="4"/>
    <x v="219"/>
    <x v="2085"/>
  </r>
  <r>
    <x v="5"/>
    <x v="5"/>
    <x v="219"/>
    <x v="2086"/>
  </r>
  <r>
    <x v="67"/>
    <x v="67"/>
    <x v="219"/>
    <x v="522"/>
  </r>
  <r>
    <x v="61"/>
    <x v="61"/>
    <x v="219"/>
    <x v="2087"/>
  </r>
  <r>
    <x v="36"/>
    <x v="36"/>
    <x v="219"/>
    <x v="2088"/>
  </r>
  <r>
    <x v="6"/>
    <x v="6"/>
    <x v="219"/>
    <x v="6"/>
  </r>
  <r>
    <x v="94"/>
    <x v="94"/>
    <x v="219"/>
    <x v="1325"/>
  </r>
  <r>
    <x v="37"/>
    <x v="37"/>
    <x v="219"/>
    <x v="2089"/>
  </r>
  <r>
    <x v="8"/>
    <x v="8"/>
    <x v="219"/>
    <x v="30"/>
  </r>
  <r>
    <x v="9"/>
    <x v="9"/>
    <x v="219"/>
    <x v="218"/>
  </r>
  <r>
    <x v="10"/>
    <x v="10"/>
    <x v="219"/>
    <x v="1559"/>
  </r>
  <r>
    <x v="27"/>
    <x v="27"/>
    <x v="219"/>
    <x v="2090"/>
  </r>
  <r>
    <x v="11"/>
    <x v="11"/>
    <x v="219"/>
    <x v="200"/>
  </r>
  <r>
    <x v="12"/>
    <x v="12"/>
    <x v="219"/>
    <x v="275"/>
  </r>
  <r>
    <x v="29"/>
    <x v="29"/>
    <x v="219"/>
    <x v="907"/>
  </r>
  <r>
    <x v="30"/>
    <x v="30"/>
    <x v="219"/>
    <x v="2091"/>
  </r>
  <r>
    <x v="97"/>
    <x v="97"/>
    <x v="219"/>
    <x v="673"/>
  </r>
  <r>
    <x v="81"/>
    <x v="81"/>
    <x v="219"/>
    <x v="2092"/>
  </r>
  <r>
    <x v="84"/>
    <x v="84"/>
    <x v="219"/>
    <x v="1280"/>
  </r>
  <r>
    <x v="45"/>
    <x v="45"/>
    <x v="219"/>
    <x v="80"/>
  </r>
  <r>
    <x v="51"/>
    <x v="51"/>
    <x v="219"/>
    <x v="1720"/>
  </r>
  <r>
    <x v="69"/>
    <x v="69"/>
    <x v="219"/>
    <x v="84"/>
  </r>
  <r>
    <x v="46"/>
    <x v="46"/>
    <x v="219"/>
    <x v="392"/>
  </r>
  <r>
    <x v="14"/>
    <x v="14"/>
    <x v="219"/>
    <x v="40"/>
  </r>
  <r>
    <x v="17"/>
    <x v="17"/>
    <x v="219"/>
    <x v="230"/>
  </r>
  <r>
    <x v="2"/>
    <x v="2"/>
    <x v="220"/>
    <x v="81"/>
  </r>
  <r>
    <x v="21"/>
    <x v="21"/>
    <x v="220"/>
    <x v="2093"/>
  </r>
  <r>
    <x v="3"/>
    <x v="3"/>
    <x v="220"/>
    <x v="816"/>
  </r>
  <r>
    <x v="4"/>
    <x v="4"/>
    <x v="220"/>
    <x v="363"/>
  </r>
  <r>
    <x v="22"/>
    <x v="22"/>
    <x v="220"/>
    <x v="1883"/>
  </r>
  <r>
    <x v="5"/>
    <x v="5"/>
    <x v="220"/>
    <x v="2086"/>
  </r>
  <r>
    <x v="23"/>
    <x v="23"/>
    <x v="220"/>
    <x v="2094"/>
  </r>
  <r>
    <x v="67"/>
    <x v="67"/>
    <x v="220"/>
    <x v="576"/>
  </r>
  <r>
    <x v="25"/>
    <x v="25"/>
    <x v="220"/>
    <x v="2095"/>
  </r>
  <r>
    <x v="26"/>
    <x v="26"/>
    <x v="220"/>
    <x v="1207"/>
  </r>
  <r>
    <x v="7"/>
    <x v="7"/>
    <x v="220"/>
    <x v="735"/>
  </r>
  <r>
    <x v="37"/>
    <x v="37"/>
    <x v="220"/>
    <x v="2096"/>
  </r>
  <r>
    <x v="9"/>
    <x v="9"/>
    <x v="220"/>
    <x v="486"/>
  </r>
  <r>
    <x v="10"/>
    <x v="10"/>
    <x v="220"/>
    <x v="2097"/>
  </r>
  <r>
    <x v="11"/>
    <x v="11"/>
    <x v="220"/>
    <x v="2098"/>
  </r>
  <r>
    <x v="29"/>
    <x v="29"/>
    <x v="220"/>
    <x v="699"/>
  </r>
  <r>
    <x v="30"/>
    <x v="30"/>
    <x v="220"/>
    <x v="2099"/>
  </r>
  <r>
    <x v="46"/>
    <x v="46"/>
    <x v="220"/>
    <x v="340"/>
  </r>
  <r>
    <x v="14"/>
    <x v="14"/>
    <x v="220"/>
    <x v="82"/>
  </r>
  <r>
    <x v="78"/>
    <x v="78"/>
    <x v="220"/>
    <x v="62"/>
  </r>
  <r>
    <x v="15"/>
    <x v="15"/>
    <x v="220"/>
    <x v="62"/>
  </r>
  <r>
    <x v="16"/>
    <x v="16"/>
    <x v="220"/>
    <x v="111"/>
  </r>
  <r>
    <x v="76"/>
    <x v="76"/>
    <x v="221"/>
    <x v="561"/>
  </r>
  <r>
    <x v="2"/>
    <x v="2"/>
    <x v="221"/>
    <x v="113"/>
  </r>
  <r>
    <x v="20"/>
    <x v="20"/>
    <x v="221"/>
    <x v="22"/>
  </r>
  <r>
    <x v="21"/>
    <x v="21"/>
    <x v="221"/>
    <x v="43"/>
  </r>
  <r>
    <x v="101"/>
    <x v="101"/>
    <x v="221"/>
    <x v="1318"/>
  </r>
  <r>
    <x v="4"/>
    <x v="4"/>
    <x v="221"/>
    <x v="454"/>
  </r>
  <r>
    <x v="5"/>
    <x v="5"/>
    <x v="221"/>
    <x v="549"/>
  </r>
  <r>
    <x v="23"/>
    <x v="23"/>
    <x v="221"/>
    <x v="651"/>
  </r>
  <r>
    <x v="55"/>
    <x v="55"/>
    <x v="221"/>
    <x v="1014"/>
  </r>
  <r>
    <x v="67"/>
    <x v="67"/>
    <x v="221"/>
    <x v="2100"/>
  </r>
  <r>
    <x v="25"/>
    <x v="25"/>
    <x v="221"/>
    <x v="236"/>
  </r>
  <r>
    <x v="86"/>
    <x v="86"/>
    <x v="221"/>
    <x v="577"/>
  </r>
  <r>
    <x v="36"/>
    <x v="36"/>
    <x v="221"/>
    <x v="2101"/>
  </r>
  <r>
    <x v="74"/>
    <x v="74"/>
    <x v="221"/>
    <x v="104"/>
  </r>
  <r>
    <x v="37"/>
    <x v="37"/>
    <x v="221"/>
    <x v="2102"/>
  </r>
  <r>
    <x v="9"/>
    <x v="9"/>
    <x v="221"/>
    <x v="387"/>
  </r>
  <r>
    <x v="10"/>
    <x v="10"/>
    <x v="221"/>
    <x v="53"/>
  </r>
  <r>
    <x v="11"/>
    <x v="11"/>
    <x v="221"/>
    <x v="2103"/>
  </r>
  <r>
    <x v="12"/>
    <x v="12"/>
    <x v="221"/>
    <x v="12"/>
  </r>
  <r>
    <x v="29"/>
    <x v="29"/>
    <x v="221"/>
    <x v="872"/>
  </r>
  <r>
    <x v="72"/>
    <x v="72"/>
    <x v="221"/>
    <x v="1403"/>
  </r>
  <r>
    <x v="30"/>
    <x v="30"/>
    <x v="221"/>
    <x v="1471"/>
  </r>
  <r>
    <x v="84"/>
    <x v="84"/>
    <x v="221"/>
    <x v="501"/>
  </r>
  <r>
    <x v="32"/>
    <x v="32"/>
    <x v="221"/>
    <x v="467"/>
  </r>
  <r>
    <x v="51"/>
    <x v="51"/>
    <x v="221"/>
    <x v="807"/>
  </r>
  <r>
    <x v="69"/>
    <x v="69"/>
    <x v="221"/>
    <x v="15"/>
  </r>
  <r>
    <x v="46"/>
    <x v="46"/>
    <x v="221"/>
    <x v="1232"/>
  </r>
  <r>
    <x v="14"/>
    <x v="14"/>
    <x v="221"/>
    <x v="16"/>
  </r>
  <r>
    <x v="16"/>
    <x v="16"/>
    <x v="221"/>
    <x v="14"/>
  </r>
  <r>
    <x v="17"/>
    <x v="17"/>
    <x v="221"/>
    <x v="1175"/>
  </r>
  <r>
    <x v="19"/>
    <x v="19"/>
    <x v="222"/>
    <x v="2104"/>
  </r>
  <r>
    <x v="0"/>
    <x v="0"/>
    <x v="222"/>
    <x v="1189"/>
  </r>
  <r>
    <x v="76"/>
    <x v="76"/>
    <x v="222"/>
    <x v="2105"/>
  </r>
  <r>
    <x v="2"/>
    <x v="2"/>
    <x v="222"/>
    <x v="21"/>
  </r>
  <r>
    <x v="34"/>
    <x v="34"/>
    <x v="222"/>
    <x v="189"/>
  </r>
  <r>
    <x v="21"/>
    <x v="21"/>
    <x v="222"/>
    <x v="2106"/>
  </r>
  <r>
    <x v="3"/>
    <x v="3"/>
    <x v="222"/>
    <x v="1927"/>
  </r>
  <r>
    <x v="35"/>
    <x v="35"/>
    <x v="222"/>
    <x v="2107"/>
  </r>
  <r>
    <x v="4"/>
    <x v="4"/>
    <x v="222"/>
    <x v="1622"/>
  </r>
  <r>
    <x v="5"/>
    <x v="5"/>
    <x v="222"/>
    <x v="721"/>
  </r>
  <r>
    <x v="65"/>
    <x v="65"/>
    <x v="222"/>
    <x v="2108"/>
  </r>
  <r>
    <x v="23"/>
    <x v="23"/>
    <x v="222"/>
    <x v="1139"/>
  </r>
  <r>
    <x v="70"/>
    <x v="70"/>
    <x v="222"/>
    <x v="2109"/>
  </r>
  <r>
    <x v="25"/>
    <x v="25"/>
    <x v="222"/>
    <x v="194"/>
  </r>
  <r>
    <x v="86"/>
    <x v="86"/>
    <x v="222"/>
    <x v="796"/>
  </r>
  <r>
    <x v="6"/>
    <x v="6"/>
    <x v="222"/>
    <x v="1540"/>
  </r>
  <r>
    <x v="63"/>
    <x v="63"/>
    <x v="222"/>
    <x v="2110"/>
  </r>
  <r>
    <x v="37"/>
    <x v="37"/>
    <x v="222"/>
    <x v="91"/>
  </r>
  <r>
    <x v="38"/>
    <x v="38"/>
    <x v="222"/>
    <x v="2111"/>
  </r>
  <r>
    <x v="10"/>
    <x v="10"/>
    <x v="222"/>
    <x v="2112"/>
  </r>
  <r>
    <x v="27"/>
    <x v="27"/>
    <x v="222"/>
    <x v="2113"/>
  </r>
  <r>
    <x v="11"/>
    <x v="11"/>
    <x v="222"/>
    <x v="291"/>
  </r>
  <r>
    <x v="53"/>
    <x v="53"/>
    <x v="222"/>
    <x v="2114"/>
  </r>
  <r>
    <x v="28"/>
    <x v="28"/>
    <x v="222"/>
    <x v="2115"/>
  </r>
  <r>
    <x v="12"/>
    <x v="12"/>
    <x v="222"/>
    <x v="429"/>
  </r>
  <r>
    <x v="29"/>
    <x v="29"/>
    <x v="222"/>
    <x v="227"/>
  </r>
  <r>
    <x v="72"/>
    <x v="72"/>
    <x v="222"/>
    <x v="2116"/>
  </r>
  <r>
    <x v="30"/>
    <x v="30"/>
    <x v="222"/>
    <x v="1815"/>
  </r>
  <r>
    <x v="31"/>
    <x v="31"/>
    <x v="222"/>
    <x v="295"/>
  </r>
  <r>
    <x v="45"/>
    <x v="45"/>
    <x v="222"/>
    <x v="2117"/>
  </r>
  <r>
    <x v="69"/>
    <x v="69"/>
    <x v="222"/>
    <x v="500"/>
  </r>
  <r>
    <x v="46"/>
    <x v="46"/>
    <x v="222"/>
    <x v="533"/>
  </r>
  <r>
    <x v="14"/>
    <x v="14"/>
    <x v="222"/>
    <x v="230"/>
  </r>
  <r>
    <x v="78"/>
    <x v="78"/>
    <x v="222"/>
    <x v="62"/>
  </r>
  <r>
    <x v="15"/>
    <x v="15"/>
    <x v="222"/>
    <x v="82"/>
  </r>
  <r>
    <x v="16"/>
    <x v="16"/>
    <x v="222"/>
    <x v="111"/>
  </r>
  <r>
    <x v="19"/>
    <x v="19"/>
    <x v="223"/>
    <x v="19"/>
  </r>
  <r>
    <x v="0"/>
    <x v="0"/>
    <x v="223"/>
    <x v="1544"/>
  </r>
  <r>
    <x v="76"/>
    <x v="76"/>
    <x v="223"/>
    <x v="2118"/>
  </r>
  <r>
    <x v="2"/>
    <x v="2"/>
    <x v="223"/>
    <x v="2119"/>
  </r>
  <r>
    <x v="20"/>
    <x v="20"/>
    <x v="223"/>
    <x v="65"/>
  </r>
  <r>
    <x v="34"/>
    <x v="34"/>
    <x v="223"/>
    <x v="1100"/>
  </r>
  <r>
    <x v="21"/>
    <x v="21"/>
    <x v="223"/>
    <x v="2120"/>
  </r>
  <r>
    <x v="35"/>
    <x v="35"/>
    <x v="223"/>
    <x v="1440"/>
  </r>
  <r>
    <x v="4"/>
    <x v="4"/>
    <x v="223"/>
    <x v="46"/>
  </r>
  <r>
    <x v="87"/>
    <x v="87"/>
    <x v="223"/>
    <x v="520"/>
  </r>
  <r>
    <x v="23"/>
    <x v="23"/>
    <x v="223"/>
    <x v="894"/>
  </r>
  <r>
    <x v="70"/>
    <x v="70"/>
    <x v="223"/>
    <x v="1991"/>
  </r>
  <r>
    <x v="26"/>
    <x v="26"/>
    <x v="223"/>
    <x v="89"/>
  </r>
  <r>
    <x v="62"/>
    <x v="62"/>
    <x v="223"/>
    <x v="1335"/>
  </r>
  <r>
    <x v="7"/>
    <x v="7"/>
    <x v="223"/>
    <x v="934"/>
  </r>
  <r>
    <x v="98"/>
    <x v="98"/>
    <x v="223"/>
    <x v="1024"/>
  </r>
  <r>
    <x v="37"/>
    <x v="37"/>
    <x v="223"/>
    <x v="91"/>
  </r>
  <r>
    <x v="8"/>
    <x v="8"/>
    <x v="223"/>
    <x v="50"/>
  </r>
  <r>
    <x v="10"/>
    <x v="10"/>
    <x v="223"/>
    <x v="2121"/>
  </r>
  <r>
    <x v="11"/>
    <x v="11"/>
    <x v="223"/>
    <x v="2122"/>
  </r>
  <r>
    <x v="28"/>
    <x v="28"/>
    <x v="223"/>
    <x v="1599"/>
  </r>
  <r>
    <x v="39"/>
    <x v="39"/>
    <x v="223"/>
    <x v="606"/>
  </r>
  <r>
    <x v="29"/>
    <x v="29"/>
    <x v="223"/>
    <x v="836"/>
  </r>
  <r>
    <x v="30"/>
    <x v="30"/>
    <x v="223"/>
    <x v="36"/>
  </r>
  <r>
    <x v="97"/>
    <x v="97"/>
    <x v="223"/>
    <x v="1154"/>
  </r>
  <r>
    <x v="81"/>
    <x v="81"/>
    <x v="223"/>
    <x v="2123"/>
  </r>
  <r>
    <x v="32"/>
    <x v="32"/>
    <x v="223"/>
    <x v="487"/>
  </r>
  <r>
    <x v="46"/>
    <x v="46"/>
    <x v="223"/>
    <x v="2124"/>
  </r>
  <r>
    <x v="14"/>
    <x v="14"/>
    <x v="223"/>
    <x v="360"/>
  </r>
  <r>
    <x v="78"/>
    <x v="78"/>
    <x v="223"/>
    <x v="507"/>
  </r>
  <r>
    <x v="16"/>
    <x v="16"/>
    <x v="223"/>
    <x v="62"/>
  </r>
  <r>
    <x v="17"/>
    <x v="17"/>
    <x v="223"/>
    <x v="16"/>
  </r>
  <r>
    <x v="2"/>
    <x v="2"/>
    <x v="224"/>
    <x v="616"/>
  </r>
  <r>
    <x v="20"/>
    <x v="20"/>
    <x v="224"/>
    <x v="2063"/>
  </r>
  <r>
    <x v="34"/>
    <x v="34"/>
    <x v="224"/>
    <x v="1027"/>
  </r>
  <r>
    <x v="3"/>
    <x v="3"/>
    <x v="224"/>
    <x v="518"/>
  </r>
  <r>
    <x v="4"/>
    <x v="4"/>
    <x v="224"/>
    <x v="166"/>
  </r>
  <r>
    <x v="5"/>
    <x v="5"/>
    <x v="224"/>
    <x v="2125"/>
  </r>
  <r>
    <x v="23"/>
    <x v="23"/>
    <x v="224"/>
    <x v="1899"/>
  </r>
  <r>
    <x v="55"/>
    <x v="55"/>
    <x v="224"/>
    <x v="1587"/>
  </r>
  <r>
    <x v="24"/>
    <x v="24"/>
    <x v="224"/>
    <x v="2126"/>
  </r>
  <r>
    <x v="70"/>
    <x v="70"/>
    <x v="224"/>
    <x v="1256"/>
  </r>
  <r>
    <x v="67"/>
    <x v="67"/>
    <x v="224"/>
    <x v="2127"/>
  </r>
  <r>
    <x v="25"/>
    <x v="25"/>
    <x v="224"/>
    <x v="1587"/>
  </r>
  <r>
    <x v="26"/>
    <x v="26"/>
    <x v="224"/>
    <x v="601"/>
  </r>
  <r>
    <x v="36"/>
    <x v="36"/>
    <x v="224"/>
    <x v="1802"/>
  </r>
  <r>
    <x v="74"/>
    <x v="74"/>
    <x v="224"/>
    <x v="2128"/>
  </r>
  <r>
    <x v="6"/>
    <x v="6"/>
    <x v="224"/>
    <x v="6"/>
  </r>
  <r>
    <x v="37"/>
    <x v="37"/>
    <x v="224"/>
    <x v="2129"/>
  </r>
  <r>
    <x v="8"/>
    <x v="8"/>
    <x v="224"/>
    <x v="50"/>
  </r>
  <r>
    <x v="9"/>
    <x v="9"/>
    <x v="224"/>
    <x v="9"/>
  </r>
  <r>
    <x v="38"/>
    <x v="38"/>
    <x v="224"/>
    <x v="2130"/>
  </r>
  <r>
    <x v="10"/>
    <x v="10"/>
    <x v="224"/>
    <x v="2131"/>
  </r>
  <r>
    <x v="103"/>
    <x v="103"/>
    <x v="224"/>
    <x v="907"/>
  </r>
  <r>
    <x v="11"/>
    <x v="11"/>
    <x v="224"/>
    <x v="2132"/>
  </r>
  <r>
    <x v="28"/>
    <x v="28"/>
    <x v="224"/>
    <x v="185"/>
  </r>
  <r>
    <x v="12"/>
    <x v="12"/>
    <x v="224"/>
    <x v="2133"/>
  </r>
  <r>
    <x v="29"/>
    <x v="29"/>
    <x v="224"/>
    <x v="1862"/>
  </r>
  <r>
    <x v="43"/>
    <x v="43"/>
    <x v="224"/>
    <x v="1039"/>
  </r>
  <r>
    <x v="30"/>
    <x v="30"/>
    <x v="224"/>
    <x v="1105"/>
  </r>
  <r>
    <x v="117"/>
    <x v="117"/>
    <x v="224"/>
    <x v="1376"/>
  </r>
  <r>
    <x v="32"/>
    <x v="32"/>
    <x v="224"/>
    <x v="1380"/>
  </r>
  <r>
    <x v="69"/>
    <x v="69"/>
    <x v="224"/>
    <x v="62"/>
  </r>
  <r>
    <x v="46"/>
    <x v="46"/>
    <x v="224"/>
    <x v="159"/>
  </r>
  <r>
    <x v="78"/>
    <x v="78"/>
    <x v="224"/>
    <x v="62"/>
  </r>
  <r>
    <x v="15"/>
    <x v="15"/>
    <x v="224"/>
    <x v="82"/>
  </r>
  <r>
    <x v="16"/>
    <x v="16"/>
    <x v="224"/>
    <x v="210"/>
  </r>
  <r>
    <x v="0"/>
    <x v="0"/>
    <x v="225"/>
    <x v="1670"/>
  </r>
  <r>
    <x v="1"/>
    <x v="1"/>
    <x v="225"/>
    <x v="927"/>
  </r>
  <r>
    <x v="2"/>
    <x v="2"/>
    <x v="225"/>
    <x v="2134"/>
  </r>
  <r>
    <x v="20"/>
    <x v="20"/>
    <x v="225"/>
    <x v="1366"/>
  </r>
  <r>
    <x v="4"/>
    <x v="4"/>
    <x v="225"/>
    <x v="322"/>
  </r>
  <r>
    <x v="5"/>
    <x v="5"/>
    <x v="225"/>
    <x v="523"/>
  </r>
  <r>
    <x v="25"/>
    <x v="25"/>
    <x v="225"/>
    <x v="1192"/>
  </r>
  <r>
    <x v="86"/>
    <x v="86"/>
    <x v="225"/>
    <x v="577"/>
  </r>
  <r>
    <x v="57"/>
    <x v="57"/>
    <x v="225"/>
    <x v="25"/>
  </r>
  <r>
    <x v="74"/>
    <x v="74"/>
    <x v="225"/>
    <x v="237"/>
  </r>
  <r>
    <x v="7"/>
    <x v="7"/>
    <x v="225"/>
    <x v="7"/>
  </r>
  <r>
    <x v="37"/>
    <x v="37"/>
    <x v="225"/>
    <x v="2135"/>
  </r>
  <r>
    <x v="8"/>
    <x v="8"/>
    <x v="225"/>
    <x v="50"/>
  </r>
  <r>
    <x v="9"/>
    <x v="9"/>
    <x v="225"/>
    <x v="2136"/>
  </r>
  <r>
    <x v="68"/>
    <x v="68"/>
    <x v="225"/>
    <x v="1838"/>
  </r>
  <r>
    <x v="10"/>
    <x v="10"/>
    <x v="225"/>
    <x v="2137"/>
  </r>
  <r>
    <x v="11"/>
    <x v="11"/>
    <x v="225"/>
    <x v="2122"/>
  </r>
  <r>
    <x v="28"/>
    <x v="28"/>
    <x v="225"/>
    <x v="2138"/>
  </r>
  <r>
    <x v="12"/>
    <x v="12"/>
    <x v="225"/>
    <x v="1161"/>
  </r>
  <r>
    <x v="29"/>
    <x v="29"/>
    <x v="225"/>
    <x v="1732"/>
  </r>
  <r>
    <x v="72"/>
    <x v="72"/>
    <x v="225"/>
    <x v="2139"/>
  </r>
  <r>
    <x v="30"/>
    <x v="30"/>
    <x v="225"/>
    <x v="1317"/>
  </r>
  <r>
    <x v="97"/>
    <x v="97"/>
    <x v="225"/>
    <x v="2140"/>
  </r>
  <r>
    <x v="64"/>
    <x v="64"/>
    <x v="225"/>
    <x v="775"/>
  </r>
  <r>
    <x v="32"/>
    <x v="32"/>
    <x v="225"/>
    <x v="2019"/>
  </r>
  <r>
    <x v="96"/>
    <x v="96"/>
    <x v="225"/>
    <x v="40"/>
  </r>
  <r>
    <x v="46"/>
    <x v="46"/>
    <x v="225"/>
    <x v="376"/>
  </r>
  <r>
    <x v="14"/>
    <x v="14"/>
    <x v="225"/>
    <x v="40"/>
  </r>
  <r>
    <x v="78"/>
    <x v="78"/>
    <x v="225"/>
    <x v="160"/>
  </r>
  <r>
    <x v="15"/>
    <x v="15"/>
    <x v="225"/>
    <x v="82"/>
  </r>
  <r>
    <x v="114"/>
    <x v="114"/>
    <x v="225"/>
    <x v="111"/>
  </r>
  <r>
    <x v="16"/>
    <x v="16"/>
    <x v="225"/>
    <x v="500"/>
  </r>
  <r>
    <x v="17"/>
    <x v="17"/>
    <x v="225"/>
    <x v="15"/>
  </r>
  <r>
    <x v="0"/>
    <x v="0"/>
    <x v="226"/>
    <x v="1544"/>
  </r>
  <r>
    <x v="2"/>
    <x v="2"/>
    <x v="226"/>
    <x v="219"/>
  </r>
  <r>
    <x v="20"/>
    <x v="20"/>
    <x v="226"/>
    <x v="417"/>
  </r>
  <r>
    <x v="4"/>
    <x v="4"/>
    <x v="226"/>
    <x v="1818"/>
  </r>
  <r>
    <x v="22"/>
    <x v="22"/>
    <x v="226"/>
    <x v="2141"/>
  </r>
  <r>
    <x v="5"/>
    <x v="5"/>
    <x v="226"/>
    <x v="1545"/>
  </r>
  <r>
    <x v="23"/>
    <x v="23"/>
    <x v="226"/>
    <x v="2142"/>
  </r>
  <r>
    <x v="67"/>
    <x v="67"/>
    <x v="226"/>
    <x v="248"/>
  </r>
  <r>
    <x v="25"/>
    <x v="25"/>
    <x v="226"/>
    <x v="1568"/>
  </r>
  <r>
    <x v="26"/>
    <x v="26"/>
    <x v="226"/>
    <x v="864"/>
  </r>
  <r>
    <x v="79"/>
    <x v="79"/>
    <x v="226"/>
    <x v="1456"/>
  </r>
  <r>
    <x v="86"/>
    <x v="86"/>
    <x v="226"/>
    <x v="565"/>
  </r>
  <r>
    <x v="74"/>
    <x v="74"/>
    <x v="226"/>
    <x v="285"/>
  </r>
  <r>
    <x v="37"/>
    <x v="37"/>
    <x v="226"/>
    <x v="351"/>
  </r>
  <r>
    <x v="8"/>
    <x v="8"/>
    <x v="226"/>
    <x v="288"/>
  </r>
  <r>
    <x v="10"/>
    <x v="10"/>
    <x v="226"/>
    <x v="2143"/>
  </r>
  <r>
    <x v="103"/>
    <x v="103"/>
    <x v="226"/>
    <x v="851"/>
  </r>
  <r>
    <x v="11"/>
    <x v="11"/>
    <x v="226"/>
    <x v="200"/>
  </r>
  <r>
    <x v="28"/>
    <x v="28"/>
    <x v="226"/>
    <x v="2144"/>
  </r>
  <r>
    <x v="12"/>
    <x v="12"/>
    <x v="226"/>
    <x v="2145"/>
  </r>
  <r>
    <x v="59"/>
    <x v="59"/>
    <x v="226"/>
    <x v="127"/>
  </r>
  <r>
    <x v="29"/>
    <x v="29"/>
    <x v="226"/>
    <x v="958"/>
  </r>
  <r>
    <x v="43"/>
    <x v="43"/>
    <x v="226"/>
    <x v="1039"/>
  </r>
  <r>
    <x v="30"/>
    <x v="30"/>
    <x v="226"/>
    <x v="161"/>
  </r>
  <r>
    <x v="46"/>
    <x v="46"/>
    <x v="226"/>
    <x v="133"/>
  </r>
  <r>
    <x v="14"/>
    <x v="14"/>
    <x v="226"/>
    <x v="14"/>
  </r>
  <r>
    <x v="78"/>
    <x v="78"/>
    <x v="226"/>
    <x v="98"/>
  </r>
  <r>
    <x v="15"/>
    <x v="15"/>
    <x v="226"/>
    <x v="507"/>
  </r>
  <r>
    <x v="17"/>
    <x v="17"/>
    <x v="226"/>
    <x v="160"/>
  </r>
  <r>
    <x v="48"/>
    <x v="48"/>
    <x v="227"/>
    <x v="63"/>
  </r>
  <r>
    <x v="19"/>
    <x v="19"/>
    <x v="227"/>
    <x v="892"/>
  </r>
  <r>
    <x v="0"/>
    <x v="0"/>
    <x v="227"/>
    <x v="340"/>
  </r>
  <r>
    <x v="76"/>
    <x v="76"/>
    <x v="227"/>
    <x v="2118"/>
  </r>
  <r>
    <x v="2"/>
    <x v="2"/>
    <x v="227"/>
    <x v="1239"/>
  </r>
  <r>
    <x v="34"/>
    <x v="34"/>
    <x v="227"/>
    <x v="261"/>
  </r>
  <r>
    <x v="35"/>
    <x v="35"/>
    <x v="227"/>
    <x v="2146"/>
  </r>
  <r>
    <x v="4"/>
    <x v="4"/>
    <x v="227"/>
    <x v="46"/>
  </r>
  <r>
    <x v="65"/>
    <x v="65"/>
    <x v="227"/>
    <x v="998"/>
  </r>
  <r>
    <x v="70"/>
    <x v="70"/>
    <x v="227"/>
    <x v="2147"/>
  </r>
  <r>
    <x v="67"/>
    <x v="67"/>
    <x v="227"/>
    <x v="248"/>
  </r>
  <r>
    <x v="56"/>
    <x v="56"/>
    <x v="227"/>
    <x v="2148"/>
  </r>
  <r>
    <x v="6"/>
    <x v="6"/>
    <x v="227"/>
    <x v="6"/>
  </r>
  <r>
    <x v="37"/>
    <x v="37"/>
    <x v="227"/>
    <x v="665"/>
  </r>
  <r>
    <x v="9"/>
    <x v="9"/>
    <x v="227"/>
    <x v="9"/>
  </r>
  <r>
    <x v="38"/>
    <x v="38"/>
    <x v="227"/>
    <x v="1001"/>
  </r>
  <r>
    <x v="10"/>
    <x v="10"/>
    <x v="227"/>
    <x v="2149"/>
  </r>
  <r>
    <x v="11"/>
    <x v="11"/>
    <x v="227"/>
    <x v="1812"/>
  </r>
  <r>
    <x v="12"/>
    <x v="12"/>
    <x v="227"/>
    <x v="715"/>
  </r>
  <r>
    <x v="39"/>
    <x v="39"/>
    <x v="227"/>
    <x v="2150"/>
  </r>
  <r>
    <x v="29"/>
    <x v="29"/>
    <x v="227"/>
    <x v="463"/>
  </r>
  <r>
    <x v="30"/>
    <x v="30"/>
    <x v="227"/>
    <x v="901"/>
  </r>
  <r>
    <x v="40"/>
    <x v="40"/>
    <x v="227"/>
    <x v="2151"/>
  </r>
  <r>
    <x v="64"/>
    <x v="64"/>
    <x v="227"/>
    <x v="1517"/>
  </r>
  <r>
    <x v="73"/>
    <x v="73"/>
    <x v="227"/>
    <x v="1020"/>
  </r>
  <r>
    <x v="96"/>
    <x v="96"/>
    <x v="227"/>
    <x v="245"/>
  </r>
  <r>
    <x v="46"/>
    <x v="46"/>
    <x v="227"/>
    <x v="339"/>
  </r>
  <r>
    <x v="14"/>
    <x v="14"/>
    <x v="227"/>
    <x v="533"/>
  </r>
  <r>
    <x v="78"/>
    <x v="78"/>
    <x v="227"/>
    <x v="62"/>
  </r>
  <r>
    <x v="15"/>
    <x v="15"/>
    <x v="227"/>
    <x v="160"/>
  </r>
  <r>
    <x v="16"/>
    <x v="16"/>
    <x v="227"/>
    <x v="85"/>
  </r>
  <r>
    <x v="17"/>
    <x v="17"/>
    <x v="227"/>
    <x v="85"/>
  </r>
  <r>
    <x v="75"/>
    <x v="75"/>
    <x v="228"/>
    <x v="111"/>
  </r>
  <r>
    <x v="18"/>
    <x v="18"/>
    <x v="228"/>
    <x v="15"/>
  </r>
  <r>
    <x v="41"/>
    <x v="41"/>
    <x v="228"/>
    <x v="62"/>
  </r>
  <r>
    <x v="2"/>
    <x v="2"/>
    <x v="228"/>
    <x v="219"/>
  </r>
  <r>
    <x v="20"/>
    <x v="20"/>
    <x v="228"/>
    <x v="1399"/>
  </r>
  <r>
    <x v="21"/>
    <x v="21"/>
    <x v="228"/>
    <x v="2152"/>
  </r>
  <r>
    <x v="3"/>
    <x v="3"/>
    <x v="228"/>
    <x v="2153"/>
  </r>
  <r>
    <x v="35"/>
    <x v="35"/>
    <x v="228"/>
    <x v="829"/>
  </r>
  <r>
    <x v="4"/>
    <x v="4"/>
    <x v="228"/>
    <x v="1013"/>
  </r>
  <r>
    <x v="22"/>
    <x v="22"/>
    <x v="228"/>
    <x v="1898"/>
  </r>
  <r>
    <x v="5"/>
    <x v="5"/>
    <x v="228"/>
    <x v="384"/>
  </r>
  <r>
    <x v="23"/>
    <x v="23"/>
    <x v="228"/>
    <x v="1566"/>
  </r>
  <r>
    <x v="55"/>
    <x v="55"/>
    <x v="228"/>
    <x v="930"/>
  </r>
  <r>
    <x v="67"/>
    <x v="67"/>
    <x v="228"/>
    <x v="1302"/>
  </r>
  <r>
    <x v="26"/>
    <x v="26"/>
    <x v="228"/>
    <x v="2154"/>
  </r>
  <r>
    <x v="79"/>
    <x v="79"/>
    <x v="228"/>
    <x v="2155"/>
  </r>
  <r>
    <x v="86"/>
    <x v="86"/>
    <x v="228"/>
    <x v="577"/>
  </r>
  <r>
    <x v="36"/>
    <x v="36"/>
    <x v="228"/>
    <x v="121"/>
  </r>
  <r>
    <x v="92"/>
    <x v="92"/>
    <x v="228"/>
    <x v="673"/>
  </r>
  <r>
    <x v="74"/>
    <x v="74"/>
    <x v="228"/>
    <x v="403"/>
  </r>
  <r>
    <x v="37"/>
    <x v="37"/>
    <x v="228"/>
    <x v="460"/>
  </r>
  <r>
    <x v="9"/>
    <x v="9"/>
    <x v="228"/>
    <x v="9"/>
  </r>
  <r>
    <x v="38"/>
    <x v="38"/>
    <x v="228"/>
    <x v="293"/>
  </r>
  <r>
    <x v="10"/>
    <x v="10"/>
    <x v="228"/>
    <x v="2156"/>
  </r>
  <r>
    <x v="11"/>
    <x v="11"/>
    <x v="228"/>
    <x v="2157"/>
  </r>
  <r>
    <x v="28"/>
    <x v="28"/>
    <x v="228"/>
    <x v="731"/>
  </r>
  <r>
    <x v="12"/>
    <x v="12"/>
    <x v="228"/>
    <x v="2158"/>
  </r>
  <r>
    <x v="29"/>
    <x v="29"/>
    <x v="228"/>
    <x v="414"/>
  </r>
  <r>
    <x v="30"/>
    <x v="30"/>
    <x v="228"/>
    <x v="1389"/>
  </r>
  <r>
    <x v="40"/>
    <x v="40"/>
    <x v="228"/>
    <x v="2159"/>
  </r>
  <r>
    <x v="64"/>
    <x v="64"/>
    <x v="228"/>
    <x v="2160"/>
  </r>
  <r>
    <x v="32"/>
    <x v="32"/>
    <x v="228"/>
    <x v="1679"/>
  </r>
  <r>
    <x v="102"/>
    <x v="102"/>
    <x v="228"/>
    <x v="110"/>
  </r>
  <r>
    <x v="51"/>
    <x v="51"/>
    <x v="228"/>
    <x v="1737"/>
  </r>
  <r>
    <x v="46"/>
    <x v="46"/>
    <x v="228"/>
    <x v="469"/>
  </r>
  <r>
    <x v="14"/>
    <x v="14"/>
    <x v="228"/>
    <x v="111"/>
  </r>
  <r>
    <x v="78"/>
    <x v="78"/>
    <x v="228"/>
    <x v="63"/>
  </r>
  <r>
    <x v="15"/>
    <x v="15"/>
    <x v="228"/>
    <x v="16"/>
  </r>
  <r>
    <x v="114"/>
    <x v="114"/>
    <x v="228"/>
    <x v="82"/>
  </r>
  <r>
    <x v="16"/>
    <x v="16"/>
    <x v="228"/>
    <x v="210"/>
  </r>
  <r>
    <x v="41"/>
    <x v="41"/>
    <x v="229"/>
    <x v="62"/>
  </r>
  <r>
    <x v="0"/>
    <x v="0"/>
    <x v="229"/>
    <x v="1972"/>
  </r>
  <r>
    <x v="76"/>
    <x v="76"/>
    <x v="229"/>
    <x v="561"/>
  </r>
  <r>
    <x v="2"/>
    <x v="2"/>
    <x v="229"/>
    <x v="2161"/>
  </r>
  <r>
    <x v="20"/>
    <x v="20"/>
    <x v="229"/>
    <x v="65"/>
  </r>
  <r>
    <x v="21"/>
    <x v="21"/>
    <x v="229"/>
    <x v="451"/>
  </r>
  <r>
    <x v="35"/>
    <x v="35"/>
    <x v="229"/>
    <x v="929"/>
  </r>
  <r>
    <x v="4"/>
    <x v="4"/>
    <x v="229"/>
    <x v="1825"/>
  </r>
  <r>
    <x v="52"/>
    <x v="52"/>
    <x v="229"/>
    <x v="2162"/>
  </r>
  <r>
    <x v="23"/>
    <x v="23"/>
    <x v="229"/>
    <x v="1300"/>
  </r>
  <r>
    <x v="25"/>
    <x v="25"/>
    <x v="229"/>
    <x v="2163"/>
  </r>
  <r>
    <x v="61"/>
    <x v="61"/>
    <x v="229"/>
    <x v="1150"/>
  </r>
  <r>
    <x v="92"/>
    <x v="92"/>
    <x v="229"/>
    <x v="1163"/>
  </r>
  <r>
    <x v="93"/>
    <x v="93"/>
    <x v="229"/>
    <x v="5"/>
  </r>
  <r>
    <x v="68"/>
    <x v="68"/>
    <x v="229"/>
    <x v="860"/>
  </r>
  <r>
    <x v="38"/>
    <x v="38"/>
    <x v="229"/>
    <x v="868"/>
  </r>
  <r>
    <x v="10"/>
    <x v="10"/>
    <x v="229"/>
    <x v="2164"/>
  </r>
  <r>
    <x v="11"/>
    <x v="11"/>
    <x v="229"/>
    <x v="1151"/>
  </r>
  <r>
    <x v="28"/>
    <x v="28"/>
    <x v="229"/>
    <x v="886"/>
  </r>
  <r>
    <x v="29"/>
    <x v="29"/>
    <x v="229"/>
    <x v="2165"/>
  </r>
  <r>
    <x v="72"/>
    <x v="72"/>
    <x v="229"/>
    <x v="2166"/>
  </r>
  <r>
    <x v="97"/>
    <x v="97"/>
    <x v="229"/>
    <x v="1091"/>
  </r>
  <r>
    <x v="81"/>
    <x v="81"/>
    <x v="229"/>
    <x v="2167"/>
  </r>
  <r>
    <x v="91"/>
    <x v="91"/>
    <x v="229"/>
    <x v="2168"/>
  </r>
  <r>
    <x v="44"/>
    <x v="44"/>
    <x v="229"/>
    <x v="2169"/>
  </r>
  <r>
    <x v="69"/>
    <x v="69"/>
    <x v="229"/>
    <x v="111"/>
  </r>
  <r>
    <x v="96"/>
    <x v="96"/>
    <x v="229"/>
    <x v="82"/>
  </r>
  <r>
    <x v="46"/>
    <x v="46"/>
    <x v="229"/>
    <x v="469"/>
  </r>
  <r>
    <x v="14"/>
    <x v="14"/>
    <x v="229"/>
    <x v="83"/>
  </r>
  <r>
    <x v="78"/>
    <x v="78"/>
    <x v="229"/>
    <x v="82"/>
  </r>
  <r>
    <x v="15"/>
    <x v="15"/>
    <x v="229"/>
    <x v="82"/>
  </r>
  <r>
    <x v="16"/>
    <x v="16"/>
    <x v="229"/>
    <x v="160"/>
  </r>
  <r>
    <x v="17"/>
    <x v="17"/>
    <x v="229"/>
    <x v="1232"/>
  </r>
  <r>
    <x v="41"/>
    <x v="41"/>
    <x v="230"/>
    <x v="245"/>
  </r>
  <r>
    <x v="2"/>
    <x v="2"/>
    <x v="230"/>
    <x v="219"/>
  </r>
  <r>
    <x v="20"/>
    <x v="20"/>
    <x v="230"/>
    <x v="417"/>
  </r>
  <r>
    <x v="21"/>
    <x v="21"/>
    <x v="230"/>
    <x v="1092"/>
  </r>
  <r>
    <x v="3"/>
    <x v="3"/>
    <x v="230"/>
    <x v="2153"/>
  </r>
  <r>
    <x v="35"/>
    <x v="35"/>
    <x v="230"/>
    <x v="1168"/>
  </r>
  <r>
    <x v="4"/>
    <x v="4"/>
    <x v="230"/>
    <x v="1062"/>
  </r>
  <r>
    <x v="52"/>
    <x v="52"/>
    <x v="230"/>
    <x v="1021"/>
  </r>
  <r>
    <x v="5"/>
    <x v="5"/>
    <x v="230"/>
    <x v="721"/>
  </r>
  <r>
    <x v="23"/>
    <x v="23"/>
    <x v="230"/>
    <x v="1255"/>
  </r>
  <r>
    <x v="67"/>
    <x v="67"/>
    <x v="230"/>
    <x v="248"/>
  </r>
  <r>
    <x v="26"/>
    <x v="26"/>
    <x v="230"/>
    <x v="547"/>
  </r>
  <r>
    <x v="86"/>
    <x v="86"/>
    <x v="230"/>
    <x v="577"/>
  </r>
  <r>
    <x v="7"/>
    <x v="7"/>
    <x v="230"/>
    <x v="2170"/>
  </r>
  <r>
    <x v="94"/>
    <x v="94"/>
    <x v="230"/>
    <x v="1720"/>
  </r>
  <r>
    <x v="37"/>
    <x v="37"/>
    <x v="230"/>
    <x v="1811"/>
  </r>
  <r>
    <x v="8"/>
    <x v="8"/>
    <x v="230"/>
    <x v="799"/>
  </r>
  <r>
    <x v="9"/>
    <x v="9"/>
    <x v="230"/>
    <x v="443"/>
  </r>
  <r>
    <x v="68"/>
    <x v="68"/>
    <x v="230"/>
    <x v="1848"/>
  </r>
  <r>
    <x v="38"/>
    <x v="38"/>
    <x v="230"/>
    <x v="915"/>
  </r>
  <r>
    <x v="10"/>
    <x v="10"/>
    <x v="230"/>
    <x v="713"/>
  </r>
  <r>
    <x v="11"/>
    <x v="11"/>
    <x v="230"/>
    <x v="2171"/>
  </r>
  <r>
    <x v="12"/>
    <x v="12"/>
    <x v="230"/>
    <x v="2172"/>
  </r>
  <r>
    <x v="39"/>
    <x v="39"/>
    <x v="230"/>
    <x v="2173"/>
  </r>
  <r>
    <x v="29"/>
    <x v="29"/>
    <x v="230"/>
    <x v="242"/>
  </r>
  <r>
    <x v="30"/>
    <x v="30"/>
    <x v="230"/>
    <x v="985"/>
  </r>
  <r>
    <x v="117"/>
    <x v="117"/>
    <x v="230"/>
    <x v="524"/>
  </r>
  <r>
    <x v="40"/>
    <x v="40"/>
    <x v="230"/>
    <x v="2174"/>
  </r>
  <r>
    <x v="32"/>
    <x v="32"/>
    <x v="230"/>
    <x v="506"/>
  </r>
  <r>
    <x v="51"/>
    <x v="51"/>
    <x v="230"/>
    <x v="96"/>
  </r>
  <r>
    <x v="69"/>
    <x v="69"/>
    <x v="230"/>
    <x v="162"/>
  </r>
  <r>
    <x v="96"/>
    <x v="96"/>
    <x v="230"/>
    <x v="40"/>
  </r>
  <r>
    <x v="46"/>
    <x v="46"/>
    <x v="230"/>
    <x v="318"/>
  </r>
  <r>
    <x v="14"/>
    <x v="14"/>
    <x v="230"/>
    <x v="245"/>
  </r>
  <r>
    <x v="19"/>
    <x v="19"/>
    <x v="231"/>
    <x v="64"/>
  </r>
  <r>
    <x v="76"/>
    <x v="76"/>
    <x v="231"/>
    <x v="2175"/>
  </r>
  <r>
    <x v="2"/>
    <x v="2"/>
    <x v="231"/>
    <x v="86"/>
  </r>
  <r>
    <x v="20"/>
    <x v="20"/>
    <x v="231"/>
    <x v="65"/>
  </r>
  <r>
    <x v="21"/>
    <x v="21"/>
    <x v="231"/>
    <x v="2176"/>
  </r>
  <r>
    <x v="3"/>
    <x v="3"/>
    <x v="231"/>
    <x v="2177"/>
  </r>
  <r>
    <x v="35"/>
    <x v="35"/>
    <x v="231"/>
    <x v="2178"/>
  </r>
  <r>
    <x v="87"/>
    <x v="87"/>
    <x v="231"/>
    <x v="876"/>
  </r>
  <r>
    <x v="5"/>
    <x v="5"/>
    <x v="231"/>
    <x v="2179"/>
  </r>
  <r>
    <x v="23"/>
    <x v="23"/>
    <x v="231"/>
    <x v="1689"/>
  </r>
  <r>
    <x v="67"/>
    <x v="67"/>
    <x v="231"/>
    <x v="522"/>
  </r>
  <r>
    <x v="79"/>
    <x v="79"/>
    <x v="231"/>
    <x v="1936"/>
  </r>
  <r>
    <x v="37"/>
    <x v="37"/>
    <x v="231"/>
    <x v="781"/>
  </r>
  <r>
    <x v="8"/>
    <x v="8"/>
    <x v="231"/>
    <x v="736"/>
  </r>
  <r>
    <x v="38"/>
    <x v="38"/>
    <x v="231"/>
    <x v="2180"/>
  </r>
  <r>
    <x v="10"/>
    <x v="10"/>
    <x v="231"/>
    <x v="975"/>
  </r>
  <r>
    <x v="11"/>
    <x v="11"/>
    <x v="231"/>
    <x v="1221"/>
  </r>
  <r>
    <x v="12"/>
    <x v="12"/>
    <x v="231"/>
    <x v="871"/>
  </r>
  <r>
    <x v="29"/>
    <x v="29"/>
    <x v="231"/>
    <x v="2181"/>
  </r>
  <r>
    <x v="40"/>
    <x v="40"/>
    <x v="231"/>
    <x v="2182"/>
  </r>
  <r>
    <x v="85"/>
    <x v="85"/>
    <x v="231"/>
    <x v="898"/>
  </r>
  <r>
    <x v="51"/>
    <x v="51"/>
    <x v="231"/>
    <x v="96"/>
  </r>
  <r>
    <x v="69"/>
    <x v="69"/>
    <x v="231"/>
    <x v="210"/>
  </r>
  <r>
    <x v="46"/>
    <x v="46"/>
    <x v="231"/>
    <x v="996"/>
  </r>
  <r>
    <x v="14"/>
    <x v="14"/>
    <x v="231"/>
    <x v="111"/>
  </r>
  <r>
    <x v="15"/>
    <x v="15"/>
    <x v="231"/>
    <x v="16"/>
  </r>
  <r>
    <x v="16"/>
    <x v="16"/>
    <x v="231"/>
    <x v="111"/>
  </r>
  <r>
    <x v="17"/>
    <x v="17"/>
    <x v="231"/>
    <x v="111"/>
  </r>
  <r>
    <x v="2"/>
    <x v="2"/>
    <x v="232"/>
    <x v="535"/>
  </r>
  <r>
    <x v="21"/>
    <x v="21"/>
    <x v="232"/>
    <x v="828"/>
  </r>
  <r>
    <x v="3"/>
    <x v="3"/>
    <x v="232"/>
    <x v="2153"/>
  </r>
  <r>
    <x v="101"/>
    <x v="101"/>
    <x v="232"/>
    <x v="2183"/>
  </r>
  <r>
    <x v="5"/>
    <x v="5"/>
    <x v="232"/>
    <x v="520"/>
  </r>
  <r>
    <x v="23"/>
    <x v="23"/>
    <x v="232"/>
    <x v="101"/>
  </r>
  <r>
    <x v="25"/>
    <x v="25"/>
    <x v="232"/>
    <x v="28"/>
  </r>
  <r>
    <x v="26"/>
    <x v="26"/>
    <x v="232"/>
    <x v="1046"/>
  </r>
  <r>
    <x v="37"/>
    <x v="37"/>
    <x v="232"/>
    <x v="665"/>
  </r>
  <r>
    <x v="9"/>
    <x v="9"/>
    <x v="232"/>
    <x v="387"/>
  </r>
  <r>
    <x v="68"/>
    <x v="68"/>
    <x v="232"/>
    <x v="973"/>
  </r>
  <r>
    <x v="38"/>
    <x v="38"/>
    <x v="232"/>
    <x v="833"/>
  </r>
  <r>
    <x v="10"/>
    <x v="10"/>
    <x v="232"/>
    <x v="1865"/>
  </r>
  <r>
    <x v="11"/>
    <x v="11"/>
    <x v="232"/>
    <x v="1837"/>
  </r>
  <r>
    <x v="28"/>
    <x v="28"/>
    <x v="232"/>
    <x v="2144"/>
  </r>
  <r>
    <x v="12"/>
    <x v="12"/>
    <x v="232"/>
    <x v="202"/>
  </r>
  <r>
    <x v="59"/>
    <x v="59"/>
    <x v="232"/>
    <x v="2184"/>
  </r>
  <r>
    <x v="29"/>
    <x v="29"/>
    <x v="232"/>
    <x v="1145"/>
  </r>
  <r>
    <x v="30"/>
    <x v="30"/>
    <x v="232"/>
    <x v="2185"/>
  </r>
  <r>
    <x v="64"/>
    <x v="64"/>
    <x v="232"/>
    <x v="2160"/>
  </r>
  <r>
    <x v="44"/>
    <x v="44"/>
    <x v="232"/>
    <x v="2186"/>
  </r>
  <r>
    <x v="73"/>
    <x v="73"/>
    <x v="232"/>
    <x v="633"/>
  </r>
  <r>
    <x v="96"/>
    <x v="96"/>
    <x v="232"/>
    <x v="160"/>
  </r>
  <r>
    <x v="46"/>
    <x v="46"/>
    <x v="232"/>
    <x v="161"/>
  </r>
  <r>
    <x v="14"/>
    <x v="14"/>
    <x v="232"/>
    <x v="82"/>
  </r>
  <r>
    <x v="78"/>
    <x v="78"/>
    <x v="232"/>
    <x v="62"/>
  </r>
  <r>
    <x v="15"/>
    <x v="15"/>
    <x v="232"/>
    <x v="111"/>
  </r>
  <r>
    <x v="17"/>
    <x v="17"/>
    <x v="232"/>
    <x v="13"/>
  </r>
  <r>
    <x v="49"/>
    <x v="49"/>
    <x v="233"/>
    <x v="82"/>
  </r>
  <r>
    <x v="2"/>
    <x v="2"/>
    <x v="233"/>
    <x v="508"/>
  </r>
  <r>
    <x v="20"/>
    <x v="20"/>
    <x v="233"/>
    <x v="22"/>
  </r>
  <r>
    <x v="21"/>
    <x v="21"/>
    <x v="233"/>
    <x v="302"/>
  </r>
  <r>
    <x v="101"/>
    <x v="101"/>
    <x v="233"/>
    <x v="306"/>
  </r>
  <r>
    <x v="4"/>
    <x v="4"/>
    <x v="233"/>
    <x v="116"/>
  </r>
  <r>
    <x v="5"/>
    <x v="5"/>
    <x v="233"/>
    <x v="2179"/>
  </r>
  <r>
    <x v="23"/>
    <x v="23"/>
    <x v="233"/>
    <x v="305"/>
  </r>
  <r>
    <x v="56"/>
    <x v="56"/>
    <x v="233"/>
    <x v="1623"/>
  </r>
  <r>
    <x v="26"/>
    <x v="26"/>
    <x v="233"/>
    <x v="1614"/>
  </r>
  <r>
    <x v="86"/>
    <x v="86"/>
    <x v="233"/>
    <x v="796"/>
  </r>
  <r>
    <x v="7"/>
    <x v="7"/>
    <x v="233"/>
    <x v="934"/>
  </r>
  <r>
    <x v="37"/>
    <x v="37"/>
    <x v="233"/>
    <x v="177"/>
  </r>
  <r>
    <x v="10"/>
    <x v="10"/>
    <x v="233"/>
    <x v="812"/>
  </r>
  <r>
    <x v="103"/>
    <x v="103"/>
    <x v="233"/>
    <x v="2187"/>
  </r>
  <r>
    <x v="11"/>
    <x v="11"/>
    <x v="233"/>
    <x v="1507"/>
  </r>
  <r>
    <x v="28"/>
    <x v="28"/>
    <x v="233"/>
    <x v="886"/>
  </r>
  <r>
    <x v="12"/>
    <x v="12"/>
    <x v="233"/>
    <x v="2188"/>
  </r>
  <r>
    <x v="29"/>
    <x v="29"/>
    <x v="233"/>
    <x v="227"/>
  </r>
  <r>
    <x v="44"/>
    <x v="44"/>
    <x v="233"/>
    <x v="2189"/>
  </r>
  <r>
    <x v="73"/>
    <x v="73"/>
    <x v="233"/>
    <x v="1742"/>
  </r>
  <r>
    <x v="46"/>
    <x v="46"/>
    <x v="233"/>
    <x v="1187"/>
  </r>
  <r>
    <x v="14"/>
    <x v="14"/>
    <x v="233"/>
    <x v="85"/>
  </r>
  <r>
    <x v="78"/>
    <x v="78"/>
    <x v="233"/>
    <x v="98"/>
  </r>
  <r>
    <x v="15"/>
    <x v="15"/>
    <x v="233"/>
    <x v="111"/>
  </r>
  <r>
    <x v="16"/>
    <x v="16"/>
    <x v="233"/>
    <x v="14"/>
  </r>
  <r>
    <x v="2"/>
    <x v="2"/>
    <x v="234"/>
    <x v="754"/>
  </r>
  <r>
    <x v="21"/>
    <x v="21"/>
    <x v="234"/>
    <x v="1274"/>
  </r>
  <r>
    <x v="3"/>
    <x v="3"/>
    <x v="234"/>
    <x v="2190"/>
  </r>
  <r>
    <x v="4"/>
    <x v="4"/>
    <x v="234"/>
    <x v="1265"/>
  </r>
  <r>
    <x v="22"/>
    <x v="22"/>
    <x v="234"/>
    <x v="1883"/>
  </r>
  <r>
    <x v="5"/>
    <x v="5"/>
    <x v="234"/>
    <x v="1317"/>
  </r>
  <r>
    <x v="23"/>
    <x v="23"/>
    <x v="234"/>
    <x v="101"/>
  </r>
  <r>
    <x v="55"/>
    <x v="55"/>
    <x v="234"/>
    <x v="2191"/>
  </r>
  <r>
    <x v="67"/>
    <x v="67"/>
    <x v="234"/>
    <x v="440"/>
  </r>
  <r>
    <x v="26"/>
    <x v="26"/>
    <x v="234"/>
    <x v="1046"/>
  </r>
  <r>
    <x v="36"/>
    <x v="36"/>
    <x v="234"/>
    <x v="2192"/>
  </r>
  <r>
    <x v="7"/>
    <x v="7"/>
    <x v="234"/>
    <x v="7"/>
  </r>
  <r>
    <x v="37"/>
    <x v="37"/>
    <x v="234"/>
    <x v="2072"/>
  </r>
  <r>
    <x v="38"/>
    <x v="38"/>
    <x v="234"/>
    <x v="330"/>
  </r>
  <r>
    <x v="10"/>
    <x v="10"/>
    <x v="234"/>
    <x v="923"/>
  </r>
  <r>
    <x v="27"/>
    <x v="27"/>
    <x v="234"/>
    <x v="2193"/>
  </r>
  <r>
    <x v="11"/>
    <x v="11"/>
    <x v="234"/>
    <x v="2194"/>
  </r>
  <r>
    <x v="53"/>
    <x v="53"/>
    <x v="234"/>
    <x v="2195"/>
  </r>
  <r>
    <x v="95"/>
    <x v="95"/>
    <x v="234"/>
    <x v="361"/>
  </r>
  <r>
    <x v="12"/>
    <x v="12"/>
    <x v="234"/>
    <x v="74"/>
  </r>
  <r>
    <x v="29"/>
    <x v="29"/>
    <x v="234"/>
    <x v="430"/>
  </r>
  <r>
    <x v="72"/>
    <x v="72"/>
    <x v="234"/>
    <x v="255"/>
  </r>
  <r>
    <x v="30"/>
    <x v="30"/>
    <x v="234"/>
    <x v="2196"/>
  </r>
  <r>
    <x v="81"/>
    <x v="81"/>
    <x v="234"/>
    <x v="2123"/>
  </r>
  <r>
    <x v="64"/>
    <x v="64"/>
    <x v="234"/>
    <x v="2197"/>
  </r>
  <r>
    <x v="44"/>
    <x v="44"/>
    <x v="234"/>
    <x v="1408"/>
  </r>
  <r>
    <x v="73"/>
    <x v="73"/>
    <x v="234"/>
    <x v="1509"/>
  </r>
  <r>
    <x v="51"/>
    <x v="51"/>
    <x v="234"/>
    <x v="96"/>
  </r>
  <r>
    <x v="96"/>
    <x v="96"/>
    <x v="234"/>
    <x v="82"/>
  </r>
  <r>
    <x v="46"/>
    <x v="46"/>
    <x v="234"/>
    <x v="1168"/>
  </r>
  <r>
    <x v="14"/>
    <x v="14"/>
    <x v="234"/>
    <x v="796"/>
  </r>
  <r>
    <x v="78"/>
    <x v="78"/>
    <x v="234"/>
    <x v="83"/>
  </r>
  <r>
    <x v="15"/>
    <x v="15"/>
    <x v="234"/>
    <x v="98"/>
  </r>
  <r>
    <x v="16"/>
    <x v="16"/>
    <x v="234"/>
    <x v="82"/>
  </r>
  <r>
    <x v="17"/>
    <x v="17"/>
    <x v="234"/>
    <x v="826"/>
  </r>
  <r>
    <x v="0"/>
    <x v="0"/>
    <x v="235"/>
    <x v="470"/>
  </r>
  <r>
    <x v="76"/>
    <x v="76"/>
    <x v="235"/>
    <x v="561"/>
  </r>
  <r>
    <x v="2"/>
    <x v="2"/>
    <x v="235"/>
    <x v="1351"/>
  </r>
  <r>
    <x v="21"/>
    <x v="21"/>
    <x v="235"/>
    <x v="1314"/>
  </r>
  <r>
    <x v="3"/>
    <x v="3"/>
    <x v="235"/>
    <x v="741"/>
  </r>
  <r>
    <x v="101"/>
    <x v="101"/>
    <x v="235"/>
    <x v="2198"/>
  </r>
  <r>
    <x v="4"/>
    <x v="4"/>
    <x v="235"/>
    <x v="910"/>
  </r>
  <r>
    <x v="22"/>
    <x v="22"/>
    <x v="235"/>
    <x v="1883"/>
  </r>
  <r>
    <x v="5"/>
    <x v="5"/>
    <x v="235"/>
    <x v="474"/>
  </r>
  <r>
    <x v="23"/>
    <x v="23"/>
    <x v="235"/>
    <x v="167"/>
  </r>
  <r>
    <x v="70"/>
    <x v="70"/>
    <x v="235"/>
    <x v="691"/>
  </r>
  <r>
    <x v="57"/>
    <x v="57"/>
    <x v="235"/>
    <x v="849"/>
  </r>
  <r>
    <x v="92"/>
    <x v="92"/>
    <x v="235"/>
    <x v="607"/>
  </r>
  <r>
    <x v="74"/>
    <x v="74"/>
    <x v="235"/>
    <x v="403"/>
  </r>
  <r>
    <x v="7"/>
    <x v="7"/>
    <x v="235"/>
    <x v="7"/>
  </r>
  <r>
    <x v="71"/>
    <x v="71"/>
    <x v="235"/>
    <x v="947"/>
  </r>
  <r>
    <x v="37"/>
    <x v="37"/>
    <x v="235"/>
    <x v="351"/>
  </r>
  <r>
    <x v="9"/>
    <x v="9"/>
    <x v="235"/>
    <x v="9"/>
  </r>
  <r>
    <x v="10"/>
    <x v="10"/>
    <x v="235"/>
    <x v="2199"/>
  </r>
  <r>
    <x v="11"/>
    <x v="11"/>
    <x v="235"/>
    <x v="2200"/>
  </r>
  <r>
    <x v="12"/>
    <x v="12"/>
    <x v="235"/>
    <x v="413"/>
  </r>
  <r>
    <x v="29"/>
    <x v="29"/>
    <x v="235"/>
    <x v="242"/>
  </r>
  <r>
    <x v="40"/>
    <x v="40"/>
    <x v="235"/>
    <x v="1574"/>
  </r>
  <r>
    <x v="32"/>
    <x v="32"/>
    <x v="235"/>
    <x v="38"/>
  </r>
  <r>
    <x v="69"/>
    <x v="69"/>
    <x v="235"/>
    <x v="160"/>
  </r>
  <r>
    <x v="46"/>
    <x v="46"/>
    <x v="235"/>
    <x v="417"/>
  </r>
  <r>
    <x v="14"/>
    <x v="14"/>
    <x v="235"/>
    <x v="339"/>
  </r>
  <r>
    <x v="78"/>
    <x v="78"/>
    <x v="235"/>
    <x v="62"/>
  </r>
  <r>
    <x v="15"/>
    <x v="15"/>
    <x v="235"/>
    <x v="533"/>
  </r>
  <r>
    <x v="16"/>
    <x v="16"/>
    <x v="235"/>
    <x v="210"/>
  </r>
  <r>
    <x v="17"/>
    <x v="17"/>
    <x v="235"/>
    <x v="1956"/>
  </r>
  <r>
    <x v="0"/>
    <x v="0"/>
    <x v="236"/>
    <x v="394"/>
  </r>
  <r>
    <x v="2"/>
    <x v="2"/>
    <x v="236"/>
    <x v="231"/>
  </r>
  <r>
    <x v="20"/>
    <x v="20"/>
    <x v="236"/>
    <x v="65"/>
  </r>
  <r>
    <x v="21"/>
    <x v="21"/>
    <x v="236"/>
    <x v="517"/>
  </r>
  <r>
    <x v="3"/>
    <x v="3"/>
    <x v="236"/>
    <x v="1555"/>
  </r>
  <r>
    <x v="4"/>
    <x v="4"/>
    <x v="236"/>
    <x v="519"/>
  </r>
  <r>
    <x v="5"/>
    <x v="5"/>
    <x v="236"/>
    <x v="265"/>
  </r>
  <r>
    <x v="67"/>
    <x v="67"/>
    <x v="236"/>
    <x v="576"/>
  </r>
  <r>
    <x v="92"/>
    <x v="92"/>
    <x v="236"/>
    <x v="607"/>
  </r>
  <r>
    <x v="74"/>
    <x v="74"/>
    <x v="236"/>
    <x v="104"/>
  </r>
  <r>
    <x v="6"/>
    <x v="6"/>
    <x v="236"/>
    <x v="90"/>
  </r>
  <r>
    <x v="37"/>
    <x v="37"/>
    <x v="236"/>
    <x v="1016"/>
  </r>
  <r>
    <x v="8"/>
    <x v="8"/>
    <x v="236"/>
    <x v="1774"/>
  </r>
  <r>
    <x v="9"/>
    <x v="9"/>
    <x v="236"/>
    <x v="1171"/>
  </r>
  <r>
    <x v="38"/>
    <x v="38"/>
    <x v="236"/>
    <x v="220"/>
  </r>
  <r>
    <x v="10"/>
    <x v="10"/>
    <x v="236"/>
    <x v="1009"/>
  </r>
  <r>
    <x v="11"/>
    <x v="11"/>
    <x v="236"/>
    <x v="183"/>
  </r>
  <r>
    <x v="28"/>
    <x v="28"/>
    <x v="236"/>
    <x v="2201"/>
  </r>
  <r>
    <x v="12"/>
    <x v="12"/>
    <x v="236"/>
    <x v="225"/>
  </r>
  <r>
    <x v="29"/>
    <x v="29"/>
    <x v="236"/>
    <x v="1212"/>
  </r>
  <r>
    <x v="112"/>
    <x v="112"/>
    <x v="236"/>
    <x v="2202"/>
  </r>
  <r>
    <x v="97"/>
    <x v="97"/>
    <x v="236"/>
    <x v="1154"/>
  </r>
  <r>
    <x v="31"/>
    <x v="31"/>
    <x v="236"/>
    <x v="391"/>
  </r>
  <r>
    <x v="46"/>
    <x v="46"/>
    <x v="236"/>
    <x v="162"/>
  </r>
  <r>
    <x v="14"/>
    <x v="14"/>
    <x v="236"/>
    <x v="85"/>
  </r>
  <r>
    <x v="78"/>
    <x v="78"/>
    <x v="236"/>
    <x v="40"/>
  </r>
  <r>
    <x v="15"/>
    <x v="15"/>
    <x v="236"/>
    <x v="16"/>
  </r>
  <r>
    <x v="17"/>
    <x v="17"/>
    <x v="236"/>
    <x v="40"/>
  </r>
  <r>
    <x v="19"/>
    <x v="19"/>
    <x v="237"/>
    <x v="2203"/>
  </r>
  <r>
    <x v="76"/>
    <x v="76"/>
    <x v="237"/>
    <x v="1177"/>
  </r>
  <r>
    <x v="2"/>
    <x v="2"/>
    <x v="237"/>
    <x v="361"/>
  </r>
  <r>
    <x v="21"/>
    <x v="21"/>
    <x v="237"/>
    <x v="302"/>
  </r>
  <r>
    <x v="3"/>
    <x v="3"/>
    <x v="237"/>
    <x v="2177"/>
  </r>
  <r>
    <x v="35"/>
    <x v="35"/>
    <x v="237"/>
    <x v="706"/>
  </r>
  <r>
    <x v="4"/>
    <x v="4"/>
    <x v="237"/>
    <x v="1603"/>
  </r>
  <r>
    <x v="87"/>
    <x v="87"/>
    <x v="237"/>
    <x v="245"/>
  </r>
  <r>
    <x v="5"/>
    <x v="5"/>
    <x v="237"/>
    <x v="1093"/>
  </r>
  <r>
    <x v="65"/>
    <x v="65"/>
    <x v="237"/>
    <x v="710"/>
  </r>
  <r>
    <x v="23"/>
    <x v="23"/>
    <x v="237"/>
    <x v="2204"/>
  </r>
  <r>
    <x v="70"/>
    <x v="70"/>
    <x v="237"/>
    <x v="978"/>
  </r>
  <r>
    <x v="25"/>
    <x v="25"/>
    <x v="237"/>
    <x v="1999"/>
  </r>
  <r>
    <x v="26"/>
    <x v="26"/>
    <x v="237"/>
    <x v="2205"/>
  </r>
  <r>
    <x v="74"/>
    <x v="74"/>
    <x v="237"/>
    <x v="364"/>
  </r>
  <r>
    <x v="6"/>
    <x v="6"/>
    <x v="237"/>
    <x v="6"/>
  </r>
  <r>
    <x v="8"/>
    <x v="8"/>
    <x v="237"/>
    <x v="30"/>
  </r>
  <r>
    <x v="9"/>
    <x v="9"/>
    <x v="237"/>
    <x v="1236"/>
  </r>
  <r>
    <x v="38"/>
    <x v="38"/>
    <x v="237"/>
    <x v="2206"/>
  </r>
  <r>
    <x v="10"/>
    <x v="10"/>
    <x v="237"/>
    <x v="1087"/>
  </r>
  <r>
    <x v="11"/>
    <x v="11"/>
    <x v="237"/>
    <x v="2207"/>
  </r>
  <r>
    <x v="28"/>
    <x v="28"/>
    <x v="237"/>
    <x v="513"/>
  </r>
  <r>
    <x v="12"/>
    <x v="12"/>
    <x v="237"/>
    <x v="1308"/>
  </r>
  <r>
    <x v="39"/>
    <x v="39"/>
    <x v="237"/>
    <x v="2208"/>
  </r>
  <r>
    <x v="29"/>
    <x v="29"/>
    <x v="237"/>
    <x v="1823"/>
  </r>
  <r>
    <x v="72"/>
    <x v="72"/>
    <x v="237"/>
    <x v="2209"/>
  </r>
  <r>
    <x v="43"/>
    <x v="43"/>
    <x v="237"/>
    <x v="2210"/>
  </r>
  <r>
    <x v="80"/>
    <x v="80"/>
    <x v="237"/>
    <x v="928"/>
  </r>
  <r>
    <x v="81"/>
    <x v="81"/>
    <x v="237"/>
    <x v="685"/>
  </r>
  <r>
    <x v="40"/>
    <x v="40"/>
    <x v="237"/>
    <x v="2211"/>
  </r>
  <r>
    <x v="64"/>
    <x v="64"/>
    <x v="237"/>
    <x v="1678"/>
  </r>
  <r>
    <x v="46"/>
    <x v="46"/>
    <x v="237"/>
    <x v="826"/>
  </r>
  <r>
    <x v="14"/>
    <x v="14"/>
    <x v="237"/>
    <x v="160"/>
  </r>
  <r>
    <x v="15"/>
    <x v="15"/>
    <x v="237"/>
    <x v="16"/>
  </r>
  <r>
    <x v="16"/>
    <x v="16"/>
    <x v="237"/>
    <x v="507"/>
  </r>
  <r>
    <x v="17"/>
    <x v="17"/>
    <x v="237"/>
    <x v="862"/>
  </r>
  <r>
    <x v="2"/>
    <x v="2"/>
    <x v="238"/>
    <x v="113"/>
  </r>
  <r>
    <x v="21"/>
    <x v="21"/>
    <x v="238"/>
    <x v="647"/>
  </r>
  <r>
    <x v="3"/>
    <x v="3"/>
    <x v="238"/>
    <x v="572"/>
  </r>
  <r>
    <x v="101"/>
    <x v="101"/>
    <x v="238"/>
    <x v="1501"/>
  </r>
  <r>
    <x v="4"/>
    <x v="4"/>
    <x v="238"/>
    <x v="1199"/>
  </r>
  <r>
    <x v="5"/>
    <x v="5"/>
    <x v="238"/>
    <x v="549"/>
  </r>
  <r>
    <x v="23"/>
    <x v="23"/>
    <x v="238"/>
    <x v="1255"/>
  </r>
  <r>
    <x v="55"/>
    <x v="55"/>
    <x v="238"/>
    <x v="2212"/>
  </r>
  <r>
    <x v="61"/>
    <x v="61"/>
    <x v="238"/>
    <x v="1267"/>
  </r>
  <r>
    <x v="36"/>
    <x v="36"/>
    <x v="238"/>
    <x v="1877"/>
  </r>
  <r>
    <x v="74"/>
    <x v="74"/>
    <x v="238"/>
    <x v="364"/>
  </r>
  <r>
    <x v="88"/>
    <x v="88"/>
    <x v="238"/>
    <x v="1227"/>
  </r>
  <r>
    <x v="8"/>
    <x v="8"/>
    <x v="238"/>
    <x v="1049"/>
  </r>
  <r>
    <x v="9"/>
    <x v="9"/>
    <x v="238"/>
    <x v="289"/>
  </r>
  <r>
    <x v="10"/>
    <x v="10"/>
    <x v="238"/>
    <x v="1903"/>
  </r>
  <r>
    <x v="11"/>
    <x v="11"/>
    <x v="238"/>
    <x v="770"/>
  </r>
  <r>
    <x v="28"/>
    <x v="28"/>
    <x v="238"/>
    <x v="292"/>
  </r>
  <r>
    <x v="12"/>
    <x v="12"/>
    <x v="238"/>
    <x v="1271"/>
  </r>
  <r>
    <x v="59"/>
    <x v="59"/>
    <x v="238"/>
    <x v="2038"/>
  </r>
  <r>
    <x v="29"/>
    <x v="29"/>
    <x v="238"/>
    <x v="958"/>
  </r>
  <r>
    <x v="54"/>
    <x v="54"/>
    <x v="238"/>
    <x v="1053"/>
  </r>
  <r>
    <x v="40"/>
    <x v="40"/>
    <x v="238"/>
    <x v="890"/>
  </r>
  <r>
    <x v="73"/>
    <x v="73"/>
    <x v="238"/>
    <x v="633"/>
  </r>
  <r>
    <x v="60"/>
    <x v="60"/>
    <x v="238"/>
    <x v="2213"/>
  </r>
  <r>
    <x v="96"/>
    <x v="96"/>
    <x v="238"/>
    <x v="15"/>
  </r>
  <r>
    <x v="46"/>
    <x v="46"/>
    <x v="238"/>
    <x v="468"/>
  </r>
  <r>
    <x v="14"/>
    <x v="14"/>
    <x v="238"/>
    <x v="14"/>
  </r>
  <r>
    <x v="78"/>
    <x v="78"/>
    <x v="238"/>
    <x v="16"/>
  </r>
  <r>
    <x v="15"/>
    <x v="15"/>
    <x v="238"/>
    <x v="82"/>
  </r>
  <r>
    <x v="114"/>
    <x v="114"/>
    <x v="238"/>
    <x v="111"/>
  </r>
  <r>
    <x v="16"/>
    <x v="16"/>
    <x v="238"/>
    <x v="40"/>
  </r>
  <r>
    <x v="19"/>
    <x v="19"/>
    <x v="239"/>
    <x v="605"/>
  </r>
  <r>
    <x v="0"/>
    <x v="0"/>
    <x v="239"/>
    <x v="2214"/>
  </r>
  <r>
    <x v="76"/>
    <x v="76"/>
    <x v="239"/>
    <x v="2215"/>
  </r>
  <r>
    <x v="2"/>
    <x v="2"/>
    <x v="239"/>
    <x v="2119"/>
  </r>
  <r>
    <x v="21"/>
    <x v="21"/>
    <x v="239"/>
    <x v="828"/>
  </r>
  <r>
    <x v="3"/>
    <x v="3"/>
    <x v="239"/>
    <x v="1286"/>
  </r>
  <r>
    <x v="101"/>
    <x v="101"/>
    <x v="239"/>
    <x v="1501"/>
  </r>
  <r>
    <x v="35"/>
    <x v="35"/>
    <x v="239"/>
    <x v="829"/>
  </r>
  <r>
    <x v="4"/>
    <x v="4"/>
    <x v="239"/>
    <x v="762"/>
  </r>
  <r>
    <x v="22"/>
    <x v="22"/>
    <x v="239"/>
    <x v="1898"/>
  </r>
  <r>
    <x v="5"/>
    <x v="5"/>
    <x v="239"/>
    <x v="1045"/>
  </r>
  <r>
    <x v="23"/>
    <x v="23"/>
    <x v="239"/>
    <x v="192"/>
  </r>
  <r>
    <x v="55"/>
    <x v="55"/>
    <x v="239"/>
    <x v="2216"/>
  </r>
  <r>
    <x v="70"/>
    <x v="70"/>
    <x v="239"/>
    <x v="796"/>
  </r>
  <r>
    <x v="67"/>
    <x v="67"/>
    <x v="239"/>
    <x v="734"/>
  </r>
  <r>
    <x v="25"/>
    <x v="25"/>
    <x v="239"/>
    <x v="2216"/>
  </r>
  <r>
    <x v="74"/>
    <x v="74"/>
    <x v="239"/>
    <x v="403"/>
  </r>
  <r>
    <x v="6"/>
    <x v="6"/>
    <x v="239"/>
    <x v="776"/>
  </r>
  <r>
    <x v="37"/>
    <x v="37"/>
    <x v="239"/>
    <x v="70"/>
  </r>
  <r>
    <x v="8"/>
    <x v="8"/>
    <x v="239"/>
    <x v="288"/>
  </r>
  <r>
    <x v="9"/>
    <x v="9"/>
    <x v="239"/>
    <x v="443"/>
  </r>
  <r>
    <x v="38"/>
    <x v="38"/>
    <x v="239"/>
    <x v="2217"/>
  </r>
  <r>
    <x v="10"/>
    <x v="10"/>
    <x v="239"/>
    <x v="552"/>
  </r>
  <r>
    <x v="11"/>
    <x v="11"/>
    <x v="239"/>
    <x v="2218"/>
  </r>
  <r>
    <x v="28"/>
    <x v="28"/>
    <x v="239"/>
    <x v="2219"/>
  </r>
  <r>
    <x v="12"/>
    <x v="12"/>
    <x v="239"/>
    <x v="2172"/>
  </r>
  <r>
    <x v="29"/>
    <x v="29"/>
    <x v="239"/>
    <x v="856"/>
  </r>
  <r>
    <x v="43"/>
    <x v="43"/>
    <x v="239"/>
    <x v="2220"/>
  </r>
  <r>
    <x v="80"/>
    <x v="80"/>
    <x v="239"/>
    <x v="596"/>
  </r>
  <r>
    <x v="81"/>
    <x v="81"/>
    <x v="239"/>
    <x v="788"/>
  </r>
  <r>
    <x v="40"/>
    <x v="40"/>
    <x v="239"/>
    <x v="59"/>
  </r>
  <r>
    <x v="51"/>
    <x v="51"/>
    <x v="239"/>
    <x v="96"/>
  </r>
  <r>
    <x v="69"/>
    <x v="69"/>
    <x v="239"/>
    <x v="230"/>
  </r>
  <r>
    <x v="46"/>
    <x v="46"/>
    <x v="239"/>
    <x v="84"/>
  </r>
  <r>
    <x v="14"/>
    <x v="14"/>
    <x v="239"/>
    <x v="507"/>
  </r>
  <r>
    <x v="78"/>
    <x v="78"/>
    <x v="239"/>
    <x v="16"/>
  </r>
  <r>
    <x v="15"/>
    <x v="15"/>
    <x v="239"/>
    <x v="62"/>
  </r>
  <r>
    <x v="114"/>
    <x v="114"/>
    <x v="239"/>
    <x v="82"/>
  </r>
  <r>
    <x v="16"/>
    <x v="16"/>
    <x v="239"/>
    <x v="14"/>
  </r>
  <r>
    <x v="41"/>
    <x v="41"/>
    <x v="240"/>
    <x v="339"/>
  </r>
  <r>
    <x v="0"/>
    <x v="0"/>
    <x v="240"/>
    <x v="1895"/>
  </r>
  <r>
    <x v="2"/>
    <x v="2"/>
    <x v="240"/>
    <x v="860"/>
  </r>
  <r>
    <x v="21"/>
    <x v="21"/>
    <x v="240"/>
    <x v="2221"/>
  </r>
  <r>
    <x v="4"/>
    <x v="4"/>
    <x v="240"/>
    <x v="589"/>
  </r>
  <r>
    <x v="5"/>
    <x v="5"/>
    <x v="240"/>
    <x v="1442"/>
  </r>
  <r>
    <x v="23"/>
    <x v="23"/>
    <x v="240"/>
    <x v="995"/>
  </r>
  <r>
    <x v="55"/>
    <x v="55"/>
    <x v="240"/>
    <x v="401"/>
  </r>
  <r>
    <x v="26"/>
    <x v="26"/>
    <x v="240"/>
    <x v="946"/>
  </r>
  <r>
    <x v="36"/>
    <x v="36"/>
    <x v="240"/>
    <x v="708"/>
  </r>
  <r>
    <x v="88"/>
    <x v="88"/>
    <x v="240"/>
    <x v="1991"/>
  </r>
  <r>
    <x v="94"/>
    <x v="94"/>
    <x v="240"/>
    <x v="1737"/>
  </r>
  <r>
    <x v="8"/>
    <x v="8"/>
    <x v="240"/>
    <x v="710"/>
  </r>
  <r>
    <x v="9"/>
    <x v="9"/>
    <x v="240"/>
    <x v="1121"/>
  </r>
  <r>
    <x v="10"/>
    <x v="10"/>
    <x v="240"/>
    <x v="1686"/>
  </r>
  <r>
    <x v="27"/>
    <x v="27"/>
    <x v="240"/>
    <x v="1993"/>
  </r>
  <r>
    <x v="11"/>
    <x v="11"/>
    <x v="240"/>
    <x v="2222"/>
  </r>
  <r>
    <x v="28"/>
    <x v="28"/>
    <x v="240"/>
    <x v="1807"/>
  </r>
  <r>
    <x v="12"/>
    <x v="12"/>
    <x v="240"/>
    <x v="1548"/>
  </r>
  <r>
    <x v="59"/>
    <x v="59"/>
    <x v="240"/>
    <x v="2223"/>
  </r>
  <r>
    <x v="29"/>
    <x v="29"/>
    <x v="240"/>
    <x v="1293"/>
  </r>
  <r>
    <x v="72"/>
    <x v="72"/>
    <x v="240"/>
    <x v="1996"/>
  </r>
  <r>
    <x v="112"/>
    <x v="112"/>
    <x v="240"/>
    <x v="326"/>
  </r>
  <r>
    <x v="84"/>
    <x v="84"/>
    <x v="240"/>
    <x v="938"/>
  </r>
  <r>
    <x v="40"/>
    <x v="40"/>
    <x v="240"/>
    <x v="1054"/>
  </r>
  <r>
    <x v="44"/>
    <x v="44"/>
    <x v="240"/>
    <x v="79"/>
  </r>
  <r>
    <x v="73"/>
    <x v="73"/>
    <x v="240"/>
    <x v="207"/>
  </r>
  <r>
    <x v="46"/>
    <x v="46"/>
    <x v="240"/>
    <x v="2224"/>
  </r>
  <r>
    <x v="14"/>
    <x v="14"/>
    <x v="240"/>
    <x v="98"/>
  </r>
  <r>
    <x v="47"/>
    <x v="47"/>
    <x v="240"/>
    <x v="230"/>
  </r>
  <r>
    <x v="16"/>
    <x v="16"/>
    <x v="240"/>
    <x v="82"/>
  </r>
  <r>
    <x v="17"/>
    <x v="17"/>
    <x v="240"/>
    <x v="147"/>
  </r>
  <r>
    <x v="0"/>
    <x v="0"/>
    <x v="241"/>
    <x v="340"/>
  </r>
  <r>
    <x v="2"/>
    <x v="2"/>
    <x v="241"/>
    <x v="754"/>
  </r>
  <r>
    <x v="21"/>
    <x v="21"/>
    <x v="241"/>
    <x v="617"/>
  </r>
  <r>
    <x v="3"/>
    <x v="3"/>
    <x v="241"/>
    <x v="344"/>
  </r>
  <r>
    <x v="4"/>
    <x v="4"/>
    <x v="241"/>
    <x v="2225"/>
  </r>
  <r>
    <x v="5"/>
    <x v="5"/>
    <x v="241"/>
    <x v="904"/>
  </r>
  <r>
    <x v="23"/>
    <x v="23"/>
    <x v="241"/>
    <x v="1167"/>
  </r>
  <r>
    <x v="67"/>
    <x v="67"/>
    <x v="241"/>
    <x v="819"/>
  </r>
  <r>
    <x v="26"/>
    <x v="26"/>
    <x v="241"/>
    <x v="1046"/>
  </r>
  <r>
    <x v="74"/>
    <x v="74"/>
    <x v="241"/>
    <x v="104"/>
  </r>
  <r>
    <x v="98"/>
    <x v="98"/>
    <x v="241"/>
    <x v="1008"/>
  </r>
  <r>
    <x v="8"/>
    <x v="8"/>
    <x v="241"/>
    <x v="550"/>
  </r>
  <r>
    <x v="9"/>
    <x v="9"/>
    <x v="241"/>
    <x v="2226"/>
  </r>
  <r>
    <x v="10"/>
    <x v="10"/>
    <x v="241"/>
    <x v="2227"/>
  </r>
  <r>
    <x v="11"/>
    <x v="11"/>
    <x v="241"/>
    <x v="770"/>
  </r>
  <r>
    <x v="12"/>
    <x v="12"/>
    <x v="241"/>
    <x v="1702"/>
  </r>
  <r>
    <x v="29"/>
    <x v="29"/>
    <x v="241"/>
    <x v="1549"/>
  </r>
  <r>
    <x v="44"/>
    <x v="44"/>
    <x v="241"/>
    <x v="2228"/>
  </r>
  <r>
    <x v="60"/>
    <x v="60"/>
    <x v="241"/>
    <x v="2229"/>
  </r>
  <r>
    <x v="46"/>
    <x v="46"/>
    <x v="241"/>
    <x v="82"/>
  </r>
  <r>
    <x v="14"/>
    <x v="14"/>
    <x v="241"/>
    <x v="111"/>
  </r>
  <r>
    <x v="15"/>
    <x v="15"/>
    <x v="241"/>
    <x v="82"/>
  </r>
  <r>
    <x v="16"/>
    <x v="16"/>
    <x v="241"/>
    <x v="62"/>
  </r>
  <r>
    <x v="76"/>
    <x v="76"/>
    <x v="242"/>
    <x v="2230"/>
  </r>
  <r>
    <x v="2"/>
    <x v="2"/>
    <x v="242"/>
    <x v="860"/>
  </r>
  <r>
    <x v="34"/>
    <x v="34"/>
    <x v="242"/>
    <x v="454"/>
  </r>
  <r>
    <x v="21"/>
    <x v="21"/>
    <x v="242"/>
    <x v="1297"/>
  </r>
  <r>
    <x v="3"/>
    <x v="3"/>
    <x v="242"/>
    <x v="1855"/>
  </r>
  <r>
    <x v="35"/>
    <x v="35"/>
    <x v="242"/>
    <x v="1168"/>
  </r>
  <r>
    <x v="4"/>
    <x v="4"/>
    <x v="242"/>
    <x v="1603"/>
  </r>
  <r>
    <x v="5"/>
    <x v="5"/>
    <x v="242"/>
    <x v="2231"/>
  </r>
  <r>
    <x v="65"/>
    <x v="65"/>
    <x v="242"/>
    <x v="2232"/>
  </r>
  <r>
    <x v="23"/>
    <x v="23"/>
    <x v="242"/>
    <x v="1411"/>
  </r>
  <r>
    <x v="67"/>
    <x v="67"/>
    <x v="242"/>
    <x v="734"/>
  </r>
  <r>
    <x v="26"/>
    <x v="26"/>
    <x v="242"/>
    <x v="2233"/>
  </r>
  <r>
    <x v="74"/>
    <x v="74"/>
    <x v="242"/>
    <x v="104"/>
  </r>
  <r>
    <x v="88"/>
    <x v="88"/>
    <x v="242"/>
    <x v="1121"/>
  </r>
  <r>
    <x v="7"/>
    <x v="7"/>
    <x v="242"/>
    <x v="2234"/>
  </r>
  <r>
    <x v="8"/>
    <x v="8"/>
    <x v="242"/>
    <x v="478"/>
  </r>
  <r>
    <x v="9"/>
    <x v="9"/>
    <x v="242"/>
    <x v="148"/>
  </r>
  <r>
    <x v="38"/>
    <x v="38"/>
    <x v="242"/>
    <x v="915"/>
  </r>
  <r>
    <x v="10"/>
    <x v="10"/>
    <x v="242"/>
    <x v="10"/>
  </r>
  <r>
    <x v="11"/>
    <x v="11"/>
    <x v="242"/>
    <x v="2016"/>
  </r>
  <r>
    <x v="12"/>
    <x v="12"/>
    <x v="242"/>
    <x v="55"/>
  </r>
  <r>
    <x v="59"/>
    <x v="59"/>
    <x v="242"/>
    <x v="2235"/>
  </r>
  <r>
    <x v="29"/>
    <x v="29"/>
    <x v="242"/>
    <x v="2181"/>
  </r>
  <r>
    <x v="72"/>
    <x v="72"/>
    <x v="242"/>
    <x v="1403"/>
  </r>
  <r>
    <x v="44"/>
    <x v="44"/>
    <x v="242"/>
    <x v="559"/>
  </r>
  <r>
    <x v="51"/>
    <x v="51"/>
    <x v="242"/>
    <x v="807"/>
  </r>
  <r>
    <x v="46"/>
    <x v="46"/>
    <x v="242"/>
    <x v="500"/>
  </r>
  <r>
    <x v="14"/>
    <x v="14"/>
    <x v="242"/>
    <x v="160"/>
  </r>
  <r>
    <x v="78"/>
    <x v="78"/>
    <x v="242"/>
    <x v="63"/>
  </r>
  <r>
    <x v="15"/>
    <x v="15"/>
    <x v="242"/>
    <x v="85"/>
  </r>
  <r>
    <x v="17"/>
    <x v="17"/>
    <x v="242"/>
    <x v="159"/>
  </r>
  <r>
    <x v="0"/>
    <x v="0"/>
    <x v="243"/>
    <x v="404"/>
  </r>
  <r>
    <x v="76"/>
    <x v="76"/>
    <x v="243"/>
    <x v="1263"/>
  </r>
  <r>
    <x v="2"/>
    <x v="2"/>
    <x v="243"/>
    <x v="754"/>
  </r>
  <r>
    <x v="21"/>
    <x v="21"/>
    <x v="243"/>
    <x v="2236"/>
  </r>
  <r>
    <x v="3"/>
    <x v="3"/>
    <x v="243"/>
    <x v="1486"/>
  </r>
  <r>
    <x v="101"/>
    <x v="101"/>
    <x v="243"/>
    <x v="548"/>
  </r>
  <r>
    <x v="4"/>
    <x v="4"/>
    <x v="243"/>
    <x v="1357"/>
  </r>
  <r>
    <x v="22"/>
    <x v="22"/>
    <x v="243"/>
    <x v="569"/>
  </r>
  <r>
    <x v="5"/>
    <x v="5"/>
    <x v="243"/>
    <x v="549"/>
  </r>
  <r>
    <x v="55"/>
    <x v="55"/>
    <x v="243"/>
    <x v="349"/>
  </r>
  <r>
    <x v="26"/>
    <x v="26"/>
    <x v="243"/>
    <x v="89"/>
  </r>
  <r>
    <x v="74"/>
    <x v="74"/>
    <x v="243"/>
    <x v="364"/>
  </r>
  <r>
    <x v="71"/>
    <x v="71"/>
    <x v="243"/>
    <x v="1281"/>
  </r>
  <r>
    <x v="8"/>
    <x v="8"/>
    <x v="243"/>
    <x v="831"/>
  </r>
  <r>
    <x v="9"/>
    <x v="9"/>
    <x v="243"/>
    <x v="218"/>
  </r>
  <r>
    <x v="10"/>
    <x v="10"/>
    <x v="243"/>
    <x v="2237"/>
  </r>
  <r>
    <x v="11"/>
    <x v="11"/>
    <x v="243"/>
    <x v="823"/>
  </r>
  <r>
    <x v="28"/>
    <x v="28"/>
    <x v="243"/>
    <x v="1807"/>
  </r>
  <r>
    <x v="12"/>
    <x v="12"/>
    <x v="243"/>
    <x v="783"/>
  </r>
  <r>
    <x v="29"/>
    <x v="29"/>
    <x v="243"/>
    <x v="836"/>
  </r>
  <r>
    <x v="112"/>
    <x v="112"/>
    <x v="243"/>
    <x v="2238"/>
  </r>
  <r>
    <x v="102"/>
    <x v="102"/>
    <x v="243"/>
    <x v="2239"/>
  </r>
  <r>
    <x v="46"/>
    <x v="46"/>
    <x v="243"/>
    <x v="2240"/>
  </r>
  <r>
    <x v="14"/>
    <x v="14"/>
    <x v="243"/>
    <x v="16"/>
  </r>
  <r>
    <x v="78"/>
    <x v="78"/>
    <x v="243"/>
    <x v="533"/>
  </r>
  <r>
    <x v="15"/>
    <x v="15"/>
    <x v="243"/>
    <x v="111"/>
  </r>
  <r>
    <x v="2"/>
    <x v="2"/>
    <x v="244"/>
    <x v="416"/>
  </r>
  <r>
    <x v="20"/>
    <x v="20"/>
    <x v="244"/>
    <x v="65"/>
  </r>
  <r>
    <x v="21"/>
    <x v="21"/>
    <x v="244"/>
    <x v="66"/>
  </r>
  <r>
    <x v="3"/>
    <x v="3"/>
    <x v="244"/>
    <x v="2241"/>
  </r>
  <r>
    <x v="35"/>
    <x v="35"/>
    <x v="244"/>
    <x v="1006"/>
  </r>
  <r>
    <x v="4"/>
    <x v="4"/>
    <x v="244"/>
    <x v="662"/>
  </r>
  <r>
    <x v="5"/>
    <x v="5"/>
    <x v="244"/>
    <x v="2242"/>
  </r>
  <r>
    <x v="23"/>
    <x v="23"/>
    <x v="244"/>
    <x v="192"/>
  </r>
  <r>
    <x v="55"/>
    <x v="55"/>
    <x v="244"/>
    <x v="140"/>
  </r>
  <r>
    <x v="67"/>
    <x v="67"/>
    <x v="244"/>
    <x v="819"/>
  </r>
  <r>
    <x v="25"/>
    <x v="25"/>
    <x v="244"/>
    <x v="1063"/>
  </r>
  <r>
    <x v="26"/>
    <x v="26"/>
    <x v="244"/>
    <x v="369"/>
  </r>
  <r>
    <x v="79"/>
    <x v="79"/>
    <x v="244"/>
    <x v="621"/>
  </r>
  <r>
    <x v="82"/>
    <x v="82"/>
    <x v="244"/>
    <x v="578"/>
  </r>
  <r>
    <x v="6"/>
    <x v="6"/>
    <x v="244"/>
    <x v="6"/>
  </r>
  <r>
    <x v="8"/>
    <x v="8"/>
    <x v="244"/>
    <x v="1413"/>
  </r>
  <r>
    <x v="58"/>
    <x v="58"/>
    <x v="244"/>
    <x v="479"/>
  </r>
  <r>
    <x v="10"/>
    <x v="10"/>
    <x v="244"/>
    <x v="2243"/>
  </r>
  <r>
    <x v="11"/>
    <x v="11"/>
    <x v="244"/>
    <x v="554"/>
  </r>
  <r>
    <x v="28"/>
    <x v="28"/>
    <x v="244"/>
    <x v="1599"/>
  </r>
  <r>
    <x v="12"/>
    <x v="12"/>
    <x v="244"/>
    <x v="1271"/>
  </r>
  <r>
    <x v="29"/>
    <x v="29"/>
    <x v="244"/>
    <x v="907"/>
  </r>
  <r>
    <x v="112"/>
    <x v="112"/>
    <x v="244"/>
    <x v="2244"/>
  </r>
  <r>
    <x v="40"/>
    <x v="40"/>
    <x v="244"/>
    <x v="813"/>
  </r>
  <r>
    <x v="51"/>
    <x v="51"/>
    <x v="244"/>
    <x v="673"/>
  </r>
  <r>
    <x v="69"/>
    <x v="69"/>
    <x v="244"/>
    <x v="98"/>
  </r>
  <r>
    <x v="96"/>
    <x v="96"/>
    <x v="244"/>
    <x v="40"/>
  </r>
  <r>
    <x v="46"/>
    <x v="46"/>
    <x v="244"/>
    <x v="468"/>
  </r>
  <r>
    <x v="14"/>
    <x v="14"/>
    <x v="244"/>
    <x v="209"/>
  </r>
  <r>
    <x v="78"/>
    <x v="78"/>
    <x v="244"/>
    <x v="62"/>
  </r>
  <r>
    <x v="16"/>
    <x v="16"/>
    <x v="244"/>
    <x v="82"/>
  </r>
  <r>
    <x v="17"/>
    <x v="17"/>
    <x v="244"/>
    <x v="13"/>
  </r>
  <r>
    <x v="0"/>
    <x v="0"/>
    <x v="245"/>
    <x v="164"/>
  </r>
  <r>
    <x v="76"/>
    <x v="76"/>
    <x v="245"/>
    <x v="469"/>
  </r>
  <r>
    <x v="2"/>
    <x v="2"/>
    <x v="245"/>
    <x v="902"/>
  </r>
  <r>
    <x v="21"/>
    <x v="21"/>
    <x v="245"/>
    <x v="2245"/>
  </r>
  <r>
    <x v="3"/>
    <x v="3"/>
    <x v="245"/>
    <x v="518"/>
  </r>
  <r>
    <x v="4"/>
    <x v="4"/>
    <x v="245"/>
    <x v="2246"/>
  </r>
  <r>
    <x v="22"/>
    <x v="22"/>
    <x v="245"/>
    <x v="1883"/>
  </r>
  <r>
    <x v="5"/>
    <x v="5"/>
    <x v="245"/>
    <x v="520"/>
  </r>
  <r>
    <x v="23"/>
    <x v="23"/>
    <x v="245"/>
    <x v="51"/>
  </r>
  <r>
    <x v="55"/>
    <x v="55"/>
    <x v="245"/>
    <x v="930"/>
  </r>
  <r>
    <x v="70"/>
    <x v="70"/>
    <x v="245"/>
    <x v="2247"/>
  </r>
  <r>
    <x v="61"/>
    <x v="61"/>
    <x v="245"/>
    <x v="1275"/>
  </r>
  <r>
    <x v="86"/>
    <x v="86"/>
    <x v="245"/>
    <x v="796"/>
  </r>
  <r>
    <x v="6"/>
    <x v="6"/>
    <x v="245"/>
    <x v="6"/>
  </r>
  <r>
    <x v="8"/>
    <x v="8"/>
    <x v="245"/>
    <x v="2248"/>
  </r>
  <r>
    <x v="38"/>
    <x v="38"/>
    <x v="245"/>
    <x v="2249"/>
  </r>
  <r>
    <x v="10"/>
    <x v="10"/>
    <x v="245"/>
    <x v="2250"/>
  </r>
  <r>
    <x v="11"/>
    <x v="11"/>
    <x v="245"/>
    <x v="2056"/>
  </r>
  <r>
    <x v="53"/>
    <x v="53"/>
    <x v="245"/>
    <x v="2195"/>
  </r>
  <r>
    <x v="12"/>
    <x v="12"/>
    <x v="245"/>
    <x v="74"/>
  </r>
  <r>
    <x v="39"/>
    <x v="39"/>
    <x v="245"/>
    <x v="2150"/>
  </r>
  <r>
    <x v="29"/>
    <x v="29"/>
    <x v="245"/>
    <x v="463"/>
  </r>
  <r>
    <x v="112"/>
    <x v="112"/>
    <x v="245"/>
    <x v="1099"/>
  </r>
  <r>
    <x v="84"/>
    <x v="84"/>
    <x v="245"/>
    <x v="2078"/>
  </r>
  <r>
    <x v="46"/>
    <x v="46"/>
    <x v="245"/>
    <x v="85"/>
  </r>
  <r>
    <x v="14"/>
    <x v="14"/>
    <x v="245"/>
    <x v="82"/>
  </r>
  <r>
    <x v="47"/>
    <x v="47"/>
    <x v="245"/>
    <x v="111"/>
  </r>
  <r>
    <x v="78"/>
    <x v="78"/>
    <x v="245"/>
    <x v="230"/>
  </r>
  <r>
    <x v="15"/>
    <x v="15"/>
    <x v="245"/>
    <x v="111"/>
  </r>
  <r>
    <x v="16"/>
    <x v="16"/>
    <x v="245"/>
    <x v="16"/>
  </r>
  <r>
    <x v="76"/>
    <x v="76"/>
    <x v="246"/>
    <x v="301"/>
  </r>
  <r>
    <x v="20"/>
    <x v="20"/>
    <x v="246"/>
    <x v="65"/>
  </r>
  <r>
    <x v="101"/>
    <x v="101"/>
    <x v="246"/>
    <x v="1318"/>
  </r>
  <r>
    <x v="4"/>
    <x v="4"/>
    <x v="246"/>
    <x v="1101"/>
  </r>
  <r>
    <x v="65"/>
    <x v="65"/>
    <x v="246"/>
    <x v="172"/>
  </r>
  <r>
    <x v="23"/>
    <x v="23"/>
    <x v="246"/>
    <x v="1411"/>
  </r>
  <r>
    <x v="26"/>
    <x v="26"/>
    <x v="246"/>
    <x v="141"/>
  </r>
  <r>
    <x v="10"/>
    <x v="10"/>
    <x v="246"/>
    <x v="1406"/>
  </r>
  <r>
    <x v="11"/>
    <x v="11"/>
    <x v="246"/>
    <x v="2251"/>
  </r>
  <r>
    <x v="29"/>
    <x v="29"/>
    <x v="246"/>
    <x v="656"/>
  </r>
  <r>
    <x v="112"/>
    <x v="112"/>
    <x v="246"/>
    <x v="2252"/>
  </r>
  <r>
    <x v="97"/>
    <x v="97"/>
    <x v="246"/>
    <x v="1980"/>
  </r>
  <r>
    <x v="96"/>
    <x v="96"/>
    <x v="246"/>
    <x v="111"/>
  </r>
  <r>
    <x v="14"/>
    <x v="14"/>
    <x v="246"/>
    <x v="98"/>
  </r>
  <r>
    <x v="15"/>
    <x v="15"/>
    <x v="246"/>
    <x v="111"/>
  </r>
  <r>
    <x v="17"/>
    <x v="17"/>
    <x v="246"/>
    <x v="161"/>
  </r>
  <r>
    <x v="0"/>
    <x v="0"/>
    <x v="247"/>
    <x v="516"/>
  </r>
  <r>
    <x v="76"/>
    <x v="76"/>
    <x v="247"/>
    <x v="561"/>
  </r>
  <r>
    <x v="2"/>
    <x v="2"/>
    <x v="247"/>
    <x v="2253"/>
  </r>
  <r>
    <x v="21"/>
    <x v="21"/>
    <x v="247"/>
    <x v="397"/>
  </r>
  <r>
    <x v="3"/>
    <x v="3"/>
    <x v="247"/>
    <x v="452"/>
  </r>
  <r>
    <x v="101"/>
    <x v="101"/>
    <x v="247"/>
    <x v="922"/>
  </r>
  <r>
    <x v="4"/>
    <x v="4"/>
    <x v="247"/>
    <x v="910"/>
  </r>
  <r>
    <x v="5"/>
    <x v="5"/>
    <x v="247"/>
    <x v="2242"/>
  </r>
  <r>
    <x v="23"/>
    <x v="23"/>
    <x v="247"/>
    <x v="2254"/>
  </r>
  <r>
    <x v="55"/>
    <x v="55"/>
    <x v="247"/>
    <x v="28"/>
  </r>
  <r>
    <x v="26"/>
    <x v="26"/>
    <x v="247"/>
    <x v="2255"/>
  </r>
  <r>
    <x v="86"/>
    <x v="86"/>
    <x v="247"/>
    <x v="1102"/>
  </r>
  <r>
    <x v="8"/>
    <x v="8"/>
    <x v="247"/>
    <x v="328"/>
  </r>
  <r>
    <x v="9"/>
    <x v="9"/>
    <x v="247"/>
    <x v="1236"/>
  </r>
  <r>
    <x v="38"/>
    <x v="38"/>
    <x v="247"/>
    <x v="1148"/>
  </r>
  <r>
    <x v="10"/>
    <x v="10"/>
    <x v="247"/>
    <x v="2143"/>
  </r>
  <r>
    <x v="11"/>
    <x v="11"/>
    <x v="247"/>
    <x v="2256"/>
  </r>
  <r>
    <x v="12"/>
    <x v="12"/>
    <x v="247"/>
    <x v="483"/>
  </r>
  <r>
    <x v="29"/>
    <x v="29"/>
    <x v="247"/>
    <x v="1925"/>
  </r>
  <r>
    <x v="112"/>
    <x v="112"/>
    <x v="247"/>
    <x v="2087"/>
  </r>
  <r>
    <x v="51"/>
    <x v="51"/>
    <x v="247"/>
    <x v="96"/>
  </r>
  <r>
    <x v="46"/>
    <x v="46"/>
    <x v="247"/>
    <x v="875"/>
  </r>
  <r>
    <x v="14"/>
    <x v="14"/>
    <x v="247"/>
    <x v="63"/>
  </r>
  <r>
    <x v="15"/>
    <x v="15"/>
    <x v="247"/>
    <x v="414"/>
  </r>
  <r>
    <x v="17"/>
    <x v="17"/>
    <x v="247"/>
    <x v="15"/>
  </r>
  <r>
    <x v="0"/>
    <x v="0"/>
    <x v="248"/>
    <x v="1544"/>
  </r>
  <r>
    <x v="2"/>
    <x v="2"/>
    <x v="248"/>
    <x v="81"/>
  </r>
  <r>
    <x v="20"/>
    <x v="20"/>
    <x v="248"/>
    <x v="2257"/>
  </r>
  <r>
    <x v="21"/>
    <x v="21"/>
    <x v="248"/>
    <x v="598"/>
  </r>
  <r>
    <x v="4"/>
    <x v="4"/>
    <x v="248"/>
    <x v="910"/>
  </r>
  <r>
    <x v="52"/>
    <x v="52"/>
    <x v="248"/>
    <x v="944"/>
  </r>
  <r>
    <x v="22"/>
    <x v="22"/>
    <x v="248"/>
    <x v="1883"/>
  </r>
  <r>
    <x v="5"/>
    <x v="5"/>
    <x v="248"/>
    <x v="520"/>
  </r>
  <r>
    <x v="79"/>
    <x v="79"/>
    <x v="248"/>
    <x v="2258"/>
  </r>
  <r>
    <x v="86"/>
    <x v="86"/>
    <x v="248"/>
    <x v="2196"/>
  </r>
  <r>
    <x v="7"/>
    <x v="7"/>
    <x v="248"/>
    <x v="7"/>
  </r>
  <r>
    <x v="37"/>
    <x v="37"/>
    <x v="248"/>
    <x v="1738"/>
  </r>
  <r>
    <x v="8"/>
    <x v="8"/>
    <x v="248"/>
    <x v="270"/>
  </r>
  <r>
    <x v="9"/>
    <x v="9"/>
    <x v="248"/>
    <x v="303"/>
  </r>
  <r>
    <x v="38"/>
    <x v="38"/>
    <x v="248"/>
    <x v="2259"/>
  </r>
  <r>
    <x v="10"/>
    <x v="10"/>
    <x v="248"/>
    <x v="310"/>
  </r>
  <r>
    <x v="11"/>
    <x v="11"/>
    <x v="248"/>
    <x v="1492"/>
  </r>
  <r>
    <x v="53"/>
    <x v="53"/>
    <x v="248"/>
    <x v="2260"/>
  </r>
  <r>
    <x v="28"/>
    <x v="28"/>
    <x v="248"/>
    <x v="253"/>
  </r>
  <r>
    <x v="12"/>
    <x v="12"/>
    <x v="248"/>
    <x v="1161"/>
  </r>
  <r>
    <x v="29"/>
    <x v="29"/>
    <x v="248"/>
    <x v="2261"/>
  </r>
  <r>
    <x v="43"/>
    <x v="43"/>
    <x v="248"/>
    <x v="1626"/>
  </r>
  <r>
    <x v="96"/>
    <x v="96"/>
    <x v="248"/>
    <x v="111"/>
  </r>
  <r>
    <x v="46"/>
    <x v="46"/>
    <x v="248"/>
    <x v="2262"/>
  </r>
  <r>
    <x v="14"/>
    <x v="14"/>
    <x v="248"/>
    <x v="209"/>
  </r>
  <r>
    <x v="78"/>
    <x v="78"/>
    <x v="248"/>
    <x v="82"/>
  </r>
  <r>
    <x v="15"/>
    <x v="15"/>
    <x v="248"/>
    <x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utoFormatId="1" applyNumberFormats="0" applyBorderFormats="0" applyFontFormats="0" applyPatternFormats="0" applyAlignmentFormats="0" applyWidthHeightFormats="1" dataCaption="Valores" updatedVersion="5" minRefreshableVersion="3" createdVersion="8" rowGrandTotals="0" colGrandTotals="0" indent="0" outline="1" outlineData="1" showDrill="1" multipleFieldFilters="0" rowHeaderCaption="Data ">
  <location ref="E7:F253" firstHeaderRow="1" firstDataRow="1" firstDataCol="1" rowPageCount="1" colPageCount="1"/>
  <pivotFields count="4">
    <pivotField axis="axisPage" showAll="0">
      <items count="1076">
        <item m="1" x="249"/>
        <item m="1" x="262"/>
        <item m="1" x="533"/>
        <item m="1" x="469"/>
        <item m="1" x="324"/>
        <item m="1" x="689"/>
        <item m="1" x="510"/>
        <item m="1" x="290"/>
        <item m="1" x="530"/>
        <item m="1" x="951"/>
        <item m="1" x="312"/>
        <item m="1" x="730"/>
        <item m="1" x="1043"/>
        <item m="1" x="636"/>
        <item m="1" x="476"/>
        <item m="1" x="532"/>
        <item m="1" x="169"/>
        <item m="1" x="166"/>
        <item m="1" x="261"/>
        <item m="1" x="434"/>
        <item m="1" x="856"/>
        <item m="1" x="147"/>
        <item m="1" x="171"/>
        <item m="1" x="595"/>
        <item m="1" x="186"/>
        <item m="1" x="325"/>
        <item m="1" x="207"/>
        <item m="1" x="568"/>
        <item m="1" x="593"/>
        <item m="1" x="837"/>
        <item m="1" x="284"/>
        <item m="1" x="263"/>
        <item m="1" x="594"/>
        <item m="1" x="762"/>
        <item m="1" x="807"/>
        <item m="1" x="445"/>
        <item m="1" x="797"/>
        <item m="1" x="592"/>
        <item m="1" x="857"/>
        <item m="1" x="202"/>
        <item m="1" x="294"/>
        <item m="1" x="399"/>
        <item m="1" x="347"/>
        <item m="1" x="544"/>
        <item m="1" x="988"/>
        <item m="1" x="950"/>
        <item m="1" x="1039"/>
        <item m="1" x="305"/>
        <item m="1" x="502"/>
        <item m="1" x="641"/>
        <item m="1" x="888"/>
        <item m="1" x="880"/>
        <item m="1" x="806"/>
        <item m="1" x="907"/>
        <item m="1" x="990"/>
        <item m="1" x="632"/>
        <item m="1" x="848"/>
        <item m="1" x="1008"/>
        <item m="1" x="1042"/>
        <item m="1" x="663"/>
        <item m="1" x="924"/>
        <item m="1" x="197"/>
        <item m="1" x="172"/>
        <item m="1" x="308"/>
        <item m="1" x="256"/>
        <item m="1" x="667"/>
        <item m="1" x="767"/>
        <item m="1" x="184"/>
        <item m="1" x="682"/>
        <item m="1" x="214"/>
        <item m="1" x="317"/>
        <item m="1" x="248"/>
        <item m="1" x="190"/>
        <item m="1" x="591"/>
        <item m="1" x="925"/>
        <item m="1" x="1063"/>
        <item m="1" x="515"/>
        <item m="1" x="968"/>
        <item m="1" x="364"/>
        <item m="1" x="409"/>
        <item m="1" x="470"/>
        <item m="1" x="306"/>
        <item m="1" x="556"/>
        <item m="1" x="395"/>
        <item m="1" x="439"/>
        <item m="1" x="713"/>
        <item m="1" x="680"/>
        <item m="1" x="782"/>
        <item m="1" x="509"/>
        <item m="1" x="437"/>
        <item m="1" x="607"/>
        <item m="1" x="690"/>
        <item m="1" x="770"/>
        <item m="1" x="639"/>
        <item m="1" x="584"/>
        <item m="1" x="1041"/>
        <item m="1" x="989"/>
        <item m="1" x="930"/>
        <item m="1" x="879"/>
        <item m="1" x="1011"/>
        <item m="1" x="964"/>
        <item m="1" x="865"/>
        <item m="1" x="1009"/>
        <item m="1" x="926"/>
        <item m="1" x="1010"/>
        <item m="1" x="1007"/>
        <item m="1" x="963"/>
        <item m="1" x="361"/>
        <item m="1" x="443"/>
        <item m="1" x="758"/>
        <item x="48"/>
        <item x="49"/>
        <item x="50"/>
        <item x="75"/>
        <item x="18"/>
        <item x="41"/>
        <item x="19"/>
        <item x="0"/>
        <item x="1"/>
        <item x="76"/>
        <item x="2"/>
        <item x="20"/>
        <item x="34"/>
        <item x="21"/>
        <item x="3"/>
        <item x="35"/>
        <item x="4"/>
        <item x="52"/>
        <item x="87"/>
        <item m="1" x="122"/>
        <item x="22"/>
        <item x="5"/>
        <item x="113"/>
        <item x="65"/>
        <item x="23"/>
        <item x="55"/>
        <item x="66"/>
        <item x="70"/>
        <item x="99"/>
        <item x="89"/>
        <item m="1" x="124"/>
        <item x="67"/>
        <item x="56"/>
        <item x="26"/>
        <item x="79"/>
        <item x="61"/>
        <item m="1" x="131"/>
        <item x="86"/>
        <item x="36"/>
        <item x="100"/>
        <item x="92"/>
        <item x="93"/>
        <item m="1" x="125"/>
        <item x="74"/>
        <item x="82"/>
        <item x="6"/>
        <item x="77"/>
        <item x="62"/>
        <item m="1" x="129"/>
        <item x="63"/>
        <item x="7"/>
        <item x="98"/>
        <item x="94"/>
        <item m="1" x="119"/>
        <item x="37"/>
        <item x="8"/>
        <item x="58"/>
        <item x="9"/>
        <item x="38"/>
        <item x="10"/>
        <item x="27"/>
        <item x="103"/>
        <item m="1" x="121"/>
        <item x="11"/>
        <item x="109"/>
        <item x="53"/>
        <item x="28"/>
        <item x="95"/>
        <item x="90"/>
        <item x="12"/>
        <item x="39"/>
        <item x="29"/>
        <item x="72"/>
        <item x="43"/>
        <item m="1" x="128"/>
        <item x="30"/>
        <item x="112"/>
        <item x="97"/>
        <item x="81"/>
        <item x="54"/>
        <item m="1" x="133"/>
        <item x="84"/>
        <item x="40"/>
        <item x="31"/>
        <item x="64"/>
        <item x="44"/>
        <item m="1" x="118"/>
        <item x="73"/>
        <item x="32"/>
        <item x="45"/>
        <item m="1" x="132"/>
        <item x="102"/>
        <item x="51"/>
        <item m="1" x="222"/>
        <item m="1" x="178"/>
        <item m="1" x="235"/>
        <item m="1" x="215"/>
        <item m="1" x="177"/>
        <item m="1" x="243"/>
        <item m="1" x="444"/>
        <item m="1" x="662"/>
        <item m="1" x="793"/>
        <item m="1" x="522"/>
        <item m="1" x="822"/>
        <item m="1" x="631"/>
        <item m="1" x="582"/>
        <item m="1" x="732"/>
        <item m="1" x="882"/>
        <item m="1" x="1006"/>
        <item m="1" x="895"/>
        <item m="1" x="656"/>
        <item m="1" x="191"/>
        <item m="1" x="648"/>
        <item m="1" x="757"/>
        <item m="1" x="333"/>
        <item m="1" x="657"/>
        <item m="1" x="504"/>
        <item m="1" x="590"/>
        <item m="1" x="795"/>
        <item m="1" x="155"/>
        <item m="1" x="536"/>
        <item m="1" x="281"/>
        <item m="1" x="246"/>
        <item m="1" x="852"/>
        <item m="1" x="712"/>
        <item m="1" x="311"/>
        <item m="1" x="611"/>
        <item m="1" x="338"/>
        <item m="1" x="752"/>
        <item m="1" x="381"/>
        <item m="1" x="853"/>
        <item m="1" x="792"/>
        <item m="1" x="527"/>
        <item m="1" x="247"/>
        <item m="1" x="854"/>
        <item m="1" x="898"/>
        <item m="1" x="961"/>
        <item m="1" x="378"/>
        <item m="1" x="389"/>
        <item m="1" x="448"/>
        <item m="1" x="322"/>
        <item m="1" x="252"/>
        <item m="1" x="446"/>
        <item m="1" x="485"/>
        <item m="1" x="415"/>
        <item m="1" x="156"/>
        <item m="1" x="353"/>
        <item m="1" x="304"/>
        <item m="1" x="574"/>
        <item m="1" x="370"/>
        <item m="1" x="517"/>
        <item m="1" x="449"/>
        <item m="1" x="358"/>
        <item m="1" x="563"/>
        <item m="1" x="538"/>
        <item m="1" x="420"/>
        <item m="1" x="586"/>
        <item m="1" x="496"/>
        <item m="1" x="431"/>
        <item m="1" x="412"/>
        <item m="1" x="471"/>
        <item m="1" x="359"/>
        <item m="1" x="886"/>
        <item m="1" x="418"/>
        <item m="1" x="493"/>
        <item m="1" x="585"/>
        <item m="1" x="402"/>
        <item m="1" x="482"/>
        <item m="1" x="737"/>
        <item m="1" x="627"/>
        <item m="1" x="480"/>
        <item m="1" x="731"/>
        <item m="1" x="775"/>
        <item m="1" x="600"/>
        <item m="1" x="546"/>
        <item m="1" x="537"/>
        <item m="1" x="457"/>
        <item m="1" x="763"/>
        <item m="1" x="498"/>
        <item m="1" x="705"/>
        <item m="1" x="160"/>
        <item m="1" x="489"/>
        <item m="1" x="228"/>
        <item m="1" x="820"/>
        <item m="1" x="332"/>
        <item m="1" x="550"/>
        <item m="1" x="298"/>
        <item m="1" x="387"/>
        <item m="1" x="334"/>
        <item m="1" x="292"/>
        <item m="1" x="379"/>
        <item m="1" x="385"/>
        <item m="1" x="626"/>
        <item m="1" x="596"/>
        <item m="1" x="851"/>
        <item m="1" x="454"/>
        <item m="1" x="557"/>
        <item m="1" x="847"/>
        <item m="1" x="652"/>
        <item m="1" x="541"/>
        <item m="1" x="981"/>
        <item m="1" x="649"/>
        <item m="1" x="521"/>
        <item m="1" x="577"/>
        <item m="1" x="466"/>
        <item m="1" x="610"/>
        <item m="1" x="503"/>
        <item m="1" x="196"/>
        <item m="1" x="380"/>
        <item m="1" x="201"/>
        <item m="1" x="421"/>
        <item m="1" x="403"/>
        <item m="1" x="411"/>
        <item m="1" x="711"/>
        <item m="1" x="710"/>
        <item m="1" x="709"/>
        <item m="1" x="440"/>
        <item m="1" x="352"/>
        <item m="1" x="529"/>
        <item m="1" x="320"/>
        <item m="1" x="179"/>
        <item m="1" x="206"/>
        <item m="1" x="283"/>
        <item m="1" x="407"/>
        <item m="1" x="237"/>
        <item m="1" x="194"/>
        <item m="1" x="329"/>
        <item m="1" x="425"/>
        <item m="1" x="464"/>
        <item m="1" x="219"/>
        <item m="1" x="331"/>
        <item m="1" x="383"/>
        <item m="1" x="297"/>
        <item m="1" x="221"/>
        <item m="1" x="163"/>
        <item m="1" x="708"/>
        <item m="1" x="216"/>
        <item m="1" x="429"/>
        <item m="1" x="372"/>
        <item m="1" x="162"/>
        <item m="1" x="274"/>
        <item m="1" x="319"/>
        <item m="1" x="738"/>
        <item m="1" x="365"/>
        <item m="1" x="158"/>
        <item m="1" x="276"/>
        <item m="1" x="507"/>
        <item m="1" x="267"/>
        <item m="1" x="562"/>
        <item m="1" x="377"/>
        <item m="1" x="771"/>
        <item m="1" x="435"/>
        <item m="1" x="340"/>
        <item m="1" x="551"/>
        <item m="1" x="929"/>
        <item m="1" x="912"/>
        <item m="1" x="911"/>
        <item m="1" x="913"/>
        <item m="1" x="960"/>
        <item m="1" x="1054"/>
        <item m="1" x="1058"/>
        <item m="1" x="1056"/>
        <item m="1" x="1059"/>
        <item m="1" x="1057"/>
        <item m="1" x="552"/>
        <item m="1" x="488"/>
        <item m="1" x="714"/>
        <item m="1" x="438"/>
        <item m="1" x="398"/>
        <item m="1" x="665"/>
        <item m="1" x="318"/>
        <item m="1" x="479"/>
        <item m="1" x="406"/>
        <item m="1" x="735"/>
        <item m="1" x="386"/>
        <item m="1" x="428"/>
        <item m="1" x="343"/>
        <item m="1" x="287"/>
        <item m="1" x="211"/>
        <item m="1" x="323"/>
        <item m="1" x="483"/>
        <item m="1" x="845"/>
        <item m="1" x="554"/>
        <item m="1" x="642"/>
        <item m="1" x="313"/>
        <item m="1" x="362"/>
        <item m="1" x="348"/>
        <item m="1" x="566"/>
        <item m="1" x="616"/>
        <item m="1" x="453"/>
        <item m="1" x="677"/>
        <item m="1" x="271"/>
        <item m="1" x="336"/>
        <item m="1" x="227"/>
        <item m="1" x="404"/>
        <item m="1" x="565"/>
        <item m="1" x="286"/>
        <item m="1" x="351"/>
        <item m="1" x="232"/>
        <item m="1" x="266"/>
        <item m="1" x="478"/>
        <item m="1" x="572"/>
        <item m="1" x="300"/>
        <item m="1" x="569"/>
        <item m="1" x="270"/>
        <item m="1" x="373"/>
        <item m="1" x="279"/>
        <item m="1" x="553"/>
        <item m="1" x="643"/>
        <item m="1" x="388"/>
        <item m="1" x="497"/>
        <item m="1" x="519"/>
        <item m="1" x="307"/>
        <item m="1" x="780"/>
        <item m="1" x="674"/>
        <item m="1" x="540"/>
        <item m="1" x="375"/>
        <item m="1" x="579"/>
        <item m="1" x="1055"/>
        <item m="1" x="946"/>
        <item m="1" x="855"/>
        <item m="1" x="877"/>
        <item m="1" x="777"/>
        <item m="1" x="862"/>
        <item m="1" x="883"/>
        <item m="1" x="894"/>
        <item m="1" x="881"/>
        <item m="1" x="269"/>
        <item m="1" x="291"/>
        <item m="1" x="499"/>
        <item m="1" x="599"/>
        <item m="1" x="524"/>
        <item m="1" x="832"/>
        <item m="1" x="164"/>
        <item m="1" x="244"/>
        <item m="1" x="157"/>
        <item m="1" x="344"/>
        <item m="1" x="187"/>
        <item m="1" x="234"/>
        <item m="1" x="346"/>
        <item m="1" x="397"/>
        <item m="1" x="672"/>
        <item m="1" x="468"/>
        <item m="1" x="935"/>
        <item m="1" x="414"/>
        <item m="1" x="217"/>
        <item m="1" x="315"/>
        <item m="1" x="472"/>
        <item m="1" x="342"/>
        <item m="1" x="833"/>
        <item m="1" x="233"/>
        <item m="1" x="432"/>
        <item m="1" x="620"/>
        <item m="1" x="410"/>
        <item m="1" x="615"/>
        <item m="1" x="539"/>
        <item m="1" x="254"/>
        <item m="1" x="301"/>
        <item m="1" x="465"/>
        <item m="1" x="505"/>
        <item m="1" x="447"/>
        <item m="1" x="368"/>
        <item m="1" x="282"/>
        <item m="1" x="337"/>
        <item m="1" x="208"/>
        <item m="1" x="303"/>
        <item m="1" x="314"/>
        <item m="1" x="223"/>
        <item m="1" x="442"/>
        <item m="1" x="277"/>
        <item m="1" x="199"/>
        <item m="1" x="192"/>
        <item m="1" x="296"/>
        <item m="1" x="152"/>
        <item m="1" x="275"/>
        <item m="1" x="330"/>
        <item m="1" x="236"/>
        <item m="1" x="492"/>
        <item m="1" x="390"/>
        <item m="1" x="486"/>
        <item m="1" x="251"/>
        <item m="1" x="424"/>
        <item m="1" x="481"/>
        <item m="1" x="441"/>
        <item m="1" x="159"/>
        <item m="1" x="327"/>
        <item m="1" x="154"/>
        <item m="1" x="198"/>
        <item m="1" x="302"/>
        <item m="1" x="357"/>
        <item m="1" x="205"/>
        <item m="1" x="400"/>
        <item m="1" x="242"/>
        <item m="1" x="273"/>
        <item m="1" x="339"/>
        <item m="1" x="570"/>
        <item m="1" x="260"/>
        <item m="1" x="321"/>
        <item m="1" x="299"/>
        <item m="1" x="288"/>
        <item m="1" x="451"/>
        <item m="1" x="265"/>
        <item m="1" x="280"/>
        <item m="1" x="238"/>
        <item m="1" x="257"/>
        <item m="1" x="401"/>
        <item m="1" x="259"/>
        <item m="1" x="293"/>
        <item m="1" x="818"/>
        <item m="1" x="427"/>
        <item m="1" x="148"/>
        <item m="1" x="143"/>
        <item m="1" x="200"/>
        <item m="1" x="145"/>
        <item m="1" x="193"/>
        <item m="1" x="140"/>
        <item m="1" x="146"/>
        <item m="1" x="181"/>
        <item m="1" x="185"/>
        <item m="1" x="137"/>
        <item m="1" x="139"/>
        <item m="1" x="250"/>
        <item m="1" x="126"/>
        <item m="1" x="127"/>
        <item m="1" x="130"/>
        <item m="1" x="120"/>
        <item m="1" x="123"/>
        <item x="69"/>
        <item x="13"/>
        <item m="1" x="956"/>
        <item m="1" x="1020"/>
        <item m="1" x="1038"/>
        <item m="1" x="542"/>
        <item m="1" x="151"/>
        <item m="1" x="363"/>
        <item m="1" x="268"/>
        <item m="1" x="245"/>
        <item m="1" x="210"/>
        <item m="1" x="316"/>
        <item m="1" x="452"/>
        <item m="1" x="226"/>
        <item m="1" x="491"/>
        <item m="1" x="467"/>
        <item m="1" x="484"/>
        <item m="1" x="367"/>
        <item m="1" x="450"/>
        <item m="1" x="559"/>
        <item m="1" x="369"/>
        <item m="1" x="754"/>
        <item x="46"/>
        <item x="110"/>
        <item x="14"/>
        <item x="111"/>
        <item m="1" x="635"/>
        <item x="78"/>
        <item x="15"/>
        <item x="114"/>
        <item x="83"/>
        <item x="16"/>
        <item x="17"/>
        <item m="1" x="702"/>
        <item m="1" x="545"/>
        <item m="1" x="725"/>
        <item m="1" x="1051"/>
        <item m="1" x="749"/>
        <item m="1" x="812"/>
        <item m="1" x="844"/>
        <item m="1" x="751"/>
        <item m="1" x="707"/>
        <item m="1" x="978"/>
        <item m="1" x="830"/>
        <item m="1" x="959"/>
        <item m="1" x="933"/>
        <item m="1" x="1001"/>
        <item m="1" x="1024"/>
        <item m="1" x="384"/>
        <item m="1" x="173"/>
        <item m="1" x="462"/>
        <item m="1" x="526"/>
        <item m="1" x="829"/>
        <item m="1" x="678"/>
        <item m="1" x="878"/>
        <item m="1" x="1004"/>
        <item m="1" x="987"/>
        <item m="1" x="1005"/>
        <item m="1" x="1036"/>
        <item m="1" x="679"/>
        <item m="1" x="910"/>
        <item m="1" x="977"/>
        <item m="1" x="728"/>
        <item m="1" x="744"/>
        <item m="1" x="1053"/>
        <item m="1" x="872"/>
        <item m="1" x="1035"/>
        <item m="1" x="743"/>
        <item m="1" x="976"/>
        <item m="1" x="1002"/>
        <item m="1" x="729"/>
        <item m="1" x="575"/>
        <item m="1" x="561"/>
        <item m="1" x="750"/>
        <item m="1" x="861"/>
        <item m="1" x="531"/>
        <item m="1" x="614"/>
        <item m="1" x="659"/>
        <item m="1" x="876"/>
        <item m="1" x="525"/>
        <item m="1" x="687"/>
        <item m="1" x="813"/>
        <item m="1" x="1003"/>
        <item m="1" x="905"/>
        <item m="1" x="589"/>
        <item m="1" x="954"/>
        <item m="1" x="791"/>
        <item m="1" x="698"/>
        <item m="1" x="796"/>
        <item m="1" x="804"/>
        <item m="1" x="923"/>
        <item m="1" x="634"/>
        <item m="1" x="685"/>
        <item m="1" x="803"/>
        <item m="1" x="756"/>
        <item m="1" x="794"/>
        <item m="1" x="739"/>
        <item m="1" x="920"/>
        <item m="1" x="928"/>
        <item m="1" x="825"/>
        <item m="1" x="859"/>
        <item m="1" x="921"/>
        <item m="1" x="195"/>
        <item m="1" x="500"/>
        <item m="1" x="161"/>
        <item m="1" x="475"/>
        <item m="1" x="278"/>
        <item m="1" x="535"/>
        <item m="1" x="571"/>
        <item m="1" x="578"/>
        <item m="1" x="356"/>
        <item m="1" x="416"/>
        <item m="1" x="704"/>
        <item m="1" x="821"/>
        <item m="1" x="144"/>
        <item m="1" x="209"/>
        <item m="1" x="490"/>
        <item m="1" x="225"/>
        <item m="1" x="455"/>
        <item m="1" x="873"/>
        <item m="1" x="696"/>
        <item m="1" x="168"/>
        <item m="1" x="945"/>
        <item m="1" x="798"/>
        <item m="1" x="180"/>
        <item m="1" x="661"/>
        <item m="1" x="717"/>
        <item m="1" x="860"/>
        <item m="1" x="681"/>
        <item m="1" x="651"/>
        <item m="1" x="799"/>
        <item m="1" x="720"/>
        <item m="1" x="975"/>
        <item m="1" x="949"/>
        <item m="1" x="906"/>
        <item m="1" x="1037"/>
        <item m="1" x="673"/>
        <item m="1" x="864"/>
        <item m="1" x="760"/>
        <item m="1" x="724"/>
        <item m="1" x="979"/>
        <item m="1" x="1052"/>
        <item m="1" x="1023"/>
        <item m="1" x="980"/>
        <item m="1" x="790"/>
        <item m="1" x="1021"/>
        <item m="1" x="660"/>
        <item m="1" x="654"/>
        <item m="1" x="1049"/>
        <item m="1" x="204"/>
        <item m="1" x="240"/>
        <item m="1" x="871"/>
        <item m="1" x="778"/>
        <item m="1" x="922"/>
        <item m="1" x="688"/>
        <item m="1" x="918"/>
        <item m="1" x="558"/>
        <item m="1" x="840"/>
        <item m="1" x="646"/>
        <item m="1" x="134"/>
        <item m="1" x="229"/>
        <item m="1" x="408"/>
        <item m="1" x="831"/>
        <item m="1" x="644"/>
        <item m="1" x="423"/>
        <item m="1" x="703"/>
        <item m="1" x="426"/>
        <item m="1" x="1034"/>
        <item m="1" x="769"/>
        <item m="1" x="721"/>
        <item m="1" x="1050"/>
        <item m="1" x="766"/>
        <item m="1" x="786"/>
        <item m="1" x="1022"/>
        <item m="1" x="810"/>
        <item m="1" x="893"/>
        <item m="1" x="609"/>
        <item m="1" x="909"/>
        <item m="1" x="723"/>
        <item m="1" x="706"/>
        <item m="1" x="693"/>
        <item m="1" x="892"/>
        <item m="1" x="934"/>
        <item m="1" x="974"/>
        <item m="1" x="623"/>
        <item m="1" x="919"/>
        <item m="1" x="697"/>
        <item m="1" x="630"/>
        <item m="1" x="866"/>
        <item m="1" x="992"/>
        <item m="1" x="889"/>
        <item m="1" x="931"/>
        <item m="1" x="759"/>
        <item m="1" x="622"/>
        <item m="1" x="842"/>
        <item m="1" x="1018"/>
        <item m="1" x="997"/>
        <item m="1" x="908"/>
        <item m="1" x="900"/>
        <item m="1" x="904"/>
        <item m="1" x="958"/>
        <item m="1" x="941"/>
        <item m="1" x="966"/>
        <item m="1" x="1031"/>
        <item m="1" x="995"/>
        <item m="1" x="944"/>
        <item m="1" x="939"/>
        <item m="1" x="456"/>
        <item m="1" x="668"/>
        <item m="1" x="802"/>
        <item m="1" x="868"/>
        <item m="1" x="588"/>
        <item m="1" x="459"/>
        <item m="1" x="972"/>
        <item m="1" x="1029"/>
        <item m="1" x="897"/>
        <item m="1" x="870"/>
        <item m="1" x="998"/>
        <item m="1" x="772"/>
        <item m="1" x="828"/>
        <item m="1" x="985"/>
        <item m="1" x="999"/>
        <item m="1" x="917"/>
        <item m="1" x="827"/>
        <item m="1" x="747"/>
        <item m="1" x="494"/>
        <item m="1" x="239"/>
        <item m="1" x="629"/>
        <item m="1" x="967"/>
        <item m="1" x="785"/>
        <item m="1" x="664"/>
        <item m="1" x="970"/>
        <item m="1" x="349"/>
        <item m="1" x="684"/>
        <item m="1" x="874"/>
        <item m="1" x="671"/>
        <item m="1" x="567"/>
        <item m="1" x="993"/>
        <item m="1" x="719"/>
        <item m="1" x="991"/>
        <item m="1" x="621"/>
        <item m="1" x="670"/>
        <item m="1" x="773"/>
        <item m="1" x="391"/>
        <item m="1" x="742"/>
        <item m="1" x="948"/>
        <item m="1" x="914"/>
        <item m="1" x="309"/>
        <item m="1" x="350"/>
        <item m="1" x="994"/>
        <item m="1" x="875"/>
        <item m="1" x="543"/>
        <item m="1" x="514"/>
        <item m="1" x="776"/>
        <item m="1" x="587"/>
        <item m="1" x="915"/>
        <item m="1" x="683"/>
        <item m="1" x="691"/>
        <item m="1" x="617"/>
        <item m="1" x="849"/>
        <item m="1" x="899"/>
        <item m="1" x="335"/>
        <item m="1" x="165"/>
        <item m="1" x="419"/>
        <item m="1" x="220"/>
        <item m="1" x="477"/>
        <item m="1" x="473"/>
        <item m="1" x="555"/>
        <item m="1" x="345"/>
        <item m="1" x="371"/>
        <item m="1" x="608"/>
        <item m="1" x="598"/>
        <item m="1" x="495"/>
        <item m="1" x="295"/>
        <item m="1" x="253"/>
        <item m="1" x="264"/>
        <item m="1" x="285"/>
        <item m="1" x="433"/>
        <item m="1" x="528"/>
        <item m="1" x="461"/>
        <item m="1" x="573"/>
        <item m="1" x="605"/>
        <item m="1" x="604"/>
        <item m="1" x="487"/>
        <item m="1" x="511"/>
        <item m="1" x="548"/>
        <item m="1" x="740"/>
        <item m="1" x="564"/>
        <item m="1" x="501"/>
        <item m="1" x="512"/>
        <item m="1" x="955"/>
        <item m="1" x="734"/>
        <item m="1" x="394"/>
        <item m="1" x="474"/>
        <item m="1" x="258"/>
        <item m="1" x="135"/>
        <item m="1" x="753"/>
        <item m="1" x="789"/>
        <item m="1" x="916"/>
        <item m="1" x="167"/>
        <item m="1" x="170"/>
        <item m="1" x="809"/>
        <item m="1" x="841"/>
        <item m="1" x="869"/>
        <item m="1" x="765"/>
        <item m="1" x="1071"/>
        <item m="1" x="885"/>
        <item m="1" x="1015"/>
        <item m="1" x="890"/>
        <item m="1" x="602"/>
        <item m="1" x="580"/>
        <item m="1" x="835"/>
        <item m="1" x="896"/>
        <item m="1" x="768"/>
        <item m="1" x="289"/>
        <item m="1" x="393"/>
        <item m="1" x="748"/>
        <item m="1" x="619"/>
        <item m="1" x="718"/>
        <item m="1" x="701"/>
        <item m="1" x="715"/>
        <item m="1" x="516"/>
        <item m="1" x="850"/>
        <item m="1" x="628"/>
        <item m="1" x="341"/>
        <item m="1" x="952"/>
        <item m="1" x="523"/>
        <item m="1" x="1047"/>
        <item m="1" x="816"/>
        <item m="1" x="675"/>
        <item m="1" x="727"/>
        <item m="1" x="826"/>
        <item m="1" x="1013"/>
        <item m="1" x="733"/>
        <item m="1" x="938"/>
        <item m="1" x="1033"/>
        <item m="1" x="1045"/>
        <item m="1" x="986"/>
        <item m="1" x="1019"/>
        <item m="1" x="932"/>
        <item m="1" x="1044"/>
        <item m="1" x="1014"/>
        <item m="1" x="638"/>
        <item m="1" x="549"/>
        <item m="1" x="666"/>
        <item m="1" x="700"/>
        <item m="1" x="755"/>
        <item m="1" x="867"/>
        <item m="1" x="645"/>
        <item m="1" x="858"/>
        <item m="1" x="764"/>
        <item m="1" x="722"/>
        <item m="1" x="176"/>
        <item m="1" x="212"/>
        <item m="1" x="996"/>
        <item m="1" x="583"/>
        <item m="1" x="815"/>
        <item m="1" x="374"/>
        <item m="1" x="506"/>
        <item m="1" x="943"/>
        <item m="1" x="560"/>
        <item m="1" x="513"/>
        <item m="1" x="658"/>
        <item m="1" x="625"/>
        <item m="1" x="726"/>
        <item m="1" x="695"/>
        <item m="1" x="843"/>
        <item m="1" x="310"/>
        <item m="1" x="606"/>
        <item m="1" x="983"/>
        <item m="1" x="686"/>
        <item m="1" x="801"/>
        <item m="1" x="736"/>
        <item m="1" x="601"/>
        <item m="1" x="817"/>
        <item m="1" x="328"/>
        <item m="1" x="188"/>
        <item m="1" x="255"/>
        <item m="1" x="417"/>
        <item m="1" x="947"/>
        <item m="1" x="396"/>
        <item m="1" x="650"/>
        <item m="1" x="669"/>
        <item m="1" x="1028"/>
        <item m="1" x="637"/>
        <item m="1" x="518"/>
        <item m="1" x="761"/>
        <item m="1" x="694"/>
        <item m="1" x="811"/>
        <item m="1" x="788"/>
        <item m="1" x="824"/>
        <item m="1" x="1048"/>
        <item m="1" x="937"/>
        <item m="1" x="745"/>
        <item m="1" x="982"/>
        <item m="1" x="953"/>
        <item m="1" x="787"/>
        <item m="1" x="927"/>
        <item m="1" x="1017"/>
        <item m="1" x="1046"/>
        <item m="1" x="973"/>
        <item m="1" x="984"/>
        <item m="1" x="936"/>
        <item m="1" x="846"/>
        <item m="1" x="1030"/>
        <item m="1" x="1032"/>
        <item m="1" x="1027"/>
        <item m="1" x="547"/>
        <item m="1" x="957"/>
        <item m="1" x="901"/>
        <item m="1" x="891"/>
        <item m="1" x="902"/>
        <item m="1" x="520"/>
        <item m="1" x="800"/>
        <item m="1" x="774"/>
        <item m="1" x="376"/>
        <item m="1" x="597"/>
        <item m="1" x="458"/>
        <item m="1" x="581"/>
        <item m="1" x="653"/>
        <item m="1" x="836"/>
        <item m="1" x="640"/>
        <item m="1" x="746"/>
        <item m="1" x="940"/>
        <item m="1" x="969"/>
        <item m="1" x="576"/>
        <item m="1" x="1016"/>
        <item m="1" x="1000"/>
        <item m="1" x="150"/>
        <item m="1" x="183"/>
        <item m="1" x="149"/>
        <item m="1" x="366"/>
        <item m="1" x="138"/>
        <item m="1" x="136"/>
        <item m="1" x="633"/>
        <item m="1" x="647"/>
        <item m="1" x="218"/>
        <item m="1" x="142"/>
        <item m="1" x="612"/>
        <item m="1" x="174"/>
        <item m="1" x="175"/>
        <item m="1" x="624"/>
        <item m="1" x="676"/>
        <item m="1" x="819"/>
        <item m="1" x="326"/>
        <item m="1" x="942"/>
        <item m="1" x="692"/>
        <item m="1" x="534"/>
        <item m="1" x="838"/>
        <item m="1" x="405"/>
        <item m="1" x="1060"/>
        <item m="1" x="1025"/>
        <item m="1" x="508"/>
        <item m="1" x="603"/>
        <item m="1" x="965"/>
        <item m="1" x="884"/>
        <item m="1" x="716"/>
        <item m="1" x="1064"/>
        <item m="1" x="463"/>
        <item m="1" x="834"/>
        <item m="1" x="839"/>
        <item m="1" x="741"/>
        <item m="1" x="887"/>
        <item m="1" x="699"/>
        <item m="1" x="814"/>
        <item m="1" x="655"/>
        <item m="1" x="781"/>
        <item m="1" x="808"/>
        <item m="1" x="618"/>
        <item m="1" x="231"/>
        <item m="1" x="360"/>
        <item m="1" x="903"/>
        <item m="1" x="783"/>
        <item m="1" x="971"/>
        <item m="1" x="784"/>
        <item m="1" x="1069"/>
        <item m="1" x="962"/>
        <item m="1" x="1040"/>
        <item m="1" x="823"/>
        <item m="1" x="1068"/>
        <item m="1" x="1070"/>
        <item m="1" x="1065"/>
        <item m="1" x="1067"/>
        <item m="1" x="141"/>
        <item m="1" x="224"/>
        <item m="1" x="182"/>
        <item m="1" x="189"/>
        <item m="1" x="213"/>
        <item m="1" x="153"/>
        <item m="1" x="272"/>
        <item m="1" x="230"/>
        <item m="1" x="354"/>
        <item m="1" x="460"/>
        <item m="1" x="413"/>
        <item m="1" x="805"/>
        <item m="1" x="779"/>
        <item m="1" x="1026"/>
        <item m="1" x="1062"/>
        <item m="1" x="1061"/>
        <item m="1" x="1066"/>
        <item m="1" x="1012"/>
        <item m="1" x="863"/>
        <item m="1" x="422"/>
        <item m="1" x="430"/>
        <item m="1" x="436"/>
        <item m="1" x="613"/>
        <item m="1" x="382"/>
        <item m="1" x="392"/>
        <item m="1" x="203"/>
        <item m="1" x="241"/>
        <item m="1" x="355"/>
        <item m="1" x="1072"/>
        <item m="1" x="1073"/>
        <item m="1" x="1074"/>
        <item x="24"/>
        <item x="25"/>
        <item x="33"/>
        <item x="42"/>
        <item x="47"/>
        <item x="57"/>
        <item x="59"/>
        <item x="60"/>
        <item x="68"/>
        <item x="71"/>
        <item x="80"/>
        <item x="85"/>
        <item x="88"/>
        <item x="91"/>
        <item x="96"/>
        <item x="101"/>
        <item x="104"/>
        <item x="105"/>
        <item x="106"/>
        <item x="107"/>
        <item x="108"/>
        <item x="115"/>
        <item x="116"/>
        <item x="117"/>
        <item t="default"/>
      </items>
    </pivotField>
    <pivotField showAll="0"/>
    <pivotField axis="axisRow" sortType="ascending" numFmtId="181" showAll="0">
      <items count="362"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dataField="1" showAll="0"/>
  </pivotFields>
  <rowFields count="1">
    <field x="2"/>
  </rowFields>
  <rowItems count="246"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</rowItems>
  <colItems count="1">
    <i/>
  </colItems>
  <pageFields count="1">
    <pageField fld="0" item="169"/>
  </pageFields>
  <dataFields count="1">
    <dataField name="Saída" fld="3" baseField="0" baseItem="0" numFmtId="4"/>
  </dataFields>
  <formats count="4">
    <format dxfId="0">
      <pivotArea field="2" type="button" dataOnly="0" labelOnly="1" outline="0" fieldPosition="0"/>
    </format>
    <format dxfId="1">
      <pivotArea dataOnly="0" labelOnly="1" outline="0" fieldPosition="0"/>
    </format>
    <format dxfId="2">
      <pivotArea outline="0" collapsedLevelsAreSubtotals="1" fieldPosition="0"/>
    </format>
    <format dxfId="3">
      <pivotArea dataOnly="0" labelOnly="1" outline="0" fieldPosition="0"/>
    </format>
  </formats>
  <pivotTableStyleInfo name="PivotStyleLight25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Saida" displayName="tSaida" ref="B4:E6926" totalsRowShown="0">
  <autoFilter xmlns:etc="http://www.wps.cn/officeDocument/2017/etCustomData" ref="B4:E6926" etc:filterBottomFollowUsedRange="0"/>
  <sortState ref="B5:E6926">
    <sortCondition ref="D4"/>
  </sortState>
  <tableColumns count="4">
    <tableColumn id="1" name="Produto"/>
    <tableColumn id="4" name="Descrição" dataDxfId="4"/>
    <tableColumn id="2" name="Data" dataDxfId="5"/>
    <tableColumn id="3" name="Saída / Demanda" dataDxfId="6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5" name="tNivelServico" displayName="tNivelServico" ref="B5:C18" totalsRowShown="0">
  <autoFilter xmlns:etc="http://www.wps.cn/officeDocument/2017/etCustomData" ref="B5:C18" etc:filterBottomFollowUsedRange="0"/>
  <tableColumns count="2">
    <tableColumn id="1" name="Nível de Serviço" dataDxfId="7"/>
    <tableColumn id="2" name="Fator de Serviço" dataDxfId="8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1"/>
  <dimension ref="A1:AF6926"/>
  <sheetViews>
    <sheetView showGridLines="0" zoomScale="190" zoomScaleNormal="190" topLeftCell="A5" workbookViewId="0">
      <selection activeCell="C5" sqref="C5"/>
    </sheetView>
  </sheetViews>
  <sheetFormatPr defaultColWidth="9" defaultRowHeight="15"/>
  <cols>
    <col min="1" max="1" width="6.28571428571429" customWidth="1"/>
    <col min="2" max="2" width="10.4285714285714" customWidth="1"/>
    <col min="3" max="3" width="29.7142857142857" customWidth="1"/>
    <col min="4" max="4" width="11" style="9" customWidth="1"/>
    <col min="5" max="5" width="20.5714285714286" customWidth="1"/>
  </cols>
  <sheetData>
    <row r="1" ht="31.5" spans="1:32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31.5" spans="1:32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4" spans="2:5">
      <c r="B4" s="40" t="s">
        <v>0</v>
      </c>
      <c r="C4" s="40" t="s">
        <v>1</v>
      </c>
      <c r="D4" s="41" t="s">
        <v>2</v>
      </c>
      <c r="E4" s="42" t="s">
        <v>3</v>
      </c>
    </row>
    <row r="5" spans="2:5">
      <c r="B5" s="43" t="s">
        <v>4</v>
      </c>
      <c r="C5" s="43" t="s">
        <v>5</v>
      </c>
      <c r="D5" s="44">
        <v>45659</v>
      </c>
      <c r="E5" s="45">
        <v>100.5</v>
      </c>
    </row>
    <row r="6" spans="2:5">
      <c r="B6" s="43" t="s">
        <v>6</v>
      </c>
      <c r="C6" s="43" t="s">
        <v>7</v>
      </c>
      <c r="D6" s="44">
        <v>45659</v>
      </c>
      <c r="E6" s="45">
        <v>19.65</v>
      </c>
    </row>
    <row r="7" spans="2:5">
      <c r="B7" s="43" t="s">
        <v>8</v>
      </c>
      <c r="C7" s="43" t="s">
        <v>9</v>
      </c>
      <c r="D7" s="44">
        <v>45659</v>
      </c>
      <c r="E7" s="45">
        <v>147.9</v>
      </c>
    </row>
    <row r="8" spans="2:5">
      <c r="B8" s="43" t="s">
        <v>10</v>
      </c>
      <c r="C8" s="43" t="s">
        <v>11</v>
      </c>
      <c r="D8" s="44">
        <v>45659</v>
      </c>
      <c r="E8" s="45">
        <v>99.45</v>
      </c>
    </row>
    <row r="9" spans="2:5">
      <c r="B9" s="43" t="s">
        <v>12</v>
      </c>
      <c r="C9" s="43" t="s">
        <v>13</v>
      </c>
      <c r="D9" s="44">
        <v>45659</v>
      </c>
      <c r="E9" s="45">
        <v>13.8</v>
      </c>
    </row>
    <row r="10" spans="2:5">
      <c r="B10" s="43" t="s">
        <v>14</v>
      </c>
      <c r="C10" s="43" t="s">
        <v>15</v>
      </c>
      <c r="D10" s="44">
        <v>45659</v>
      </c>
      <c r="E10" s="45">
        <v>27</v>
      </c>
    </row>
    <row r="11" spans="2:5">
      <c r="B11" s="43" t="s">
        <v>16</v>
      </c>
      <c r="C11" s="43" t="s">
        <v>17</v>
      </c>
      <c r="D11" s="44">
        <v>45659</v>
      </c>
      <c r="E11" s="45">
        <v>45.6</v>
      </c>
    </row>
    <row r="12" spans="2:5">
      <c r="B12" s="43" t="s">
        <v>18</v>
      </c>
      <c r="C12" s="43" t="s">
        <v>19</v>
      </c>
      <c r="D12" s="44">
        <v>45659</v>
      </c>
      <c r="E12" s="45">
        <v>44.5</v>
      </c>
    </row>
    <row r="13" spans="2:5">
      <c r="B13" s="43" t="s">
        <v>20</v>
      </c>
      <c r="C13" s="43" t="s">
        <v>21</v>
      </c>
      <c r="D13" s="44">
        <v>45659</v>
      </c>
      <c r="E13" s="45">
        <v>225.4</v>
      </c>
    </row>
    <row r="14" spans="2:5">
      <c r="B14" s="43" t="s">
        <v>22</v>
      </c>
      <c r="C14" s="43" t="s">
        <v>23</v>
      </c>
      <c r="D14" s="44">
        <v>45659</v>
      </c>
      <c r="E14" s="45">
        <v>19.2</v>
      </c>
    </row>
    <row r="15" spans="2:5">
      <c r="B15" s="43" t="s">
        <v>24</v>
      </c>
      <c r="C15" s="43" t="s">
        <v>25</v>
      </c>
      <c r="D15" s="44">
        <v>45659</v>
      </c>
      <c r="E15" s="45">
        <v>1749</v>
      </c>
    </row>
    <row r="16" spans="2:5">
      <c r="B16" s="43" t="s">
        <v>26</v>
      </c>
      <c r="C16" s="43" t="s">
        <v>27</v>
      </c>
      <c r="D16" s="44">
        <v>45659</v>
      </c>
      <c r="E16" s="45">
        <v>295.45</v>
      </c>
    </row>
    <row r="17" spans="2:5">
      <c r="B17" s="43" t="s">
        <v>28</v>
      </c>
      <c r="C17" s="43" t="s">
        <v>29</v>
      </c>
      <c r="D17" s="44">
        <v>45659</v>
      </c>
      <c r="E17" s="45">
        <v>53.7</v>
      </c>
    </row>
    <row r="18" spans="2:5">
      <c r="B18" s="43" t="s">
        <v>30</v>
      </c>
      <c r="C18" s="43" t="s">
        <v>31</v>
      </c>
      <c r="D18" s="44">
        <v>45659</v>
      </c>
      <c r="E18" s="45">
        <v>30</v>
      </c>
    </row>
    <row r="19" spans="2:5">
      <c r="B19" s="43" t="s">
        <v>32</v>
      </c>
      <c r="C19" s="43" t="s">
        <v>33</v>
      </c>
      <c r="D19" s="44">
        <v>45659</v>
      </c>
      <c r="E19" s="45">
        <v>10</v>
      </c>
    </row>
    <row r="20" spans="2:5">
      <c r="B20" s="43" t="s">
        <v>34</v>
      </c>
      <c r="C20" s="43" t="s">
        <v>35</v>
      </c>
      <c r="D20" s="44">
        <v>45659</v>
      </c>
      <c r="E20" s="45">
        <v>15</v>
      </c>
    </row>
    <row r="21" spans="2:5">
      <c r="B21" s="43" t="s">
        <v>36</v>
      </c>
      <c r="C21" s="43" t="s">
        <v>37</v>
      </c>
      <c r="D21" s="44">
        <v>45659</v>
      </c>
      <c r="E21" s="45">
        <v>6</v>
      </c>
    </row>
    <row r="22" spans="2:5">
      <c r="B22" s="43" t="s">
        <v>38</v>
      </c>
      <c r="C22" s="43" t="s">
        <v>39</v>
      </c>
      <c r="D22" s="44">
        <v>45659</v>
      </c>
      <c r="E22" s="45">
        <v>60</v>
      </c>
    </row>
    <row r="23" spans="2:5">
      <c r="B23" s="43" t="s">
        <v>40</v>
      </c>
      <c r="C23" s="43" t="s">
        <v>41</v>
      </c>
      <c r="D23" s="44">
        <v>45660</v>
      </c>
      <c r="E23" s="45">
        <v>14</v>
      </c>
    </row>
    <row r="24" spans="2:5">
      <c r="B24" s="43" t="s">
        <v>42</v>
      </c>
      <c r="C24" s="43" t="s">
        <v>43</v>
      </c>
      <c r="D24" s="44">
        <v>45660</v>
      </c>
      <c r="E24" s="45">
        <v>36.3</v>
      </c>
    </row>
    <row r="25" spans="2:5">
      <c r="B25" s="43" t="s">
        <v>4</v>
      </c>
      <c r="C25" s="43" t="s">
        <v>5</v>
      </c>
      <c r="D25" s="44">
        <v>45660</v>
      </c>
      <c r="E25" s="45">
        <v>80.4</v>
      </c>
    </row>
    <row r="26" spans="2:5">
      <c r="B26" s="43" t="s">
        <v>8</v>
      </c>
      <c r="C26" s="43" t="s">
        <v>9</v>
      </c>
      <c r="D26" s="44">
        <v>45660</v>
      </c>
      <c r="E26" s="45">
        <v>113.1</v>
      </c>
    </row>
    <row r="27" spans="2:5">
      <c r="B27" s="43" t="s">
        <v>44</v>
      </c>
      <c r="C27" s="43" t="s">
        <v>45</v>
      </c>
      <c r="D27" s="44">
        <v>45660</v>
      </c>
      <c r="E27" s="45">
        <v>25.5</v>
      </c>
    </row>
    <row r="28" spans="2:5">
      <c r="B28" s="43" t="s">
        <v>46</v>
      </c>
      <c r="C28" s="43" t="s">
        <v>47</v>
      </c>
      <c r="D28" s="44">
        <v>45660</v>
      </c>
      <c r="E28" s="45">
        <v>700.6</v>
      </c>
    </row>
    <row r="29" spans="2:5">
      <c r="B29" s="43" t="s">
        <v>12</v>
      </c>
      <c r="C29" s="43" t="s">
        <v>13</v>
      </c>
      <c r="D29" s="44">
        <v>45660</v>
      </c>
      <c r="E29" s="45">
        <v>1131.6</v>
      </c>
    </row>
    <row r="30" spans="2:5">
      <c r="B30" s="43" t="s">
        <v>48</v>
      </c>
      <c r="C30" s="43" t="s">
        <v>49</v>
      </c>
      <c r="D30" s="44">
        <v>45660</v>
      </c>
      <c r="E30" s="45">
        <v>30.4</v>
      </c>
    </row>
    <row r="31" spans="2:5">
      <c r="B31" s="43" t="s">
        <v>50</v>
      </c>
      <c r="C31" s="43" t="s">
        <v>51</v>
      </c>
      <c r="D31" s="44">
        <v>45660</v>
      </c>
      <c r="E31" s="45">
        <v>1781.6</v>
      </c>
    </row>
    <row r="32" spans="2:5">
      <c r="B32" s="43" t="s">
        <v>52</v>
      </c>
      <c r="C32" s="43" t="s">
        <v>53</v>
      </c>
      <c r="D32" s="44">
        <v>45660</v>
      </c>
      <c r="E32" s="45">
        <v>47.4</v>
      </c>
    </row>
    <row r="33" spans="2:5">
      <c r="B33" s="43" t="s">
        <v>54</v>
      </c>
      <c r="C33" s="43" t="s">
        <v>55</v>
      </c>
      <c r="D33" s="44">
        <v>45660</v>
      </c>
      <c r="E33" s="45">
        <v>133</v>
      </c>
    </row>
    <row r="34" spans="2:5">
      <c r="B34" s="43" t="s">
        <v>56</v>
      </c>
      <c r="C34" s="43" t="s">
        <v>57</v>
      </c>
      <c r="D34" s="44">
        <v>45660</v>
      </c>
      <c r="E34" s="45">
        <v>1810</v>
      </c>
    </row>
    <row r="35" spans="2:5">
      <c r="B35" s="43" t="s">
        <v>20</v>
      </c>
      <c r="C35" s="43" t="s">
        <v>21</v>
      </c>
      <c r="D35" s="44">
        <v>45660</v>
      </c>
      <c r="E35" s="45">
        <v>29.4</v>
      </c>
    </row>
    <row r="36" spans="2:5">
      <c r="B36" s="43" t="s">
        <v>24</v>
      </c>
      <c r="C36" s="43" t="s">
        <v>25</v>
      </c>
      <c r="D36" s="44">
        <v>45660</v>
      </c>
      <c r="E36" s="45">
        <v>1574.1</v>
      </c>
    </row>
    <row r="37" spans="2:5">
      <c r="B37" s="43" t="s">
        <v>58</v>
      </c>
      <c r="C37" s="43" t="s">
        <v>59</v>
      </c>
      <c r="D37" s="44">
        <v>45660</v>
      </c>
      <c r="E37" s="45">
        <v>177</v>
      </c>
    </row>
    <row r="38" spans="2:5">
      <c r="B38" s="43" t="s">
        <v>26</v>
      </c>
      <c r="C38" s="43" t="s">
        <v>27</v>
      </c>
      <c r="D38" s="44">
        <v>45660</v>
      </c>
      <c r="E38" s="45">
        <v>388.75</v>
      </c>
    </row>
    <row r="39" spans="2:5">
      <c r="B39" s="43" t="s">
        <v>60</v>
      </c>
      <c r="C39" s="43" t="s">
        <v>61</v>
      </c>
      <c r="D39" s="44">
        <v>45660</v>
      </c>
      <c r="E39" s="45">
        <v>183</v>
      </c>
    </row>
    <row r="40" spans="2:5">
      <c r="B40" s="43" t="s">
        <v>28</v>
      </c>
      <c r="C40" s="43" t="s">
        <v>29</v>
      </c>
      <c r="D40" s="44">
        <v>45660</v>
      </c>
      <c r="E40" s="45">
        <v>53.7</v>
      </c>
    </row>
    <row r="41" spans="2:5">
      <c r="B41" s="43" t="s">
        <v>62</v>
      </c>
      <c r="C41" s="43" t="s">
        <v>63</v>
      </c>
      <c r="D41" s="44">
        <v>45660</v>
      </c>
      <c r="E41" s="45">
        <v>1722</v>
      </c>
    </row>
    <row r="42" spans="2:5">
      <c r="B42" s="43" t="s">
        <v>64</v>
      </c>
      <c r="C42" s="43" t="s">
        <v>65</v>
      </c>
      <c r="D42" s="44">
        <v>45660</v>
      </c>
      <c r="E42" s="45">
        <v>240</v>
      </c>
    </row>
    <row r="43" spans="2:5">
      <c r="B43" s="43" t="s">
        <v>66</v>
      </c>
      <c r="C43" s="43" t="s">
        <v>67</v>
      </c>
      <c r="D43" s="44">
        <v>45660</v>
      </c>
      <c r="E43" s="45">
        <v>110.8</v>
      </c>
    </row>
    <row r="44" spans="2:5">
      <c r="B44" s="43" t="s">
        <v>68</v>
      </c>
      <c r="C44" s="43" t="s">
        <v>69</v>
      </c>
      <c r="D44" s="44">
        <v>45660</v>
      </c>
      <c r="E44" s="45">
        <v>71.8</v>
      </c>
    </row>
    <row r="45" spans="2:5">
      <c r="B45" s="43" t="s">
        <v>70</v>
      </c>
      <c r="C45" s="43" t="s">
        <v>71</v>
      </c>
      <c r="D45" s="44">
        <v>45660</v>
      </c>
      <c r="E45" s="45">
        <v>23.2</v>
      </c>
    </row>
    <row r="46" spans="2:5">
      <c r="B46" s="43" t="s">
        <v>32</v>
      </c>
      <c r="C46" s="43" t="s">
        <v>33</v>
      </c>
      <c r="D46" s="44">
        <v>45660</v>
      </c>
      <c r="E46" s="45">
        <v>4</v>
      </c>
    </row>
    <row r="47" spans="2:5">
      <c r="B47" s="43" t="s">
        <v>34</v>
      </c>
      <c r="C47" s="43" t="s">
        <v>35</v>
      </c>
      <c r="D47" s="44">
        <v>45660</v>
      </c>
      <c r="E47" s="45">
        <v>6</v>
      </c>
    </row>
    <row r="48" spans="2:5">
      <c r="B48" s="43" t="s">
        <v>8</v>
      </c>
      <c r="C48" s="43" t="s">
        <v>9</v>
      </c>
      <c r="D48" s="44">
        <v>45663</v>
      </c>
      <c r="E48" s="45">
        <v>243.2</v>
      </c>
    </row>
    <row r="49" spans="2:5">
      <c r="B49" s="43" t="s">
        <v>72</v>
      </c>
      <c r="C49" s="43" t="s">
        <v>73</v>
      </c>
      <c r="D49" s="44">
        <v>45663</v>
      </c>
      <c r="E49" s="45">
        <v>10.2</v>
      </c>
    </row>
    <row r="50" spans="2:5">
      <c r="B50" s="43" t="s">
        <v>46</v>
      </c>
      <c r="C50" s="43" t="s">
        <v>47</v>
      </c>
      <c r="D50" s="44">
        <v>45663</v>
      </c>
      <c r="E50" s="45">
        <v>158.2</v>
      </c>
    </row>
    <row r="51" spans="2:5">
      <c r="B51" s="43" t="s">
        <v>10</v>
      </c>
      <c r="C51" s="43" t="s">
        <v>11</v>
      </c>
      <c r="D51" s="44">
        <v>45663</v>
      </c>
      <c r="E51" s="45">
        <v>66.3</v>
      </c>
    </row>
    <row r="52" spans="2:5">
      <c r="B52" s="43" t="s">
        <v>74</v>
      </c>
      <c r="C52" s="43" t="s">
        <v>75</v>
      </c>
      <c r="D52" s="44">
        <v>45663</v>
      </c>
      <c r="E52" s="45">
        <v>12.45</v>
      </c>
    </row>
    <row r="53" spans="2:5">
      <c r="B53" s="43" t="s">
        <v>12</v>
      </c>
      <c r="C53" s="43" t="s">
        <v>13</v>
      </c>
      <c r="D53" s="44">
        <v>45663</v>
      </c>
      <c r="E53" s="45">
        <v>414</v>
      </c>
    </row>
    <row r="54" spans="2:5">
      <c r="B54" s="43" t="s">
        <v>14</v>
      </c>
      <c r="C54" s="43" t="s">
        <v>15</v>
      </c>
      <c r="D54" s="44">
        <v>45663</v>
      </c>
      <c r="E54" s="45">
        <v>2106</v>
      </c>
    </row>
    <row r="55" spans="2:5">
      <c r="B55" s="43" t="s">
        <v>76</v>
      </c>
      <c r="C55" s="43" t="s">
        <v>77</v>
      </c>
      <c r="D55" s="44">
        <v>45663</v>
      </c>
      <c r="E55" s="45">
        <v>353</v>
      </c>
    </row>
    <row r="56" spans="2:5">
      <c r="B56" s="43" t="s">
        <v>78</v>
      </c>
      <c r="C56" s="43" t="s">
        <v>79</v>
      </c>
      <c r="D56" s="44">
        <v>45663</v>
      </c>
      <c r="E56" s="45">
        <v>35.4</v>
      </c>
    </row>
    <row r="57" spans="2:5">
      <c r="B57" s="43" t="s">
        <v>20</v>
      </c>
      <c r="C57" s="43" t="s">
        <v>21</v>
      </c>
      <c r="D57" s="44">
        <v>45663</v>
      </c>
      <c r="E57" s="45">
        <v>9.8</v>
      </c>
    </row>
    <row r="58" spans="2:5">
      <c r="B58" s="43" t="s">
        <v>22</v>
      </c>
      <c r="C58" s="43" t="s">
        <v>23</v>
      </c>
      <c r="D58" s="44">
        <v>45663</v>
      </c>
      <c r="E58" s="45">
        <v>163.2</v>
      </c>
    </row>
    <row r="59" spans="2:5">
      <c r="B59" s="43" t="s">
        <v>80</v>
      </c>
      <c r="C59" s="43" t="s">
        <v>81</v>
      </c>
      <c r="D59" s="44">
        <v>45663</v>
      </c>
      <c r="E59" s="45">
        <v>2396.45</v>
      </c>
    </row>
    <row r="60" spans="2:5">
      <c r="B60" s="43" t="s">
        <v>24</v>
      </c>
      <c r="C60" s="43" t="s">
        <v>25</v>
      </c>
      <c r="D60" s="44">
        <v>45663</v>
      </c>
      <c r="E60" s="45">
        <v>969.9</v>
      </c>
    </row>
    <row r="61" spans="2:5">
      <c r="B61" s="43" t="s">
        <v>26</v>
      </c>
      <c r="C61" s="43" t="s">
        <v>27</v>
      </c>
      <c r="D61" s="44">
        <v>45663</v>
      </c>
      <c r="E61" s="45">
        <v>653.1</v>
      </c>
    </row>
    <row r="62" spans="2:5">
      <c r="B62" s="43" t="s">
        <v>28</v>
      </c>
      <c r="C62" s="43" t="s">
        <v>29</v>
      </c>
      <c r="D62" s="44">
        <v>45663</v>
      </c>
      <c r="E62" s="45">
        <v>107.4</v>
      </c>
    </row>
    <row r="63" spans="2:5">
      <c r="B63" s="43" t="s">
        <v>82</v>
      </c>
      <c r="C63" s="43" t="s">
        <v>83</v>
      </c>
      <c r="D63" s="44">
        <v>45663</v>
      </c>
      <c r="E63" s="45">
        <v>55.35</v>
      </c>
    </row>
    <row r="64" spans="2:5">
      <c r="B64" s="43" t="s">
        <v>62</v>
      </c>
      <c r="C64" s="43" t="s">
        <v>63</v>
      </c>
      <c r="D64" s="44">
        <v>45663</v>
      </c>
      <c r="E64" s="45">
        <v>984</v>
      </c>
    </row>
    <row r="65" spans="2:5">
      <c r="B65" s="43" t="s">
        <v>64</v>
      </c>
      <c r="C65" s="43" t="s">
        <v>65</v>
      </c>
      <c r="D65" s="44">
        <v>45663</v>
      </c>
      <c r="E65" s="45">
        <v>120</v>
      </c>
    </row>
    <row r="66" spans="2:5">
      <c r="B66" s="43" t="s">
        <v>84</v>
      </c>
      <c r="C66" s="43" t="s">
        <v>85</v>
      </c>
      <c r="D66" s="44">
        <v>45663</v>
      </c>
      <c r="E66" s="45">
        <v>49.9</v>
      </c>
    </row>
    <row r="67" spans="2:5">
      <c r="B67" s="43" t="s">
        <v>66</v>
      </c>
      <c r="C67" s="43" t="s">
        <v>67</v>
      </c>
      <c r="D67" s="44">
        <v>45663</v>
      </c>
      <c r="E67" s="45">
        <v>166.2</v>
      </c>
    </row>
    <row r="68" spans="2:5">
      <c r="B68" s="43" t="s">
        <v>68</v>
      </c>
      <c r="C68" s="43" t="s">
        <v>69</v>
      </c>
      <c r="D68" s="44">
        <v>45663</v>
      </c>
      <c r="E68" s="45">
        <v>71.8</v>
      </c>
    </row>
    <row r="69" spans="2:5">
      <c r="B69" s="43" t="s">
        <v>70</v>
      </c>
      <c r="C69" s="43" t="s">
        <v>71</v>
      </c>
      <c r="D69" s="44">
        <v>45663</v>
      </c>
      <c r="E69" s="45">
        <v>5.8</v>
      </c>
    </row>
    <row r="70" spans="2:5">
      <c r="B70" s="43" t="s">
        <v>32</v>
      </c>
      <c r="C70" s="43" t="s">
        <v>33</v>
      </c>
      <c r="D70" s="44">
        <v>45663</v>
      </c>
      <c r="E70" s="45">
        <v>2</v>
      </c>
    </row>
    <row r="71" spans="2:5">
      <c r="B71" s="43" t="s">
        <v>34</v>
      </c>
      <c r="C71" s="43" t="s">
        <v>35</v>
      </c>
      <c r="D71" s="44">
        <v>45663</v>
      </c>
      <c r="E71" s="45">
        <v>17</v>
      </c>
    </row>
    <row r="72" spans="2:5">
      <c r="B72" s="43" t="s">
        <v>36</v>
      </c>
      <c r="C72" s="43" t="s">
        <v>37</v>
      </c>
      <c r="D72" s="44">
        <v>45663</v>
      </c>
      <c r="E72" s="45">
        <v>6</v>
      </c>
    </row>
    <row r="73" spans="2:5">
      <c r="B73" s="43" t="s">
        <v>86</v>
      </c>
      <c r="C73" s="43" t="s">
        <v>87</v>
      </c>
      <c r="D73" s="44">
        <v>45664</v>
      </c>
      <c r="E73" s="45">
        <v>14</v>
      </c>
    </row>
    <row r="74" spans="2:5">
      <c r="B74" s="43" t="s">
        <v>42</v>
      </c>
      <c r="C74" s="43" t="s">
        <v>43</v>
      </c>
      <c r="D74" s="44">
        <v>45664</v>
      </c>
      <c r="E74" s="45">
        <v>181.5</v>
      </c>
    </row>
    <row r="75" spans="2:5">
      <c r="B75" s="43" t="s">
        <v>44</v>
      </c>
      <c r="C75" s="43" t="s">
        <v>45</v>
      </c>
      <c r="D75" s="44">
        <v>45664</v>
      </c>
      <c r="E75" s="45">
        <v>8.5</v>
      </c>
    </row>
    <row r="76" spans="2:5">
      <c r="B76" s="43" t="s">
        <v>46</v>
      </c>
      <c r="C76" s="43" t="s">
        <v>47</v>
      </c>
      <c r="D76" s="44">
        <v>45664</v>
      </c>
      <c r="E76" s="45">
        <v>406.8</v>
      </c>
    </row>
    <row r="77" spans="2:5">
      <c r="B77" s="43" t="s">
        <v>12</v>
      </c>
      <c r="C77" s="43" t="s">
        <v>13</v>
      </c>
      <c r="D77" s="44">
        <v>45664</v>
      </c>
      <c r="E77" s="45">
        <v>634.8</v>
      </c>
    </row>
    <row r="78" spans="2:5">
      <c r="B78" s="43" t="s">
        <v>88</v>
      </c>
      <c r="C78" s="43" t="s">
        <v>89</v>
      </c>
      <c r="D78" s="44">
        <v>45664</v>
      </c>
      <c r="E78" s="45">
        <v>522.6</v>
      </c>
    </row>
    <row r="79" spans="2:5">
      <c r="B79" s="43" t="s">
        <v>16</v>
      </c>
      <c r="C79" s="43" t="s">
        <v>17</v>
      </c>
      <c r="D79" s="44">
        <v>45664</v>
      </c>
      <c r="E79" s="45">
        <v>456</v>
      </c>
    </row>
    <row r="80" spans="2:5">
      <c r="B80" s="43" t="s">
        <v>18</v>
      </c>
      <c r="C80" s="43" t="s">
        <v>19</v>
      </c>
      <c r="D80" s="44">
        <v>45664</v>
      </c>
      <c r="E80" s="45">
        <v>44.5</v>
      </c>
    </row>
    <row r="81" spans="2:5">
      <c r="B81" s="43" t="s">
        <v>78</v>
      </c>
      <c r="C81" s="43" t="s">
        <v>79</v>
      </c>
      <c r="D81" s="44">
        <v>45664</v>
      </c>
      <c r="E81" s="45">
        <v>17.7</v>
      </c>
    </row>
    <row r="82" spans="2:5">
      <c r="B82" s="43" t="s">
        <v>20</v>
      </c>
      <c r="C82" s="43" t="s">
        <v>21</v>
      </c>
      <c r="D82" s="44">
        <v>45664</v>
      </c>
      <c r="E82" s="45">
        <v>9.8</v>
      </c>
    </row>
    <row r="83" spans="2:5">
      <c r="B83" s="43" t="s">
        <v>22</v>
      </c>
      <c r="C83" s="43" t="s">
        <v>23</v>
      </c>
      <c r="D83" s="44">
        <v>45664</v>
      </c>
      <c r="E83" s="45">
        <v>19.2</v>
      </c>
    </row>
    <row r="84" spans="2:5">
      <c r="B84" s="43" t="s">
        <v>80</v>
      </c>
      <c r="C84" s="43" t="s">
        <v>81</v>
      </c>
      <c r="D84" s="44">
        <v>45664</v>
      </c>
      <c r="E84" s="45">
        <v>258.3</v>
      </c>
    </row>
    <row r="85" spans="2:5">
      <c r="B85" s="43" t="s">
        <v>24</v>
      </c>
      <c r="C85" s="43" t="s">
        <v>25</v>
      </c>
      <c r="D85" s="44">
        <v>45664</v>
      </c>
      <c r="E85" s="45">
        <v>1113</v>
      </c>
    </row>
    <row r="86" spans="2:5">
      <c r="B86" s="43" t="s">
        <v>26</v>
      </c>
      <c r="C86" s="43" t="s">
        <v>27</v>
      </c>
      <c r="D86" s="44">
        <v>45664</v>
      </c>
      <c r="E86" s="45">
        <v>248.8</v>
      </c>
    </row>
    <row r="87" spans="2:5">
      <c r="B87" s="43" t="s">
        <v>28</v>
      </c>
      <c r="C87" s="43" t="s">
        <v>29</v>
      </c>
      <c r="D87" s="44">
        <v>45664</v>
      </c>
      <c r="E87" s="45">
        <v>71.6</v>
      </c>
    </row>
    <row r="88" spans="2:5">
      <c r="B88" s="43" t="s">
        <v>62</v>
      </c>
      <c r="C88" s="43" t="s">
        <v>63</v>
      </c>
      <c r="D88" s="44">
        <v>45664</v>
      </c>
      <c r="E88" s="45">
        <v>963.5</v>
      </c>
    </row>
    <row r="89" spans="2:5">
      <c r="B89" s="43" t="s">
        <v>90</v>
      </c>
      <c r="C89" s="43" t="s">
        <v>91</v>
      </c>
      <c r="D89" s="44">
        <v>45664</v>
      </c>
      <c r="E89" s="45">
        <v>133.5</v>
      </c>
    </row>
    <row r="90" spans="2:5">
      <c r="B90" s="43" t="s">
        <v>64</v>
      </c>
      <c r="C90" s="43" t="s">
        <v>65</v>
      </c>
      <c r="D90" s="44">
        <v>45664</v>
      </c>
      <c r="E90" s="45">
        <v>140</v>
      </c>
    </row>
    <row r="91" spans="2:5">
      <c r="B91" s="43" t="s">
        <v>66</v>
      </c>
      <c r="C91" s="43" t="s">
        <v>67</v>
      </c>
      <c r="D91" s="44">
        <v>45664</v>
      </c>
      <c r="E91" s="45">
        <v>498.6</v>
      </c>
    </row>
    <row r="92" spans="2:5">
      <c r="B92" s="43" t="s">
        <v>92</v>
      </c>
      <c r="C92" s="43" t="s">
        <v>93</v>
      </c>
      <c r="D92" s="44">
        <v>45664</v>
      </c>
      <c r="E92" s="45">
        <v>108.3</v>
      </c>
    </row>
    <row r="93" spans="2:5">
      <c r="B93" s="43" t="s">
        <v>94</v>
      </c>
      <c r="C93" s="43" t="s">
        <v>95</v>
      </c>
      <c r="D93" s="44">
        <v>45664</v>
      </c>
      <c r="E93" s="45">
        <v>46.9</v>
      </c>
    </row>
    <row r="94" spans="2:5">
      <c r="B94" s="43" t="s">
        <v>70</v>
      </c>
      <c r="C94" s="43" t="s">
        <v>71</v>
      </c>
      <c r="D94" s="44">
        <v>45664</v>
      </c>
      <c r="E94" s="45">
        <v>17.4</v>
      </c>
    </row>
    <row r="95" spans="2:5">
      <c r="B95" s="43" t="s">
        <v>96</v>
      </c>
      <c r="C95" s="43" t="s">
        <v>97</v>
      </c>
      <c r="D95" s="44">
        <v>45664</v>
      </c>
      <c r="E95" s="45">
        <v>10</v>
      </c>
    </row>
    <row r="96" spans="2:5">
      <c r="B96" s="43" t="s">
        <v>32</v>
      </c>
      <c r="C96" s="43" t="s">
        <v>33</v>
      </c>
      <c r="D96" s="44">
        <v>45664</v>
      </c>
      <c r="E96" s="45">
        <v>3</v>
      </c>
    </row>
    <row r="97" spans="2:5">
      <c r="B97" s="43" t="s">
        <v>98</v>
      </c>
      <c r="C97" s="43" t="s">
        <v>99</v>
      </c>
      <c r="D97" s="44">
        <v>45664</v>
      </c>
      <c r="E97" s="45">
        <v>3</v>
      </c>
    </row>
    <row r="98" spans="2:5">
      <c r="B98" s="43" t="s">
        <v>34</v>
      </c>
      <c r="C98" s="43" t="s">
        <v>35</v>
      </c>
      <c r="D98" s="44">
        <v>45664</v>
      </c>
      <c r="E98" s="45">
        <v>19</v>
      </c>
    </row>
    <row r="99" spans="2:5">
      <c r="B99" s="43" t="s">
        <v>100</v>
      </c>
      <c r="C99" s="43" t="s">
        <v>101</v>
      </c>
      <c r="D99" s="44">
        <v>45665</v>
      </c>
      <c r="E99" s="45">
        <v>28</v>
      </c>
    </row>
    <row r="100" spans="2:5">
      <c r="B100" s="43" t="s">
        <v>102</v>
      </c>
      <c r="C100" s="43" t="s">
        <v>103</v>
      </c>
      <c r="D100" s="44">
        <v>45665</v>
      </c>
      <c r="E100" s="45">
        <v>12</v>
      </c>
    </row>
    <row r="101" spans="2:5">
      <c r="B101" s="43" t="s">
        <v>104</v>
      </c>
      <c r="C101" s="43" t="s">
        <v>105</v>
      </c>
      <c r="D101" s="44">
        <v>45665</v>
      </c>
      <c r="E101" s="45">
        <v>10</v>
      </c>
    </row>
    <row r="102" spans="2:5">
      <c r="B102" s="43" t="s">
        <v>8</v>
      </c>
      <c r="C102" s="43" t="s">
        <v>9</v>
      </c>
      <c r="D102" s="44">
        <v>45665</v>
      </c>
      <c r="E102" s="45">
        <v>78.3</v>
      </c>
    </row>
    <row r="103" spans="2:5">
      <c r="B103" s="43" t="s">
        <v>46</v>
      </c>
      <c r="C103" s="43" t="s">
        <v>47</v>
      </c>
      <c r="D103" s="44">
        <v>45665</v>
      </c>
      <c r="E103" s="45">
        <v>135.6</v>
      </c>
    </row>
    <row r="104" spans="2:5">
      <c r="B104" s="43" t="s">
        <v>12</v>
      </c>
      <c r="C104" s="43" t="s">
        <v>13</v>
      </c>
      <c r="D104" s="44">
        <v>45665</v>
      </c>
      <c r="E104" s="45">
        <v>607.2</v>
      </c>
    </row>
    <row r="105" spans="2:5">
      <c r="B105" s="43" t="s">
        <v>56</v>
      </c>
      <c r="C105" s="43" t="s">
        <v>57</v>
      </c>
      <c r="D105" s="44">
        <v>45665</v>
      </c>
      <c r="E105" s="45">
        <v>72.4</v>
      </c>
    </row>
    <row r="106" spans="2:5">
      <c r="B106" s="43" t="s">
        <v>16</v>
      </c>
      <c r="C106" s="43" t="s">
        <v>17</v>
      </c>
      <c r="D106" s="44">
        <v>45665</v>
      </c>
      <c r="E106" s="45">
        <v>91.2</v>
      </c>
    </row>
    <row r="107" spans="2:5">
      <c r="B107" s="43" t="s">
        <v>18</v>
      </c>
      <c r="C107" s="43" t="s">
        <v>19</v>
      </c>
      <c r="D107" s="44">
        <v>45665</v>
      </c>
      <c r="E107" s="45">
        <v>44.5</v>
      </c>
    </row>
    <row r="108" spans="2:5">
      <c r="B108" s="43" t="s">
        <v>78</v>
      </c>
      <c r="C108" s="43" t="s">
        <v>79</v>
      </c>
      <c r="D108" s="44">
        <v>45665</v>
      </c>
      <c r="E108" s="45">
        <v>8.85</v>
      </c>
    </row>
    <row r="109" spans="2:5">
      <c r="B109" s="43" t="s">
        <v>20</v>
      </c>
      <c r="C109" s="43" t="s">
        <v>21</v>
      </c>
      <c r="D109" s="44">
        <v>45665</v>
      </c>
      <c r="E109" s="45">
        <v>382.2</v>
      </c>
    </row>
    <row r="110" spans="2:5">
      <c r="B110" s="43" t="s">
        <v>22</v>
      </c>
      <c r="C110" s="43" t="s">
        <v>23</v>
      </c>
      <c r="D110" s="44">
        <v>45665</v>
      </c>
      <c r="E110" s="45">
        <v>19.2</v>
      </c>
    </row>
    <row r="111" spans="2:5">
      <c r="B111" s="43" t="s">
        <v>80</v>
      </c>
      <c r="C111" s="43" t="s">
        <v>81</v>
      </c>
      <c r="D111" s="44">
        <v>45665</v>
      </c>
      <c r="E111" s="45">
        <v>444.85</v>
      </c>
    </row>
    <row r="112" spans="2:5">
      <c r="B112" s="43" t="s">
        <v>24</v>
      </c>
      <c r="C112" s="43" t="s">
        <v>25</v>
      </c>
      <c r="D112" s="44">
        <v>45665</v>
      </c>
      <c r="E112" s="45">
        <v>683.7</v>
      </c>
    </row>
    <row r="113" spans="2:5">
      <c r="B113" s="43" t="s">
        <v>26</v>
      </c>
      <c r="C113" s="43" t="s">
        <v>27</v>
      </c>
      <c r="D113" s="44">
        <v>45665</v>
      </c>
      <c r="E113" s="45">
        <v>886.35</v>
      </c>
    </row>
    <row r="114" spans="2:5">
      <c r="B114" s="43" t="s">
        <v>66</v>
      </c>
      <c r="C114" s="43" t="s">
        <v>67</v>
      </c>
      <c r="D114" s="44">
        <v>45665</v>
      </c>
      <c r="E114" s="45">
        <v>110.8</v>
      </c>
    </row>
    <row r="115" spans="2:5">
      <c r="B115" s="43" t="s">
        <v>106</v>
      </c>
      <c r="C115" s="43" t="s">
        <v>107</v>
      </c>
      <c r="D115" s="44">
        <v>45665</v>
      </c>
      <c r="E115" s="45">
        <v>7.7</v>
      </c>
    </row>
    <row r="116" spans="2:5">
      <c r="B116" s="43" t="s">
        <v>30</v>
      </c>
      <c r="C116" s="43" t="s">
        <v>31</v>
      </c>
      <c r="D116" s="44">
        <v>45665</v>
      </c>
      <c r="E116" s="45">
        <v>6</v>
      </c>
    </row>
    <row r="117" spans="2:5">
      <c r="B117" s="43" t="s">
        <v>96</v>
      </c>
      <c r="C117" s="43" t="s">
        <v>97</v>
      </c>
      <c r="D117" s="44">
        <v>45665</v>
      </c>
      <c r="E117" s="45">
        <v>30</v>
      </c>
    </row>
    <row r="118" spans="2:5">
      <c r="B118" s="43" t="s">
        <v>32</v>
      </c>
      <c r="C118" s="43" t="s">
        <v>33</v>
      </c>
      <c r="D118" s="44">
        <v>45665</v>
      </c>
      <c r="E118" s="45">
        <v>37</v>
      </c>
    </row>
    <row r="119" spans="2:5">
      <c r="B119" s="43" t="s">
        <v>98</v>
      </c>
      <c r="C119" s="43" t="s">
        <v>99</v>
      </c>
      <c r="D119" s="44">
        <v>45665</v>
      </c>
      <c r="E119" s="45">
        <v>6</v>
      </c>
    </row>
    <row r="120" spans="2:5">
      <c r="B120" s="43" t="s">
        <v>34</v>
      </c>
      <c r="C120" s="43" t="s">
        <v>35</v>
      </c>
      <c r="D120" s="44">
        <v>45665</v>
      </c>
      <c r="E120" s="45">
        <v>7</v>
      </c>
    </row>
    <row r="121" spans="2:5">
      <c r="B121" s="43" t="s">
        <v>38</v>
      </c>
      <c r="C121" s="43" t="s">
        <v>39</v>
      </c>
      <c r="D121" s="44">
        <v>45665</v>
      </c>
      <c r="E121" s="45">
        <v>28</v>
      </c>
    </row>
    <row r="122" spans="2:5">
      <c r="B122" s="43" t="s">
        <v>42</v>
      </c>
      <c r="C122" s="43" t="s">
        <v>43</v>
      </c>
      <c r="D122" s="44">
        <v>45666</v>
      </c>
      <c r="E122" s="45">
        <v>127.05</v>
      </c>
    </row>
    <row r="123" spans="2:5">
      <c r="B123" s="43" t="s">
        <v>8</v>
      </c>
      <c r="C123" s="43" t="s">
        <v>9</v>
      </c>
      <c r="D123" s="44">
        <v>45666</v>
      </c>
      <c r="E123" s="45">
        <v>295.8</v>
      </c>
    </row>
    <row r="124" spans="2:5">
      <c r="B124" s="43" t="s">
        <v>72</v>
      </c>
      <c r="C124" s="43" t="s">
        <v>73</v>
      </c>
      <c r="D124" s="44">
        <v>45666</v>
      </c>
      <c r="E124" s="45">
        <v>81.6</v>
      </c>
    </row>
    <row r="125" spans="2:5">
      <c r="B125" s="43" t="s">
        <v>46</v>
      </c>
      <c r="C125" s="43" t="s">
        <v>47</v>
      </c>
      <c r="D125" s="44">
        <v>45666</v>
      </c>
      <c r="E125" s="45">
        <v>271.2</v>
      </c>
    </row>
    <row r="126" spans="2:5">
      <c r="B126" s="43" t="s">
        <v>12</v>
      </c>
      <c r="C126" s="43" t="s">
        <v>13</v>
      </c>
      <c r="D126" s="44">
        <v>45666</v>
      </c>
      <c r="E126" s="45">
        <v>621</v>
      </c>
    </row>
    <row r="127" spans="2:5">
      <c r="B127" s="43" t="s">
        <v>108</v>
      </c>
      <c r="C127" s="43" t="s">
        <v>109</v>
      </c>
      <c r="D127" s="44">
        <v>45666</v>
      </c>
      <c r="E127" s="45">
        <v>93</v>
      </c>
    </row>
    <row r="128" spans="2:5">
      <c r="B128" s="43" t="s">
        <v>50</v>
      </c>
      <c r="C128" s="43" t="s">
        <v>51</v>
      </c>
      <c r="D128" s="44">
        <v>45666</v>
      </c>
      <c r="E128" s="45">
        <v>163.2</v>
      </c>
    </row>
    <row r="129" spans="2:5">
      <c r="B129" s="43" t="s">
        <v>24</v>
      </c>
      <c r="C129" s="43" t="s">
        <v>25</v>
      </c>
      <c r="D129" s="44">
        <v>45666</v>
      </c>
      <c r="E129" s="45">
        <v>2273.7</v>
      </c>
    </row>
    <row r="130" spans="2:5">
      <c r="B130" s="43" t="s">
        <v>26</v>
      </c>
      <c r="C130" s="43" t="s">
        <v>27</v>
      </c>
      <c r="D130" s="44">
        <v>45666</v>
      </c>
      <c r="E130" s="45">
        <v>171.05</v>
      </c>
    </row>
    <row r="131" spans="2:5">
      <c r="B131" s="43" t="s">
        <v>110</v>
      </c>
      <c r="C131" s="43" t="s">
        <v>111</v>
      </c>
      <c r="D131" s="44">
        <v>45666</v>
      </c>
      <c r="E131" s="45">
        <v>660</v>
      </c>
    </row>
    <row r="132" spans="2:5">
      <c r="B132" s="43" t="s">
        <v>28</v>
      </c>
      <c r="C132" s="43" t="s">
        <v>29</v>
      </c>
      <c r="D132" s="44">
        <v>45666</v>
      </c>
      <c r="E132" s="45">
        <v>3669.5</v>
      </c>
    </row>
    <row r="133" spans="2:5">
      <c r="B133" s="43" t="s">
        <v>62</v>
      </c>
      <c r="C133" s="43" t="s">
        <v>63</v>
      </c>
      <c r="D133" s="44">
        <v>45666</v>
      </c>
      <c r="E133" s="45">
        <v>574</v>
      </c>
    </row>
    <row r="134" spans="2:5">
      <c r="B134" s="43" t="s">
        <v>112</v>
      </c>
      <c r="C134" s="43" t="s">
        <v>113</v>
      </c>
      <c r="D134" s="44">
        <v>45666</v>
      </c>
      <c r="E134" s="45">
        <v>210</v>
      </c>
    </row>
    <row r="135" spans="2:5">
      <c r="B135" s="43" t="s">
        <v>96</v>
      </c>
      <c r="C135" s="43" t="s">
        <v>97</v>
      </c>
      <c r="D135" s="44">
        <v>45666</v>
      </c>
      <c r="E135" s="45">
        <v>17</v>
      </c>
    </row>
    <row r="136" spans="2:5">
      <c r="B136" s="43" t="s">
        <v>32</v>
      </c>
      <c r="C136" s="43" t="s">
        <v>33</v>
      </c>
      <c r="D136" s="44">
        <v>45666</v>
      </c>
      <c r="E136" s="45">
        <v>2</v>
      </c>
    </row>
    <row r="137" spans="2:5">
      <c r="B137" s="43" t="s">
        <v>34</v>
      </c>
      <c r="C137" s="43" t="s">
        <v>35</v>
      </c>
      <c r="D137" s="44">
        <v>45666</v>
      </c>
      <c r="E137" s="45">
        <v>1</v>
      </c>
    </row>
    <row r="138" spans="2:5">
      <c r="B138" s="43" t="s">
        <v>102</v>
      </c>
      <c r="C138" s="43" t="s">
        <v>103</v>
      </c>
      <c r="D138" s="44">
        <v>45667</v>
      </c>
      <c r="E138" s="45">
        <v>1</v>
      </c>
    </row>
    <row r="139" spans="2:5">
      <c r="B139" s="43" t="s">
        <v>104</v>
      </c>
      <c r="C139" s="43" t="s">
        <v>105</v>
      </c>
      <c r="D139" s="44">
        <v>45667</v>
      </c>
      <c r="E139" s="45">
        <v>3</v>
      </c>
    </row>
    <row r="140" spans="2:5">
      <c r="B140" s="43" t="s">
        <v>40</v>
      </c>
      <c r="C140" s="43" t="s">
        <v>41</v>
      </c>
      <c r="D140" s="44">
        <v>45667</v>
      </c>
      <c r="E140" s="45">
        <v>3</v>
      </c>
    </row>
    <row r="141" spans="2:5">
      <c r="B141" s="43" t="s">
        <v>6</v>
      </c>
      <c r="C141" s="43" t="s">
        <v>7</v>
      </c>
      <c r="D141" s="44">
        <v>45667</v>
      </c>
      <c r="E141" s="45">
        <v>235.8</v>
      </c>
    </row>
    <row r="142" spans="2:5">
      <c r="B142" s="43" t="s">
        <v>8</v>
      </c>
      <c r="C142" s="43" t="s">
        <v>9</v>
      </c>
      <c r="D142" s="44">
        <v>45667</v>
      </c>
      <c r="E142" s="45">
        <v>43.5</v>
      </c>
    </row>
    <row r="143" spans="2:5">
      <c r="B143" s="43" t="s">
        <v>44</v>
      </c>
      <c r="C143" s="43" t="s">
        <v>45</v>
      </c>
      <c r="D143" s="44">
        <v>45667</v>
      </c>
      <c r="E143" s="45">
        <v>8.5</v>
      </c>
    </row>
    <row r="144" spans="2:5">
      <c r="B144" s="43" t="s">
        <v>46</v>
      </c>
      <c r="C144" s="43" t="s">
        <v>47</v>
      </c>
      <c r="D144" s="44">
        <v>45667</v>
      </c>
      <c r="E144" s="45">
        <v>248.6</v>
      </c>
    </row>
    <row r="145" spans="2:5">
      <c r="B145" s="43" t="s">
        <v>10</v>
      </c>
      <c r="C145" s="43" t="s">
        <v>11</v>
      </c>
      <c r="D145" s="44">
        <v>45667</v>
      </c>
      <c r="E145" s="45">
        <v>88.4</v>
      </c>
    </row>
    <row r="146" spans="2:5">
      <c r="B146" s="43" t="s">
        <v>12</v>
      </c>
      <c r="C146" s="43" t="s">
        <v>13</v>
      </c>
      <c r="D146" s="44">
        <v>45667</v>
      </c>
      <c r="E146" s="45">
        <v>552</v>
      </c>
    </row>
    <row r="147" spans="2:5">
      <c r="B147" s="43" t="s">
        <v>108</v>
      </c>
      <c r="C147" s="43" t="s">
        <v>109</v>
      </c>
      <c r="D147" s="44">
        <v>45667</v>
      </c>
      <c r="E147" s="45">
        <v>31</v>
      </c>
    </row>
    <row r="148" spans="2:5">
      <c r="B148" s="43" t="s">
        <v>50</v>
      </c>
      <c r="C148" s="43" t="s">
        <v>51</v>
      </c>
      <c r="D148" s="44">
        <v>45667</v>
      </c>
      <c r="E148" s="45">
        <v>68</v>
      </c>
    </row>
    <row r="149" spans="2:5">
      <c r="B149" s="43" t="s">
        <v>114</v>
      </c>
      <c r="C149" s="43" t="s">
        <v>115</v>
      </c>
      <c r="D149" s="44">
        <v>45667</v>
      </c>
      <c r="E149" s="45">
        <v>345.8</v>
      </c>
    </row>
    <row r="150" spans="2:5">
      <c r="B150" s="43" t="s">
        <v>116</v>
      </c>
      <c r="C150" s="43" t="s">
        <v>117</v>
      </c>
      <c r="D150" s="44">
        <v>45667</v>
      </c>
      <c r="E150" s="45">
        <v>163</v>
      </c>
    </row>
    <row r="151" spans="2:5">
      <c r="B151" s="43" t="s">
        <v>76</v>
      </c>
      <c r="C151" s="43" t="s">
        <v>77</v>
      </c>
      <c r="D151" s="44">
        <v>45667</v>
      </c>
      <c r="E151" s="45">
        <v>458.9</v>
      </c>
    </row>
    <row r="152" spans="2:5">
      <c r="B152" s="43" t="s">
        <v>118</v>
      </c>
      <c r="C152" s="43" t="s">
        <v>119</v>
      </c>
      <c r="D152" s="44">
        <v>45667</v>
      </c>
      <c r="E152" s="45">
        <v>30.4</v>
      </c>
    </row>
    <row r="153" spans="2:5">
      <c r="B153" s="43" t="s">
        <v>18</v>
      </c>
      <c r="C153" s="43" t="s">
        <v>19</v>
      </c>
      <c r="D153" s="44">
        <v>45667</v>
      </c>
      <c r="E153" s="45">
        <v>155.75</v>
      </c>
    </row>
    <row r="154" spans="2:5">
      <c r="B154" s="43" t="s">
        <v>120</v>
      </c>
      <c r="C154" s="43" t="s">
        <v>121</v>
      </c>
      <c r="D154" s="44">
        <v>45667</v>
      </c>
      <c r="E154" s="45">
        <v>22.8</v>
      </c>
    </row>
    <row r="155" spans="2:5">
      <c r="B155" s="43" t="s">
        <v>80</v>
      </c>
      <c r="C155" s="43" t="s">
        <v>81</v>
      </c>
      <c r="D155" s="44">
        <v>45667</v>
      </c>
      <c r="E155" s="45">
        <v>186.55</v>
      </c>
    </row>
    <row r="156" spans="2:5">
      <c r="B156" s="43" t="s">
        <v>24</v>
      </c>
      <c r="C156" s="43" t="s">
        <v>25</v>
      </c>
      <c r="D156" s="44">
        <v>45667</v>
      </c>
      <c r="E156" s="45">
        <v>1574.1</v>
      </c>
    </row>
    <row r="157" spans="2:5">
      <c r="B157" s="43" t="s">
        <v>26</v>
      </c>
      <c r="C157" s="43" t="s">
        <v>27</v>
      </c>
      <c r="D157" s="44">
        <v>45667</v>
      </c>
      <c r="E157" s="45">
        <v>730.85</v>
      </c>
    </row>
    <row r="158" spans="2:5">
      <c r="B158" s="43" t="s">
        <v>28</v>
      </c>
      <c r="C158" s="43" t="s">
        <v>29</v>
      </c>
      <c r="D158" s="44">
        <v>45667</v>
      </c>
      <c r="E158" s="45">
        <v>1467.8</v>
      </c>
    </row>
    <row r="159" spans="2:5">
      <c r="B159" s="43" t="s">
        <v>122</v>
      </c>
      <c r="C159" s="43" t="s">
        <v>123</v>
      </c>
      <c r="D159" s="44">
        <v>45667</v>
      </c>
      <c r="E159" s="45">
        <v>120.8</v>
      </c>
    </row>
    <row r="160" spans="2:5">
      <c r="B160" s="43" t="s">
        <v>64</v>
      </c>
      <c r="C160" s="43" t="s">
        <v>65</v>
      </c>
      <c r="D160" s="44">
        <v>45667</v>
      </c>
      <c r="E160" s="45">
        <v>1660</v>
      </c>
    </row>
    <row r="161" spans="2:5">
      <c r="B161" s="43" t="s">
        <v>66</v>
      </c>
      <c r="C161" s="43" t="s">
        <v>67</v>
      </c>
      <c r="D161" s="44">
        <v>45667</v>
      </c>
      <c r="E161" s="45">
        <v>304.7</v>
      </c>
    </row>
    <row r="162" spans="2:5">
      <c r="B162" s="43" t="s">
        <v>92</v>
      </c>
      <c r="C162" s="43" t="s">
        <v>93</v>
      </c>
      <c r="D162" s="44">
        <v>45667</v>
      </c>
      <c r="E162" s="45">
        <v>649.8</v>
      </c>
    </row>
    <row r="163" spans="2:5">
      <c r="B163" s="43" t="s">
        <v>124</v>
      </c>
      <c r="C163" s="43" t="s">
        <v>125</v>
      </c>
      <c r="D163" s="44">
        <v>45667</v>
      </c>
      <c r="E163" s="45">
        <v>120.9</v>
      </c>
    </row>
    <row r="164" spans="2:5">
      <c r="B164" s="43" t="s">
        <v>70</v>
      </c>
      <c r="C164" s="43" t="s">
        <v>71</v>
      </c>
      <c r="D164" s="44">
        <v>45667</v>
      </c>
      <c r="E164" s="45">
        <v>75.4</v>
      </c>
    </row>
    <row r="165" spans="2:5">
      <c r="B165" s="43" t="s">
        <v>96</v>
      </c>
      <c r="C165" s="43" t="s">
        <v>97</v>
      </c>
      <c r="D165" s="44">
        <v>45667</v>
      </c>
      <c r="E165" s="45">
        <v>26</v>
      </c>
    </row>
    <row r="166" spans="2:5">
      <c r="B166" s="43" t="s">
        <v>32</v>
      </c>
      <c r="C166" s="43" t="s">
        <v>33</v>
      </c>
      <c r="D166" s="44">
        <v>45667</v>
      </c>
      <c r="E166" s="45">
        <v>3</v>
      </c>
    </row>
    <row r="167" spans="2:5">
      <c r="B167" s="43" t="s">
        <v>34</v>
      </c>
      <c r="C167" s="43" t="s">
        <v>35</v>
      </c>
      <c r="D167" s="44">
        <v>45667</v>
      </c>
      <c r="E167" s="45">
        <v>1</v>
      </c>
    </row>
    <row r="168" spans="2:5">
      <c r="B168" s="43" t="s">
        <v>40</v>
      </c>
      <c r="C168" s="43" t="s">
        <v>41</v>
      </c>
      <c r="D168" s="44">
        <v>45670</v>
      </c>
      <c r="E168" s="45">
        <v>1</v>
      </c>
    </row>
    <row r="169" spans="2:5">
      <c r="B169" s="43" t="s">
        <v>6</v>
      </c>
      <c r="C169" s="43" t="s">
        <v>7</v>
      </c>
      <c r="D169" s="44">
        <v>45670</v>
      </c>
      <c r="E169" s="45">
        <v>26.2</v>
      </c>
    </row>
    <row r="170" spans="2:5">
      <c r="B170" s="43" t="s">
        <v>8</v>
      </c>
      <c r="C170" s="43" t="s">
        <v>9</v>
      </c>
      <c r="D170" s="44">
        <v>45670</v>
      </c>
      <c r="E170" s="45">
        <v>43.5</v>
      </c>
    </row>
    <row r="171" spans="2:5">
      <c r="B171" s="43" t="s">
        <v>72</v>
      </c>
      <c r="C171" s="43" t="s">
        <v>73</v>
      </c>
      <c r="D171" s="44">
        <v>45670</v>
      </c>
      <c r="E171" s="45">
        <v>428.4</v>
      </c>
    </row>
    <row r="172" spans="2:5">
      <c r="B172" s="43" t="s">
        <v>46</v>
      </c>
      <c r="C172" s="43" t="s">
        <v>47</v>
      </c>
      <c r="D172" s="44">
        <v>45670</v>
      </c>
      <c r="E172" s="45">
        <v>791</v>
      </c>
    </row>
    <row r="173" spans="2:5">
      <c r="B173" s="43" t="s">
        <v>12</v>
      </c>
      <c r="C173" s="43" t="s">
        <v>13</v>
      </c>
      <c r="D173" s="44">
        <v>45670</v>
      </c>
      <c r="E173" s="45">
        <v>1669.8</v>
      </c>
    </row>
    <row r="174" spans="2:5">
      <c r="B174" s="43" t="s">
        <v>50</v>
      </c>
      <c r="C174" s="43" t="s">
        <v>51</v>
      </c>
      <c r="D174" s="44">
        <v>45670</v>
      </c>
      <c r="E174" s="45">
        <v>1958.4</v>
      </c>
    </row>
    <row r="175" spans="2:5">
      <c r="B175" s="43" t="s">
        <v>114</v>
      </c>
      <c r="C175" s="43" t="s">
        <v>115</v>
      </c>
      <c r="D175" s="44">
        <v>45670</v>
      </c>
      <c r="E175" s="45">
        <v>146.3</v>
      </c>
    </row>
    <row r="176" spans="2:5">
      <c r="B176" s="43" t="s">
        <v>54</v>
      </c>
      <c r="C176" s="43" t="s">
        <v>55</v>
      </c>
      <c r="D176" s="44">
        <v>45670</v>
      </c>
      <c r="E176" s="45">
        <v>1330</v>
      </c>
    </row>
    <row r="177" spans="2:5">
      <c r="B177" s="43" t="s">
        <v>56</v>
      </c>
      <c r="C177" s="43" t="s">
        <v>57</v>
      </c>
      <c r="D177" s="44">
        <v>45670</v>
      </c>
      <c r="E177" s="45">
        <v>398.2</v>
      </c>
    </row>
    <row r="178" spans="2:5">
      <c r="B178" s="43" t="s">
        <v>126</v>
      </c>
      <c r="C178" s="43" t="s">
        <v>127</v>
      </c>
      <c r="D178" s="44">
        <v>45670</v>
      </c>
      <c r="E178" s="45">
        <v>590</v>
      </c>
    </row>
    <row r="179" spans="2:5">
      <c r="B179" s="43" t="s">
        <v>76</v>
      </c>
      <c r="C179" s="43" t="s">
        <v>77</v>
      </c>
      <c r="D179" s="44">
        <v>45670</v>
      </c>
      <c r="E179" s="45">
        <v>317.7</v>
      </c>
    </row>
    <row r="180" spans="2:5">
      <c r="B180" s="43" t="s">
        <v>16</v>
      </c>
      <c r="C180" s="43" t="s">
        <v>17</v>
      </c>
      <c r="D180" s="44">
        <v>45670</v>
      </c>
      <c r="E180" s="45">
        <v>501.6</v>
      </c>
    </row>
    <row r="181" spans="2:5">
      <c r="B181" s="43" t="s">
        <v>128</v>
      </c>
      <c r="C181" s="43" t="s">
        <v>129</v>
      </c>
      <c r="D181" s="44">
        <v>45670</v>
      </c>
      <c r="E181" s="45">
        <v>149</v>
      </c>
    </row>
    <row r="182" spans="2:5">
      <c r="B182" s="43" t="s">
        <v>130</v>
      </c>
      <c r="C182" s="43" t="s">
        <v>131</v>
      </c>
      <c r="D182" s="44">
        <v>45670</v>
      </c>
      <c r="E182" s="45">
        <v>517</v>
      </c>
    </row>
    <row r="183" spans="2:5">
      <c r="B183" s="43" t="s">
        <v>20</v>
      </c>
      <c r="C183" s="43" t="s">
        <v>21</v>
      </c>
      <c r="D183" s="44">
        <v>45670</v>
      </c>
      <c r="E183" s="45">
        <v>49</v>
      </c>
    </row>
    <row r="184" spans="2:5">
      <c r="B184" s="43" t="s">
        <v>22</v>
      </c>
      <c r="C184" s="43" t="s">
        <v>23</v>
      </c>
      <c r="D184" s="44">
        <v>45670</v>
      </c>
      <c r="E184" s="45">
        <v>28.8</v>
      </c>
    </row>
    <row r="185" spans="2:5">
      <c r="B185" s="43" t="s">
        <v>80</v>
      </c>
      <c r="C185" s="43" t="s">
        <v>81</v>
      </c>
      <c r="D185" s="44">
        <v>45670</v>
      </c>
      <c r="E185" s="45">
        <v>1234.1</v>
      </c>
    </row>
    <row r="186" spans="2:5">
      <c r="B186" s="43" t="s">
        <v>24</v>
      </c>
      <c r="C186" s="43" t="s">
        <v>25</v>
      </c>
      <c r="D186" s="44">
        <v>45670</v>
      </c>
      <c r="E186" s="45">
        <v>1717.2</v>
      </c>
    </row>
    <row r="187" spans="2:5">
      <c r="B187" s="43" t="s">
        <v>58</v>
      </c>
      <c r="C187" s="43" t="s">
        <v>59</v>
      </c>
      <c r="D187" s="44">
        <v>45670</v>
      </c>
      <c r="E187" s="45">
        <v>1079.7</v>
      </c>
    </row>
    <row r="188" spans="2:5">
      <c r="B188" s="43" t="s">
        <v>26</v>
      </c>
      <c r="C188" s="43" t="s">
        <v>27</v>
      </c>
      <c r="D188" s="44">
        <v>45670</v>
      </c>
      <c r="E188" s="45">
        <v>3296.6</v>
      </c>
    </row>
    <row r="189" spans="2:5">
      <c r="B189" s="43" t="s">
        <v>62</v>
      </c>
      <c r="C189" s="43" t="s">
        <v>63</v>
      </c>
      <c r="D189" s="44">
        <v>45670</v>
      </c>
      <c r="E189" s="45">
        <v>1435</v>
      </c>
    </row>
    <row r="190" spans="2:5">
      <c r="B190" s="43" t="s">
        <v>64</v>
      </c>
      <c r="C190" s="43" t="s">
        <v>65</v>
      </c>
      <c r="D190" s="44">
        <v>45670</v>
      </c>
      <c r="E190" s="45">
        <v>1100</v>
      </c>
    </row>
    <row r="191" spans="2:5">
      <c r="B191" s="43" t="s">
        <v>66</v>
      </c>
      <c r="C191" s="43" t="s">
        <v>67</v>
      </c>
      <c r="D191" s="44">
        <v>45670</v>
      </c>
      <c r="E191" s="45">
        <v>498.6</v>
      </c>
    </row>
    <row r="192" spans="2:5">
      <c r="B192" s="43" t="s">
        <v>132</v>
      </c>
      <c r="C192" s="43" t="s">
        <v>133</v>
      </c>
      <c r="D192" s="44">
        <v>45670</v>
      </c>
      <c r="E192" s="45">
        <v>247.2</v>
      </c>
    </row>
    <row r="193" spans="2:5">
      <c r="B193" s="43" t="s">
        <v>124</v>
      </c>
      <c r="C193" s="43" t="s">
        <v>125</v>
      </c>
      <c r="D193" s="44">
        <v>45670</v>
      </c>
      <c r="E193" s="45">
        <v>322.4</v>
      </c>
    </row>
    <row r="194" spans="2:5">
      <c r="B194" s="43" t="s">
        <v>94</v>
      </c>
      <c r="C194" s="43" t="s">
        <v>95</v>
      </c>
      <c r="D194" s="44">
        <v>45670</v>
      </c>
      <c r="E194" s="45">
        <v>562.8</v>
      </c>
    </row>
    <row r="195" spans="2:5">
      <c r="B195" s="43" t="s">
        <v>70</v>
      </c>
      <c r="C195" s="43" t="s">
        <v>71</v>
      </c>
      <c r="D195" s="44">
        <v>45670</v>
      </c>
      <c r="E195" s="45">
        <v>5.8</v>
      </c>
    </row>
    <row r="196" spans="2:5">
      <c r="B196" s="43" t="s">
        <v>30</v>
      </c>
      <c r="C196" s="43" t="s">
        <v>31</v>
      </c>
      <c r="D196" s="44">
        <v>45670</v>
      </c>
      <c r="E196" s="45">
        <v>10</v>
      </c>
    </row>
    <row r="197" spans="2:5">
      <c r="B197" s="43" t="s">
        <v>96</v>
      </c>
      <c r="C197" s="43" t="s">
        <v>97</v>
      </c>
      <c r="D197" s="44">
        <v>45670</v>
      </c>
      <c r="E197" s="45">
        <v>380</v>
      </c>
    </row>
    <row r="198" spans="2:5">
      <c r="B198" s="43" t="s">
        <v>32</v>
      </c>
      <c r="C198" s="43" t="s">
        <v>33</v>
      </c>
      <c r="D198" s="44">
        <v>45670</v>
      </c>
      <c r="E198" s="45">
        <v>32</v>
      </c>
    </row>
    <row r="199" spans="2:5">
      <c r="B199" s="43" t="s">
        <v>98</v>
      </c>
      <c r="C199" s="43" t="s">
        <v>99</v>
      </c>
      <c r="D199" s="44">
        <v>45670</v>
      </c>
      <c r="E199" s="45">
        <v>2</v>
      </c>
    </row>
    <row r="200" spans="2:5">
      <c r="B200" s="43" t="s">
        <v>34</v>
      </c>
      <c r="C200" s="43" t="s">
        <v>35</v>
      </c>
      <c r="D200" s="44">
        <v>45670</v>
      </c>
      <c r="E200" s="45">
        <v>5</v>
      </c>
    </row>
    <row r="201" spans="2:5">
      <c r="B201" s="43" t="s">
        <v>38</v>
      </c>
      <c r="C201" s="43" t="s">
        <v>39</v>
      </c>
      <c r="D201" s="44">
        <v>45670</v>
      </c>
      <c r="E201" s="45">
        <v>40</v>
      </c>
    </row>
    <row r="202" spans="2:5">
      <c r="B202" s="43" t="s">
        <v>102</v>
      </c>
      <c r="C202" s="43" t="s">
        <v>103</v>
      </c>
      <c r="D202" s="44">
        <v>45671</v>
      </c>
      <c r="E202" s="45">
        <v>22</v>
      </c>
    </row>
    <row r="203" spans="2:5">
      <c r="B203" s="43" t="s">
        <v>42</v>
      </c>
      <c r="C203" s="43" t="s">
        <v>43</v>
      </c>
      <c r="D203" s="44">
        <v>45671</v>
      </c>
      <c r="E203" s="45">
        <v>459.8</v>
      </c>
    </row>
    <row r="204" spans="2:5">
      <c r="B204" s="43" t="s">
        <v>4</v>
      </c>
      <c r="C204" s="43" t="s">
        <v>5</v>
      </c>
      <c r="D204" s="44">
        <v>45671</v>
      </c>
      <c r="E204" s="45">
        <v>174.2</v>
      </c>
    </row>
    <row r="205" spans="2:5">
      <c r="B205" s="43" t="s">
        <v>6</v>
      </c>
      <c r="C205" s="43" t="s">
        <v>7</v>
      </c>
      <c r="D205" s="44">
        <v>45671</v>
      </c>
      <c r="E205" s="45">
        <v>65.5</v>
      </c>
    </row>
    <row r="206" spans="2:5">
      <c r="B206" s="43" t="s">
        <v>8</v>
      </c>
      <c r="C206" s="43" t="s">
        <v>9</v>
      </c>
      <c r="D206" s="44">
        <v>45671</v>
      </c>
      <c r="E206" s="45">
        <v>841.8</v>
      </c>
    </row>
    <row r="207" spans="2:5">
      <c r="B207" s="43" t="s">
        <v>72</v>
      </c>
      <c r="C207" s="43" t="s">
        <v>73</v>
      </c>
      <c r="D207" s="44">
        <v>45671</v>
      </c>
      <c r="E207" s="45">
        <v>40.8</v>
      </c>
    </row>
    <row r="208" spans="2:5">
      <c r="B208" s="43" t="s">
        <v>46</v>
      </c>
      <c r="C208" s="43" t="s">
        <v>47</v>
      </c>
      <c r="D208" s="44">
        <v>45671</v>
      </c>
      <c r="E208" s="45">
        <v>305.05</v>
      </c>
    </row>
    <row r="209" spans="2:5">
      <c r="B209" s="43" t="s">
        <v>10</v>
      </c>
      <c r="C209" s="43" t="s">
        <v>11</v>
      </c>
      <c r="D209" s="44">
        <v>45671</v>
      </c>
      <c r="E209" s="45">
        <v>77.35</v>
      </c>
    </row>
    <row r="210" spans="2:5">
      <c r="B210" s="43" t="s">
        <v>74</v>
      </c>
      <c r="C210" s="43" t="s">
        <v>75</v>
      </c>
      <c r="D210" s="44">
        <v>45671</v>
      </c>
      <c r="E210" s="45">
        <v>498</v>
      </c>
    </row>
    <row r="211" spans="2:5">
      <c r="B211" s="43" t="s">
        <v>12</v>
      </c>
      <c r="C211" s="43" t="s">
        <v>13</v>
      </c>
      <c r="D211" s="44">
        <v>45671</v>
      </c>
      <c r="E211" s="45">
        <v>303.6</v>
      </c>
    </row>
    <row r="212" spans="2:5">
      <c r="B212" s="43" t="s">
        <v>134</v>
      </c>
      <c r="C212" s="43" t="s">
        <v>135</v>
      </c>
      <c r="D212" s="44">
        <v>45671</v>
      </c>
      <c r="E212" s="45">
        <v>12.25</v>
      </c>
    </row>
    <row r="213" spans="2:5">
      <c r="B213" s="43" t="s">
        <v>50</v>
      </c>
      <c r="C213" s="43" t="s">
        <v>51</v>
      </c>
      <c r="D213" s="44">
        <v>45671</v>
      </c>
      <c r="E213" s="45">
        <v>598.4</v>
      </c>
    </row>
    <row r="214" spans="2:5">
      <c r="B214" s="43" t="s">
        <v>114</v>
      </c>
      <c r="C214" s="43" t="s">
        <v>115</v>
      </c>
      <c r="D214" s="44">
        <v>45671</v>
      </c>
      <c r="E214" s="45">
        <v>66.5</v>
      </c>
    </row>
    <row r="215" spans="2:5">
      <c r="B215" s="43" t="s">
        <v>136</v>
      </c>
      <c r="C215" s="43" t="s">
        <v>137</v>
      </c>
      <c r="D215" s="44">
        <v>45671</v>
      </c>
      <c r="E215" s="45">
        <v>219</v>
      </c>
    </row>
    <row r="216" spans="2:5">
      <c r="B216" s="43" t="s">
        <v>138</v>
      </c>
      <c r="C216" s="43" t="s">
        <v>139</v>
      </c>
      <c r="D216" s="44">
        <v>45671</v>
      </c>
      <c r="E216" s="45">
        <v>142.65</v>
      </c>
    </row>
    <row r="217" spans="2:5">
      <c r="B217" s="43" t="s">
        <v>56</v>
      </c>
      <c r="C217" s="43" t="s">
        <v>57</v>
      </c>
      <c r="D217" s="44">
        <v>45671</v>
      </c>
      <c r="E217" s="45">
        <v>398.2</v>
      </c>
    </row>
    <row r="218" spans="2:5">
      <c r="B218" s="43" t="s">
        <v>126</v>
      </c>
      <c r="C218" s="43" t="s">
        <v>127</v>
      </c>
      <c r="D218" s="44">
        <v>45671</v>
      </c>
      <c r="E218" s="45">
        <v>424.8</v>
      </c>
    </row>
    <row r="219" spans="2:5">
      <c r="B219" s="43" t="s">
        <v>16</v>
      </c>
      <c r="C219" s="43" t="s">
        <v>17</v>
      </c>
      <c r="D219" s="44">
        <v>45671</v>
      </c>
      <c r="E219" s="45">
        <v>22.8</v>
      </c>
    </row>
    <row r="220" spans="2:5">
      <c r="B220" s="43" t="s">
        <v>78</v>
      </c>
      <c r="C220" s="43" t="s">
        <v>79</v>
      </c>
      <c r="D220" s="44">
        <v>45671</v>
      </c>
      <c r="E220" s="45">
        <v>61.95</v>
      </c>
    </row>
    <row r="221" spans="2:5">
      <c r="B221" s="43" t="s">
        <v>22</v>
      </c>
      <c r="C221" s="43" t="s">
        <v>23</v>
      </c>
      <c r="D221" s="44">
        <v>45671</v>
      </c>
      <c r="E221" s="45">
        <v>124.8</v>
      </c>
    </row>
    <row r="222" spans="2:5">
      <c r="B222" s="43" t="s">
        <v>140</v>
      </c>
      <c r="C222" s="43" t="s">
        <v>141</v>
      </c>
      <c r="D222" s="44">
        <v>45671</v>
      </c>
      <c r="E222" s="45">
        <v>92.8</v>
      </c>
    </row>
    <row r="223" spans="2:5">
      <c r="B223" s="43" t="s">
        <v>80</v>
      </c>
      <c r="C223" s="43" t="s">
        <v>81</v>
      </c>
      <c r="D223" s="44">
        <v>45671</v>
      </c>
      <c r="E223" s="45">
        <v>1592.85</v>
      </c>
    </row>
    <row r="224" spans="2:5">
      <c r="B224" s="43" t="s">
        <v>24</v>
      </c>
      <c r="C224" s="43" t="s">
        <v>25</v>
      </c>
      <c r="D224" s="44">
        <v>45671</v>
      </c>
      <c r="E224" s="45">
        <v>2273.65</v>
      </c>
    </row>
    <row r="225" spans="2:5">
      <c r="B225" s="43" t="s">
        <v>26</v>
      </c>
      <c r="C225" s="43" t="s">
        <v>27</v>
      </c>
      <c r="D225" s="44">
        <v>45671</v>
      </c>
      <c r="E225" s="45">
        <v>948.55</v>
      </c>
    </row>
    <row r="226" spans="2:5">
      <c r="B226" s="43" t="s">
        <v>110</v>
      </c>
      <c r="C226" s="43" t="s">
        <v>111</v>
      </c>
      <c r="D226" s="44">
        <v>45671</v>
      </c>
      <c r="E226" s="45">
        <v>247.5</v>
      </c>
    </row>
    <row r="227" spans="2:5">
      <c r="B227" s="43" t="s">
        <v>60</v>
      </c>
      <c r="C227" s="43" t="s">
        <v>61</v>
      </c>
      <c r="D227" s="44">
        <v>45671</v>
      </c>
      <c r="E227" s="45">
        <v>91.5</v>
      </c>
    </row>
    <row r="228" spans="2:5">
      <c r="B228" s="43" t="s">
        <v>28</v>
      </c>
      <c r="C228" s="43" t="s">
        <v>29</v>
      </c>
      <c r="D228" s="44">
        <v>45671</v>
      </c>
      <c r="E228" s="45">
        <v>787.6</v>
      </c>
    </row>
    <row r="229" spans="2:5">
      <c r="B229" s="43" t="s">
        <v>62</v>
      </c>
      <c r="C229" s="43" t="s">
        <v>63</v>
      </c>
      <c r="D229" s="44">
        <v>45671</v>
      </c>
      <c r="E229" s="45">
        <v>4776.5</v>
      </c>
    </row>
    <row r="230" spans="2:5">
      <c r="B230" s="43" t="s">
        <v>142</v>
      </c>
      <c r="C230" s="43" t="s">
        <v>143</v>
      </c>
      <c r="D230" s="44">
        <v>45671</v>
      </c>
      <c r="E230" s="45">
        <v>7</v>
      </c>
    </row>
    <row r="231" spans="2:5">
      <c r="B231" s="43" t="s">
        <v>96</v>
      </c>
      <c r="C231" s="43" t="s">
        <v>97</v>
      </c>
      <c r="D231" s="44">
        <v>45671</v>
      </c>
      <c r="E231" s="45">
        <v>26</v>
      </c>
    </row>
    <row r="232" spans="2:5">
      <c r="B232" s="43" t="s">
        <v>32</v>
      </c>
      <c r="C232" s="43" t="s">
        <v>33</v>
      </c>
      <c r="D232" s="44">
        <v>45671</v>
      </c>
      <c r="E232" s="45">
        <v>1</v>
      </c>
    </row>
    <row r="233" spans="2:5">
      <c r="B233" s="43" t="s">
        <v>98</v>
      </c>
      <c r="C233" s="43" t="s">
        <v>99</v>
      </c>
      <c r="D233" s="44">
        <v>45671</v>
      </c>
      <c r="E233" s="45">
        <v>1</v>
      </c>
    </row>
    <row r="234" spans="2:5">
      <c r="B234" s="43" t="s">
        <v>34</v>
      </c>
      <c r="C234" s="43" t="s">
        <v>35</v>
      </c>
      <c r="D234" s="44">
        <v>45671</v>
      </c>
      <c r="E234" s="45">
        <v>3</v>
      </c>
    </row>
    <row r="235" spans="2:5">
      <c r="B235" s="43" t="s">
        <v>36</v>
      </c>
      <c r="C235" s="43" t="s">
        <v>37</v>
      </c>
      <c r="D235" s="44">
        <v>45671</v>
      </c>
      <c r="E235" s="45">
        <v>15</v>
      </c>
    </row>
    <row r="236" spans="2:5">
      <c r="B236" s="43" t="s">
        <v>8</v>
      </c>
      <c r="C236" s="43" t="s">
        <v>9</v>
      </c>
      <c r="D236" s="44">
        <v>45672</v>
      </c>
      <c r="E236" s="45">
        <v>130.5</v>
      </c>
    </row>
    <row r="237" spans="2:5">
      <c r="B237" s="43" t="s">
        <v>44</v>
      </c>
      <c r="C237" s="43" t="s">
        <v>45</v>
      </c>
      <c r="D237" s="44">
        <v>45672</v>
      </c>
      <c r="E237" s="45">
        <v>17</v>
      </c>
    </row>
    <row r="238" spans="2:5">
      <c r="B238" s="43" t="s">
        <v>72</v>
      </c>
      <c r="C238" s="43" t="s">
        <v>73</v>
      </c>
      <c r="D238" s="44">
        <v>45672</v>
      </c>
      <c r="E238" s="45">
        <v>20.4</v>
      </c>
    </row>
    <row r="239" spans="2:5">
      <c r="B239" s="43" t="s">
        <v>46</v>
      </c>
      <c r="C239" s="43" t="s">
        <v>47</v>
      </c>
      <c r="D239" s="44">
        <v>45672</v>
      </c>
      <c r="E239" s="45">
        <v>158.2</v>
      </c>
    </row>
    <row r="240" spans="2:5">
      <c r="B240" s="43" t="s">
        <v>10</v>
      </c>
      <c r="C240" s="43" t="s">
        <v>11</v>
      </c>
      <c r="D240" s="44">
        <v>45672</v>
      </c>
      <c r="E240" s="45">
        <v>55.25</v>
      </c>
    </row>
    <row r="241" spans="2:5">
      <c r="B241" s="43" t="s">
        <v>12</v>
      </c>
      <c r="C241" s="43" t="s">
        <v>13</v>
      </c>
      <c r="D241" s="44">
        <v>45672</v>
      </c>
      <c r="E241" s="45">
        <v>1035</v>
      </c>
    </row>
    <row r="242" spans="2:5">
      <c r="B242" s="43" t="s">
        <v>50</v>
      </c>
      <c r="C242" s="43" t="s">
        <v>51</v>
      </c>
      <c r="D242" s="44">
        <v>45672</v>
      </c>
      <c r="E242" s="45">
        <v>122.4</v>
      </c>
    </row>
    <row r="243" spans="2:5">
      <c r="B243" s="43" t="s">
        <v>144</v>
      </c>
      <c r="C243" s="43" t="s">
        <v>145</v>
      </c>
      <c r="D243" s="44">
        <v>45672</v>
      </c>
      <c r="E243" s="45">
        <v>48.6</v>
      </c>
    </row>
    <row r="244" spans="2:5">
      <c r="B244" s="43" t="s">
        <v>54</v>
      </c>
      <c r="C244" s="43" t="s">
        <v>55</v>
      </c>
      <c r="D244" s="44">
        <v>45672</v>
      </c>
      <c r="E244" s="45">
        <v>26.6</v>
      </c>
    </row>
    <row r="245" spans="2:5">
      <c r="B245" s="43" t="s">
        <v>56</v>
      </c>
      <c r="C245" s="43" t="s">
        <v>57</v>
      </c>
      <c r="D245" s="44">
        <v>45672</v>
      </c>
      <c r="E245" s="45">
        <v>162.9</v>
      </c>
    </row>
    <row r="246" spans="2:5">
      <c r="B246" s="43" t="s">
        <v>146</v>
      </c>
      <c r="C246" s="43" t="s">
        <v>147</v>
      </c>
      <c r="D246" s="44">
        <v>45672</v>
      </c>
      <c r="E246" s="45">
        <v>244.2</v>
      </c>
    </row>
    <row r="247" spans="2:5">
      <c r="B247" s="43" t="s">
        <v>20</v>
      </c>
      <c r="C247" s="43" t="s">
        <v>21</v>
      </c>
      <c r="D247" s="44">
        <v>45672</v>
      </c>
      <c r="E247" s="45">
        <v>303.8</v>
      </c>
    </row>
    <row r="248" spans="2:5">
      <c r="B248" s="43" t="s">
        <v>22</v>
      </c>
      <c r="C248" s="43" t="s">
        <v>23</v>
      </c>
      <c r="D248" s="44">
        <v>45672</v>
      </c>
      <c r="E248" s="45">
        <v>547.2</v>
      </c>
    </row>
    <row r="249" spans="2:5">
      <c r="B249" s="43" t="s">
        <v>24</v>
      </c>
      <c r="C249" s="43" t="s">
        <v>25</v>
      </c>
      <c r="D249" s="44">
        <v>45672</v>
      </c>
      <c r="E249" s="45">
        <v>1764.9</v>
      </c>
    </row>
    <row r="250" spans="2:5">
      <c r="B250" s="43" t="s">
        <v>26</v>
      </c>
      <c r="C250" s="43" t="s">
        <v>27</v>
      </c>
      <c r="D250" s="44">
        <v>45672</v>
      </c>
      <c r="E250" s="45">
        <v>2332.5</v>
      </c>
    </row>
    <row r="251" spans="2:5">
      <c r="B251" s="43" t="s">
        <v>60</v>
      </c>
      <c r="C251" s="43" t="s">
        <v>61</v>
      </c>
      <c r="D251" s="44">
        <v>45672</v>
      </c>
      <c r="E251" s="45">
        <v>1299.3</v>
      </c>
    </row>
    <row r="252" spans="2:5">
      <c r="B252" s="43" t="s">
        <v>28</v>
      </c>
      <c r="C252" s="43" t="s">
        <v>29</v>
      </c>
      <c r="D252" s="44">
        <v>45672</v>
      </c>
      <c r="E252" s="45">
        <v>304.3</v>
      </c>
    </row>
    <row r="253" spans="2:5">
      <c r="B253" s="43" t="s">
        <v>62</v>
      </c>
      <c r="C253" s="43" t="s">
        <v>63</v>
      </c>
      <c r="D253" s="44">
        <v>45672</v>
      </c>
      <c r="E253" s="45">
        <v>2398.5</v>
      </c>
    </row>
    <row r="254" spans="2:5">
      <c r="B254" s="43" t="s">
        <v>148</v>
      </c>
      <c r="C254" s="43" t="s">
        <v>149</v>
      </c>
      <c r="D254" s="44">
        <v>45672</v>
      </c>
      <c r="E254" s="45">
        <v>687</v>
      </c>
    </row>
    <row r="255" spans="2:5">
      <c r="B255" s="43" t="s">
        <v>90</v>
      </c>
      <c r="C255" s="43" t="s">
        <v>91</v>
      </c>
      <c r="D255" s="44">
        <v>45672</v>
      </c>
      <c r="E255" s="45">
        <v>6381.3</v>
      </c>
    </row>
    <row r="256" spans="2:5">
      <c r="B256" s="43" t="s">
        <v>64</v>
      </c>
      <c r="C256" s="43" t="s">
        <v>65</v>
      </c>
      <c r="D256" s="44">
        <v>45672</v>
      </c>
      <c r="E256" s="45">
        <v>840</v>
      </c>
    </row>
    <row r="257" spans="2:5">
      <c r="B257" s="43" t="s">
        <v>66</v>
      </c>
      <c r="C257" s="43" t="s">
        <v>67</v>
      </c>
      <c r="D257" s="44">
        <v>45672</v>
      </c>
      <c r="E257" s="45">
        <v>498.6</v>
      </c>
    </row>
    <row r="258" spans="2:5">
      <c r="B258" s="43" t="s">
        <v>150</v>
      </c>
      <c r="C258" s="43" t="s">
        <v>151</v>
      </c>
      <c r="D258" s="44">
        <v>45672</v>
      </c>
      <c r="E258" s="45">
        <v>54.1</v>
      </c>
    </row>
    <row r="259" spans="2:5">
      <c r="B259" s="43" t="s">
        <v>96</v>
      </c>
      <c r="C259" s="43" t="s">
        <v>97</v>
      </c>
      <c r="D259" s="44">
        <v>45672</v>
      </c>
      <c r="E259" s="45">
        <v>25</v>
      </c>
    </row>
    <row r="260" spans="2:5">
      <c r="B260" s="43" t="s">
        <v>32</v>
      </c>
      <c r="C260" s="43" t="s">
        <v>33</v>
      </c>
      <c r="D260" s="44">
        <v>45672</v>
      </c>
      <c r="E260" s="45">
        <v>9</v>
      </c>
    </row>
    <row r="261" spans="2:5">
      <c r="B261" s="43" t="s">
        <v>34</v>
      </c>
      <c r="C261" s="43" t="s">
        <v>35</v>
      </c>
      <c r="D261" s="44">
        <v>45672</v>
      </c>
      <c r="E261" s="45">
        <v>13</v>
      </c>
    </row>
    <row r="262" spans="2:5">
      <c r="B262" s="43" t="s">
        <v>38</v>
      </c>
      <c r="C262" s="43" t="s">
        <v>39</v>
      </c>
      <c r="D262" s="44">
        <v>45672</v>
      </c>
      <c r="E262" s="45">
        <v>4</v>
      </c>
    </row>
    <row r="263" spans="2:5">
      <c r="B263" s="43" t="s">
        <v>4</v>
      </c>
      <c r="C263" s="43" t="s">
        <v>5</v>
      </c>
      <c r="D263" s="44">
        <v>45673</v>
      </c>
      <c r="E263" s="45">
        <v>455.6</v>
      </c>
    </row>
    <row r="264" spans="2:5">
      <c r="B264" s="43" t="s">
        <v>8</v>
      </c>
      <c r="C264" s="43" t="s">
        <v>9</v>
      </c>
      <c r="D264" s="44">
        <v>45673</v>
      </c>
      <c r="E264" s="45">
        <v>739.5</v>
      </c>
    </row>
    <row r="265" spans="2:5">
      <c r="B265" s="43" t="s">
        <v>46</v>
      </c>
      <c r="C265" s="43" t="s">
        <v>47</v>
      </c>
      <c r="D265" s="44">
        <v>45673</v>
      </c>
      <c r="E265" s="45">
        <v>757.1</v>
      </c>
    </row>
    <row r="266" spans="2:5">
      <c r="B266" s="43" t="s">
        <v>12</v>
      </c>
      <c r="C266" s="43" t="s">
        <v>13</v>
      </c>
      <c r="D266" s="44">
        <v>45673</v>
      </c>
      <c r="E266" s="45">
        <v>1145.4</v>
      </c>
    </row>
    <row r="267" spans="2:5">
      <c r="B267" s="43" t="s">
        <v>108</v>
      </c>
      <c r="C267" s="43" t="s">
        <v>109</v>
      </c>
      <c r="D267" s="44">
        <v>45673</v>
      </c>
      <c r="E267" s="45">
        <v>124</v>
      </c>
    </row>
    <row r="268" spans="2:5">
      <c r="B268" s="43" t="s">
        <v>50</v>
      </c>
      <c r="C268" s="43" t="s">
        <v>51</v>
      </c>
      <c r="D268" s="44">
        <v>45673</v>
      </c>
      <c r="E268" s="45">
        <v>163.2</v>
      </c>
    </row>
    <row r="269" spans="2:5">
      <c r="B269" s="43" t="s">
        <v>114</v>
      </c>
      <c r="C269" s="43" t="s">
        <v>115</v>
      </c>
      <c r="D269" s="44">
        <v>45673</v>
      </c>
      <c r="E269" s="45">
        <v>26.6</v>
      </c>
    </row>
    <row r="270" spans="2:5">
      <c r="B270" s="43" t="s">
        <v>144</v>
      </c>
      <c r="C270" s="43" t="s">
        <v>145</v>
      </c>
      <c r="D270" s="44">
        <v>45673</v>
      </c>
      <c r="E270" s="45">
        <v>680.4</v>
      </c>
    </row>
    <row r="271" spans="2:5">
      <c r="B271" s="43" t="s">
        <v>56</v>
      </c>
      <c r="C271" s="43" t="s">
        <v>57</v>
      </c>
      <c r="D271" s="44">
        <v>45673</v>
      </c>
      <c r="E271" s="45">
        <v>217.2</v>
      </c>
    </row>
    <row r="272" spans="2:5">
      <c r="B272" s="43" t="s">
        <v>20</v>
      </c>
      <c r="C272" s="43" t="s">
        <v>21</v>
      </c>
      <c r="D272" s="44">
        <v>45673</v>
      </c>
      <c r="E272" s="45">
        <v>9.8</v>
      </c>
    </row>
    <row r="273" spans="2:5">
      <c r="B273" s="43" t="s">
        <v>22</v>
      </c>
      <c r="C273" s="43" t="s">
        <v>23</v>
      </c>
      <c r="D273" s="44">
        <v>45673</v>
      </c>
      <c r="E273" s="45">
        <v>48</v>
      </c>
    </row>
    <row r="274" spans="2:5">
      <c r="B274" s="43" t="s">
        <v>140</v>
      </c>
      <c r="C274" s="43" t="s">
        <v>141</v>
      </c>
      <c r="D274" s="44">
        <v>45673</v>
      </c>
      <c r="E274" s="45">
        <v>69.6</v>
      </c>
    </row>
    <row r="275" spans="2:5">
      <c r="B275" s="43" t="s">
        <v>80</v>
      </c>
      <c r="C275" s="43" t="s">
        <v>81</v>
      </c>
      <c r="D275" s="44">
        <v>45673</v>
      </c>
      <c r="E275" s="45">
        <v>100.45</v>
      </c>
    </row>
    <row r="276" spans="2:5">
      <c r="B276" s="43" t="s">
        <v>24</v>
      </c>
      <c r="C276" s="43" t="s">
        <v>25</v>
      </c>
      <c r="D276" s="44">
        <v>45673</v>
      </c>
      <c r="E276" s="45">
        <v>4118.1</v>
      </c>
    </row>
    <row r="277" spans="2:5">
      <c r="B277" s="43" t="s">
        <v>58</v>
      </c>
      <c r="C277" s="43" t="s">
        <v>59</v>
      </c>
      <c r="D277" s="44">
        <v>45673</v>
      </c>
      <c r="E277" s="45">
        <v>53.1</v>
      </c>
    </row>
    <row r="278" spans="2:5">
      <c r="B278" s="43" t="s">
        <v>26</v>
      </c>
      <c r="C278" s="43" t="s">
        <v>27</v>
      </c>
      <c r="D278" s="44">
        <v>45673</v>
      </c>
      <c r="E278" s="45">
        <v>979.65</v>
      </c>
    </row>
    <row r="279" spans="2:5">
      <c r="B279" s="43" t="s">
        <v>60</v>
      </c>
      <c r="C279" s="43" t="s">
        <v>61</v>
      </c>
      <c r="D279" s="44">
        <v>45673</v>
      </c>
      <c r="E279" s="45">
        <v>366</v>
      </c>
    </row>
    <row r="280" spans="2:5">
      <c r="B280" s="43" t="s">
        <v>28</v>
      </c>
      <c r="C280" s="43" t="s">
        <v>29</v>
      </c>
      <c r="D280" s="44">
        <v>45673</v>
      </c>
      <c r="E280" s="45">
        <v>161.1</v>
      </c>
    </row>
    <row r="281" spans="2:5">
      <c r="B281" s="43" t="s">
        <v>82</v>
      </c>
      <c r="C281" s="43" t="s">
        <v>83</v>
      </c>
      <c r="D281" s="44">
        <v>45673</v>
      </c>
      <c r="E281" s="45">
        <v>73.8</v>
      </c>
    </row>
    <row r="282" spans="2:5">
      <c r="B282" s="43" t="s">
        <v>62</v>
      </c>
      <c r="C282" s="43" t="s">
        <v>63</v>
      </c>
      <c r="D282" s="44">
        <v>45673</v>
      </c>
      <c r="E282" s="45">
        <v>102.5</v>
      </c>
    </row>
    <row r="283" spans="2:5">
      <c r="B283" s="43" t="s">
        <v>64</v>
      </c>
      <c r="C283" s="43" t="s">
        <v>65</v>
      </c>
      <c r="D283" s="44">
        <v>45673</v>
      </c>
      <c r="E283" s="45">
        <v>60</v>
      </c>
    </row>
    <row r="284" spans="2:5">
      <c r="B284" s="43" t="s">
        <v>66</v>
      </c>
      <c r="C284" s="43" t="s">
        <v>67</v>
      </c>
      <c r="D284" s="44">
        <v>45673</v>
      </c>
      <c r="E284" s="45">
        <v>332.4</v>
      </c>
    </row>
    <row r="285" spans="2:5">
      <c r="B285" s="43" t="s">
        <v>124</v>
      </c>
      <c r="C285" s="43" t="s">
        <v>125</v>
      </c>
      <c r="D285" s="44">
        <v>45673</v>
      </c>
      <c r="E285" s="45">
        <v>161.2</v>
      </c>
    </row>
    <row r="286" spans="2:5">
      <c r="B286" s="43" t="s">
        <v>96</v>
      </c>
      <c r="C286" s="43" t="s">
        <v>97</v>
      </c>
      <c r="D286" s="44">
        <v>45673</v>
      </c>
      <c r="E286" s="45">
        <v>8</v>
      </c>
    </row>
    <row r="287" spans="2:5">
      <c r="B287" s="43" t="s">
        <v>98</v>
      </c>
      <c r="C287" s="43" t="s">
        <v>99</v>
      </c>
      <c r="D287" s="44">
        <v>45673</v>
      </c>
      <c r="E287" s="45">
        <v>1</v>
      </c>
    </row>
    <row r="288" spans="2:5">
      <c r="B288" s="43" t="s">
        <v>34</v>
      </c>
      <c r="C288" s="43" t="s">
        <v>35</v>
      </c>
      <c r="D288" s="44">
        <v>45673</v>
      </c>
      <c r="E288" s="45">
        <v>10</v>
      </c>
    </row>
    <row r="289" spans="2:5">
      <c r="B289" s="43" t="s">
        <v>36</v>
      </c>
      <c r="C289" s="43" t="s">
        <v>37</v>
      </c>
      <c r="D289" s="44">
        <v>45673</v>
      </c>
      <c r="E289" s="45">
        <v>10</v>
      </c>
    </row>
    <row r="290" spans="2:5">
      <c r="B290" s="43" t="s">
        <v>8</v>
      </c>
      <c r="C290" s="43" t="s">
        <v>9</v>
      </c>
      <c r="D290" s="44">
        <v>45674</v>
      </c>
      <c r="E290" s="45">
        <v>26.1</v>
      </c>
    </row>
    <row r="291" spans="2:5">
      <c r="B291" s="43" t="s">
        <v>46</v>
      </c>
      <c r="C291" s="43" t="s">
        <v>47</v>
      </c>
      <c r="D291" s="44">
        <v>45674</v>
      </c>
      <c r="E291" s="45">
        <v>90.4</v>
      </c>
    </row>
    <row r="292" spans="2:5">
      <c r="B292" s="43" t="s">
        <v>10</v>
      </c>
      <c r="C292" s="43" t="s">
        <v>11</v>
      </c>
      <c r="D292" s="44">
        <v>45674</v>
      </c>
      <c r="E292" s="45">
        <v>165.75</v>
      </c>
    </row>
    <row r="293" spans="2:5">
      <c r="B293" s="43" t="s">
        <v>12</v>
      </c>
      <c r="C293" s="43" t="s">
        <v>13</v>
      </c>
      <c r="D293" s="44">
        <v>45674</v>
      </c>
      <c r="E293" s="45">
        <v>138</v>
      </c>
    </row>
    <row r="294" spans="2:5">
      <c r="B294" s="43" t="s">
        <v>48</v>
      </c>
      <c r="C294" s="43" t="s">
        <v>49</v>
      </c>
      <c r="D294" s="44">
        <v>45674</v>
      </c>
      <c r="E294" s="45">
        <v>152</v>
      </c>
    </row>
    <row r="295" spans="2:5">
      <c r="B295" s="43" t="s">
        <v>14</v>
      </c>
      <c r="C295" s="43" t="s">
        <v>15</v>
      </c>
      <c r="D295" s="44">
        <v>45674</v>
      </c>
      <c r="E295" s="45">
        <v>27</v>
      </c>
    </row>
    <row r="296" spans="2:5">
      <c r="B296" s="43" t="s">
        <v>54</v>
      </c>
      <c r="C296" s="43" t="s">
        <v>55</v>
      </c>
      <c r="D296" s="44">
        <v>45674</v>
      </c>
      <c r="E296" s="45">
        <v>79.8</v>
      </c>
    </row>
    <row r="297" spans="2:5">
      <c r="B297" s="43" t="s">
        <v>152</v>
      </c>
      <c r="C297" s="43" t="s">
        <v>153</v>
      </c>
      <c r="D297" s="44">
        <v>45674</v>
      </c>
      <c r="E297" s="45">
        <v>232.5</v>
      </c>
    </row>
    <row r="298" spans="2:5">
      <c r="B298" s="43" t="s">
        <v>78</v>
      </c>
      <c r="C298" s="43" t="s">
        <v>79</v>
      </c>
      <c r="D298" s="44">
        <v>45674</v>
      </c>
      <c r="E298" s="45">
        <v>8.85</v>
      </c>
    </row>
    <row r="299" spans="2:5">
      <c r="B299" s="43" t="s">
        <v>20</v>
      </c>
      <c r="C299" s="43" t="s">
        <v>21</v>
      </c>
      <c r="D299" s="44">
        <v>45674</v>
      </c>
      <c r="E299" s="45">
        <v>107.8</v>
      </c>
    </row>
    <row r="300" spans="2:5">
      <c r="B300" s="43" t="s">
        <v>80</v>
      </c>
      <c r="C300" s="43" t="s">
        <v>81</v>
      </c>
      <c r="D300" s="44">
        <v>45674</v>
      </c>
      <c r="E300" s="45">
        <v>200.9</v>
      </c>
    </row>
    <row r="301" spans="2:5">
      <c r="B301" s="43" t="s">
        <v>24</v>
      </c>
      <c r="C301" s="43" t="s">
        <v>25</v>
      </c>
      <c r="D301" s="44">
        <v>45674</v>
      </c>
      <c r="E301" s="45">
        <v>508.8</v>
      </c>
    </row>
    <row r="302" spans="2:5">
      <c r="B302" s="43" t="s">
        <v>26</v>
      </c>
      <c r="C302" s="43" t="s">
        <v>27</v>
      </c>
      <c r="D302" s="44">
        <v>45674</v>
      </c>
      <c r="E302" s="45">
        <v>1555</v>
      </c>
    </row>
    <row r="303" spans="2:5">
      <c r="B303" s="43" t="s">
        <v>62</v>
      </c>
      <c r="C303" s="43" t="s">
        <v>63</v>
      </c>
      <c r="D303" s="44">
        <v>45674</v>
      </c>
      <c r="E303" s="45">
        <v>82</v>
      </c>
    </row>
    <row r="304" spans="2:5">
      <c r="B304" s="43" t="s">
        <v>64</v>
      </c>
      <c r="C304" s="43" t="s">
        <v>65</v>
      </c>
      <c r="D304" s="44">
        <v>45674</v>
      </c>
      <c r="E304" s="45">
        <v>1400</v>
      </c>
    </row>
    <row r="305" spans="2:5">
      <c r="B305" s="43" t="s">
        <v>66</v>
      </c>
      <c r="C305" s="43" t="s">
        <v>67</v>
      </c>
      <c r="D305" s="44">
        <v>45674</v>
      </c>
      <c r="E305" s="45">
        <v>831</v>
      </c>
    </row>
    <row r="306" spans="2:5">
      <c r="B306" s="43" t="s">
        <v>124</v>
      </c>
      <c r="C306" s="43" t="s">
        <v>125</v>
      </c>
      <c r="D306" s="44">
        <v>45674</v>
      </c>
      <c r="E306" s="45">
        <v>322.4</v>
      </c>
    </row>
    <row r="307" spans="2:5">
      <c r="B307" s="43" t="s">
        <v>96</v>
      </c>
      <c r="C307" s="43" t="s">
        <v>97</v>
      </c>
      <c r="D307" s="44">
        <v>45674</v>
      </c>
      <c r="E307" s="45">
        <v>18</v>
      </c>
    </row>
    <row r="308" spans="2:5">
      <c r="B308" s="43" t="s">
        <v>32</v>
      </c>
      <c r="C308" s="43" t="s">
        <v>33</v>
      </c>
      <c r="D308" s="44">
        <v>45674</v>
      </c>
      <c r="E308" s="45">
        <v>1</v>
      </c>
    </row>
    <row r="309" spans="2:5">
      <c r="B309" s="43" t="s">
        <v>34</v>
      </c>
      <c r="C309" s="43" t="s">
        <v>35</v>
      </c>
      <c r="D309" s="44">
        <v>45674</v>
      </c>
      <c r="E309" s="45">
        <v>4</v>
      </c>
    </row>
    <row r="310" spans="2:5">
      <c r="B310" s="43" t="s">
        <v>36</v>
      </c>
      <c r="C310" s="43" t="s">
        <v>37</v>
      </c>
      <c r="D310" s="44">
        <v>45674</v>
      </c>
      <c r="E310" s="45">
        <v>5</v>
      </c>
    </row>
    <row r="311" spans="2:5">
      <c r="B311" s="43" t="s">
        <v>12</v>
      </c>
      <c r="C311" s="43" t="s">
        <v>13</v>
      </c>
      <c r="D311" s="44">
        <v>45677</v>
      </c>
      <c r="E311" s="45">
        <v>27.6</v>
      </c>
    </row>
    <row r="312" spans="2:5">
      <c r="B312" s="43" t="s">
        <v>134</v>
      </c>
      <c r="C312" s="43" t="s">
        <v>135</v>
      </c>
      <c r="D312" s="44">
        <v>45677</v>
      </c>
      <c r="E312" s="45">
        <v>624.75</v>
      </c>
    </row>
    <row r="313" spans="2:5">
      <c r="B313" s="43" t="s">
        <v>138</v>
      </c>
      <c r="C313" s="43" t="s">
        <v>139</v>
      </c>
      <c r="D313" s="44">
        <v>45677</v>
      </c>
      <c r="E313" s="45">
        <v>63.4</v>
      </c>
    </row>
    <row r="314" spans="2:5">
      <c r="B314" s="43" t="s">
        <v>20</v>
      </c>
      <c r="C314" s="43" t="s">
        <v>21</v>
      </c>
      <c r="D314" s="44">
        <v>45677</v>
      </c>
      <c r="E314" s="45">
        <v>29.4</v>
      </c>
    </row>
    <row r="315" spans="2:5">
      <c r="B315" s="43" t="s">
        <v>22</v>
      </c>
      <c r="C315" s="43" t="s">
        <v>23</v>
      </c>
      <c r="D315" s="44">
        <v>45677</v>
      </c>
      <c r="E315" s="45">
        <v>86.4</v>
      </c>
    </row>
    <row r="316" spans="2:5">
      <c r="B316" s="43" t="s">
        <v>24</v>
      </c>
      <c r="C316" s="43" t="s">
        <v>25</v>
      </c>
      <c r="D316" s="44">
        <v>45677</v>
      </c>
      <c r="E316" s="45">
        <v>1128.9</v>
      </c>
    </row>
    <row r="317" spans="2:5">
      <c r="B317" s="43" t="s">
        <v>26</v>
      </c>
      <c r="C317" s="43" t="s">
        <v>27</v>
      </c>
      <c r="D317" s="44">
        <v>45677</v>
      </c>
      <c r="E317" s="45">
        <v>2923.4</v>
      </c>
    </row>
    <row r="318" spans="2:5">
      <c r="B318" s="43" t="s">
        <v>110</v>
      </c>
      <c r="C318" s="43" t="s">
        <v>111</v>
      </c>
      <c r="D318" s="44">
        <v>45677</v>
      </c>
      <c r="E318" s="45">
        <v>825</v>
      </c>
    </row>
    <row r="319" spans="2:5">
      <c r="B319" s="43" t="s">
        <v>60</v>
      </c>
      <c r="C319" s="43" t="s">
        <v>61</v>
      </c>
      <c r="D319" s="44">
        <v>45677</v>
      </c>
      <c r="E319" s="45">
        <v>164.7</v>
      </c>
    </row>
    <row r="320" spans="2:5">
      <c r="B320" s="43" t="s">
        <v>62</v>
      </c>
      <c r="C320" s="43" t="s">
        <v>63</v>
      </c>
      <c r="D320" s="44">
        <v>45677</v>
      </c>
      <c r="E320" s="45">
        <v>758.5</v>
      </c>
    </row>
    <row r="321" spans="2:5">
      <c r="B321" s="43" t="s">
        <v>148</v>
      </c>
      <c r="C321" s="43" t="s">
        <v>149</v>
      </c>
      <c r="D321" s="44">
        <v>45677</v>
      </c>
      <c r="E321" s="45">
        <v>91.6</v>
      </c>
    </row>
    <row r="322" spans="2:5">
      <c r="B322" s="43" t="s">
        <v>64</v>
      </c>
      <c r="C322" s="43" t="s">
        <v>65</v>
      </c>
      <c r="D322" s="44">
        <v>45677</v>
      </c>
      <c r="E322" s="45">
        <v>1300</v>
      </c>
    </row>
    <row r="323" spans="2:5">
      <c r="B323" s="43" t="s">
        <v>92</v>
      </c>
      <c r="C323" s="43" t="s">
        <v>93</v>
      </c>
      <c r="D323" s="44">
        <v>45677</v>
      </c>
      <c r="E323" s="45">
        <v>722</v>
      </c>
    </row>
    <row r="324" spans="2:5">
      <c r="B324" s="43" t="s">
        <v>96</v>
      </c>
      <c r="C324" s="43" t="s">
        <v>97</v>
      </c>
      <c r="D324" s="44">
        <v>45677</v>
      </c>
      <c r="E324" s="45">
        <v>27</v>
      </c>
    </row>
    <row r="325" spans="2:5">
      <c r="B325" s="43" t="s">
        <v>32</v>
      </c>
      <c r="C325" s="43" t="s">
        <v>33</v>
      </c>
      <c r="D325" s="44">
        <v>45677</v>
      </c>
      <c r="E325" s="45">
        <v>8</v>
      </c>
    </row>
    <row r="326" spans="2:5">
      <c r="B326" s="43" t="s">
        <v>36</v>
      </c>
      <c r="C326" s="43" t="s">
        <v>37</v>
      </c>
      <c r="D326" s="44">
        <v>45677</v>
      </c>
      <c r="E326" s="45">
        <v>4</v>
      </c>
    </row>
    <row r="327" spans="2:5">
      <c r="B327" s="43" t="s">
        <v>154</v>
      </c>
      <c r="C327" s="43" t="s">
        <v>155</v>
      </c>
      <c r="D327" s="44">
        <v>45678</v>
      </c>
      <c r="E327" s="45">
        <v>10</v>
      </c>
    </row>
    <row r="328" spans="2:5">
      <c r="B328" s="43" t="s">
        <v>42</v>
      </c>
      <c r="C328" s="43" t="s">
        <v>43</v>
      </c>
      <c r="D328" s="44">
        <v>45678</v>
      </c>
      <c r="E328" s="45">
        <v>356.95</v>
      </c>
    </row>
    <row r="329" spans="2:5">
      <c r="B329" s="43" t="s">
        <v>156</v>
      </c>
      <c r="C329" s="43" t="s">
        <v>157</v>
      </c>
      <c r="D329" s="44">
        <v>45678</v>
      </c>
      <c r="E329" s="45">
        <v>475.8</v>
      </c>
    </row>
    <row r="330" spans="2:5">
      <c r="B330" s="43" t="s">
        <v>8</v>
      </c>
      <c r="C330" s="43" t="s">
        <v>9</v>
      </c>
      <c r="D330" s="44">
        <v>45678</v>
      </c>
      <c r="E330" s="45">
        <v>478.5</v>
      </c>
    </row>
    <row r="331" spans="2:5">
      <c r="B331" s="43" t="s">
        <v>72</v>
      </c>
      <c r="C331" s="43" t="s">
        <v>73</v>
      </c>
      <c r="D331" s="44">
        <v>45678</v>
      </c>
      <c r="E331" s="45">
        <v>142.8</v>
      </c>
    </row>
    <row r="332" spans="2:5">
      <c r="B332" s="43" t="s">
        <v>46</v>
      </c>
      <c r="C332" s="43" t="s">
        <v>47</v>
      </c>
      <c r="D332" s="44">
        <v>45678</v>
      </c>
      <c r="E332" s="45">
        <v>361.6</v>
      </c>
    </row>
    <row r="333" spans="2:5">
      <c r="B333" s="43" t="s">
        <v>74</v>
      </c>
      <c r="C333" s="43" t="s">
        <v>75</v>
      </c>
      <c r="D333" s="44">
        <v>45678</v>
      </c>
      <c r="E333" s="45">
        <v>199.2</v>
      </c>
    </row>
    <row r="334" spans="2:5">
      <c r="B334" s="43" t="s">
        <v>12</v>
      </c>
      <c r="C334" s="43" t="s">
        <v>13</v>
      </c>
      <c r="D334" s="44">
        <v>45678</v>
      </c>
      <c r="E334" s="45">
        <v>786.6</v>
      </c>
    </row>
    <row r="335" spans="2:5">
      <c r="B335" s="43" t="s">
        <v>14</v>
      </c>
      <c r="C335" s="43" t="s">
        <v>15</v>
      </c>
      <c r="D335" s="44">
        <v>45678</v>
      </c>
      <c r="E335" s="45">
        <v>243</v>
      </c>
    </row>
    <row r="336" spans="2:5">
      <c r="B336" s="43" t="s">
        <v>134</v>
      </c>
      <c r="C336" s="43" t="s">
        <v>135</v>
      </c>
      <c r="D336" s="44">
        <v>45678</v>
      </c>
      <c r="E336" s="45">
        <v>24.5</v>
      </c>
    </row>
    <row r="337" spans="2:5">
      <c r="B337" s="43" t="s">
        <v>116</v>
      </c>
      <c r="C337" s="43" t="s">
        <v>117</v>
      </c>
      <c r="D337" s="44">
        <v>45678</v>
      </c>
      <c r="E337" s="45">
        <v>97.8</v>
      </c>
    </row>
    <row r="338" spans="2:5">
      <c r="B338" s="43" t="s">
        <v>56</v>
      </c>
      <c r="C338" s="43" t="s">
        <v>57</v>
      </c>
      <c r="D338" s="44">
        <v>45678</v>
      </c>
      <c r="E338" s="45">
        <v>362</v>
      </c>
    </row>
    <row r="339" spans="2:5">
      <c r="B339" s="43" t="s">
        <v>158</v>
      </c>
      <c r="C339" s="43" t="s">
        <v>159</v>
      </c>
      <c r="D339" s="44">
        <v>45678</v>
      </c>
      <c r="E339" s="45">
        <v>306</v>
      </c>
    </row>
    <row r="340" spans="2:5">
      <c r="B340" s="43" t="s">
        <v>78</v>
      </c>
      <c r="C340" s="43" t="s">
        <v>79</v>
      </c>
      <c r="D340" s="44">
        <v>45678</v>
      </c>
      <c r="E340" s="45">
        <v>8.85</v>
      </c>
    </row>
    <row r="341" spans="2:5">
      <c r="B341" s="43" t="s">
        <v>20</v>
      </c>
      <c r="C341" s="43" t="s">
        <v>21</v>
      </c>
      <c r="D341" s="44">
        <v>45678</v>
      </c>
      <c r="E341" s="45">
        <v>323.4</v>
      </c>
    </row>
    <row r="342" spans="2:5">
      <c r="B342" s="43" t="s">
        <v>22</v>
      </c>
      <c r="C342" s="43" t="s">
        <v>23</v>
      </c>
      <c r="D342" s="44">
        <v>45678</v>
      </c>
      <c r="E342" s="45">
        <v>883.2</v>
      </c>
    </row>
    <row r="343" spans="2:5">
      <c r="B343" s="43" t="s">
        <v>80</v>
      </c>
      <c r="C343" s="43" t="s">
        <v>81</v>
      </c>
      <c r="D343" s="44">
        <v>45678</v>
      </c>
      <c r="E343" s="45">
        <v>1348.9</v>
      </c>
    </row>
    <row r="344" spans="2:5">
      <c r="B344" s="43" t="s">
        <v>24</v>
      </c>
      <c r="C344" s="43" t="s">
        <v>25</v>
      </c>
      <c r="D344" s="44">
        <v>45678</v>
      </c>
      <c r="E344" s="45">
        <v>2003.4</v>
      </c>
    </row>
    <row r="345" spans="2:5">
      <c r="B345" s="43" t="s">
        <v>26</v>
      </c>
      <c r="C345" s="43" t="s">
        <v>27</v>
      </c>
      <c r="D345" s="44">
        <v>45678</v>
      </c>
      <c r="E345" s="45">
        <v>497.6</v>
      </c>
    </row>
    <row r="346" spans="2:5">
      <c r="B346" s="43" t="s">
        <v>110</v>
      </c>
      <c r="C346" s="43" t="s">
        <v>111</v>
      </c>
      <c r="D346" s="44">
        <v>45678</v>
      </c>
      <c r="E346" s="45">
        <v>181.5</v>
      </c>
    </row>
    <row r="347" spans="2:5">
      <c r="B347" s="43" t="s">
        <v>28</v>
      </c>
      <c r="C347" s="43" t="s">
        <v>29</v>
      </c>
      <c r="D347" s="44">
        <v>45678</v>
      </c>
      <c r="E347" s="45">
        <v>823.4</v>
      </c>
    </row>
    <row r="348" spans="2:5">
      <c r="B348" s="43" t="s">
        <v>122</v>
      </c>
      <c r="C348" s="43" t="s">
        <v>123</v>
      </c>
      <c r="D348" s="44">
        <v>45678</v>
      </c>
      <c r="E348" s="45">
        <v>211.4</v>
      </c>
    </row>
    <row r="349" spans="2:5">
      <c r="B349" s="43" t="s">
        <v>62</v>
      </c>
      <c r="C349" s="43" t="s">
        <v>63</v>
      </c>
      <c r="D349" s="44">
        <v>45678</v>
      </c>
      <c r="E349" s="45">
        <v>184.5</v>
      </c>
    </row>
    <row r="350" spans="2:5">
      <c r="B350" s="43" t="s">
        <v>64</v>
      </c>
      <c r="C350" s="43" t="s">
        <v>65</v>
      </c>
      <c r="D350" s="44">
        <v>45678</v>
      </c>
      <c r="E350" s="45">
        <v>500</v>
      </c>
    </row>
    <row r="351" spans="2:5">
      <c r="B351" s="43" t="s">
        <v>66</v>
      </c>
      <c r="C351" s="43" t="s">
        <v>67</v>
      </c>
      <c r="D351" s="44">
        <v>45678</v>
      </c>
      <c r="E351" s="45">
        <v>443.2</v>
      </c>
    </row>
    <row r="352" spans="2:5">
      <c r="B352" s="43" t="s">
        <v>106</v>
      </c>
      <c r="C352" s="43" t="s">
        <v>107</v>
      </c>
      <c r="D352" s="44">
        <v>45678</v>
      </c>
      <c r="E352" s="45">
        <v>7.7</v>
      </c>
    </row>
    <row r="353" spans="2:5">
      <c r="B353" s="43" t="s">
        <v>96</v>
      </c>
      <c r="C353" s="43" t="s">
        <v>97</v>
      </c>
      <c r="D353" s="44">
        <v>45678</v>
      </c>
      <c r="E353" s="45">
        <v>17</v>
      </c>
    </row>
    <row r="354" spans="2:5">
      <c r="B354" s="43" t="s">
        <v>98</v>
      </c>
      <c r="C354" s="43" t="s">
        <v>99</v>
      </c>
      <c r="D354" s="44">
        <v>45678</v>
      </c>
      <c r="E354" s="45">
        <v>4</v>
      </c>
    </row>
    <row r="355" spans="2:5">
      <c r="B355" s="43" t="s">
        <v>160</v>
      </c>
      <c r="C355" s="43" t="s">
        <v>161</v>
      </c>
      <c r="D355" s="44">
        <v>45678</v>
      </c>
      <c r="E355" s="45">
        <v>4</v>
      </c>
    </row>
    <row r="356" spans="2:5">
      <c r="B356" s="43" t="s">
        <v>34</v>
      </c>
      <c r="C356" s="43" t="s">
        <v>35</v>
      </c>
      <c r="D356" s="44">
        <v>45678</v>
      </c>
      <c r="E356" s="45">
        <v>6</v>
      </c>
    </row>
    <row r="357" spans="2:5">
      <c r="B357" s="43" t="s">
        <v>36</v>
      </c>
      <c r="C357" s="43" t="s">
        <v>37</v>
      </c>
      <c r="D357" s="44">
        <v>45678</v>
      </c>
      <c r="E357" s="45">
        <v>8</v>
      </c>
    </row>
    <row r="358" spans="2:5">
      <c r="B358" s="43" t="s">
        <v>38</v>
      </c>
      <c r="C358" s="43" t="s">
        <v>39</v>
      </c>
      <c r="D358" s="44">
        <v>45678</v>
      </c>
      <c r="E358" s="45">
        <v>32</v>
      </c>
    </row>
    <row r="359" spans="2:5">
      <c r="B359" s="43" t="s">
        <v>8</v>
      </c>
      <c r="C359" s="43" t="s">
        <v>9</v>
      </c>
      <c r="D359" s="44">
        <v>45679</v>
      </c>
      <c r="E359" s="45">
        <v>17.4</v>
      </c>
    </row>
    <row r="360" spans="2:5">
      <c r="B360" s="43" t="s">
        <v>44</v>
      </c>
      <c r="C360" s="43" t="s">
        <v>45</v>
      </c>
      <c r="D360" s="44">
        <v>45679</v>
      </c>
      <c r="E360" s="45">
        <v>8.5</v>
      </c>
    </row>
    <row r="361" spans="2:5">
      <c r="B361" s="43" t="s">
        <v>46</v>
      </c>
      <c r="C361" s="43" t="s">
        <v>47</v>
      </c>
      <c r="D361" s="44">
        <v>45679</v>
      </c>
      <c r="E361" s="45">
        <v>350.3</v>
      </c>
    </row>
    <row r="362" spans="2:5">
      <c r="B362" s="43" t="s">
        <v>12</v>
      </c>
      <c r="C362" s="43" t="s">
        <v>13</v>
      </c>
      <c r="D362" s="44">
        <v>45679</v>
      </c>
      <c r="E362" s="45">
        <v>524.4</v>
      </c>
    </row>
    <row r="363" spans="2:5">
      <c r="B363" s="43" t="s">
        <v>50</v>
      </c>
      <c r="C363" s="43" t="s">
        <v>51</v>
      </c>
      <c r="D363" s="44">
        <v>45679</v>
      </c>
      <c r="E363" s="45">
        <v>571.2</v>
      </c>
    </row>
    <row r="364" spans="2:5">
      <c r="B364" s="43" t="s">
        <v>116</v>
      </c>
      <c r="C364" s="43" t="s">
        <v>117</v>
      </c>
      <c r="D364" s="44">
        <v>45679</v>
      </c>
      <c r="E364" s="45">
        <v>163</v>
      </c>
    </row>
    <row r="365" spans="2:5">
      <c r="B365" s="43" t="s">
        <v>56</v>
      </c>
      <c r="C365" s="43" t="s">
        <v>57</v>
      </c>
      <c r="D365" s="44">
        <v>45679</v>
      </c>
      <c r="E365" s="45">
        <v>651.6</v>
      </c>
    </row>
    <row r="366" spans="2:5">
      <c r="B366" s="43" t="s">
        <v>76</v>
      </c>
      <c r="C366" s="43" t="s">
        <v>77</v>
      </c>
      <c r="D366" s="44">
        <v>45679</v>
      </c>
      <c r="E366" s="45">
        <v>176.5</v>
      </c>
    </row>
    <row r="367" spans="2:5">
      <c r="B367" s="43" t="s">
        <v>152</v>
      </c>
      <c r="C367" s="43" t="s">
        <v>153</v>
      </c>
      <c r="D367" s="44">
        <v>45679</v>
      </c>
      <c r="E367" s="45">
        <v>139.5</v>
      </c>
    </row>
    <row r="368" spans="2:5">
      <c r="B368" s="43" t="s">
        <v>158</v>
      </c>
      <c r="C368" s="43" t="s">
        <v>159</v>
      </c>
      <c r="D368" s="44">
        <v>45679</v>
      </c>
      <c r="E368" s="45">
        <v>714</v>
      </c>
    </row>
    <row r="369" spans="2:5">
      <c r="B369" s="43" t="s">
        <v>130</v>
      </c>
      <c r="C369" s="43" t="s">
        <v>131</v>
      </c>
      <c r="D369" s="44">
        <v>45679</v>
      </c>
      <c r="E369" s="45">
        <v>1240.8</v>
      </c>
    </row>
    <row r="370" spans="2:5">
      <c r="B370" s="43" t="s">
        <v>20</v>
      </c>
      <c r="C370" s="43" t="s">
        <v>21</v>
      </c>
      <c r="D370" s="44">
        <v>45679</v>
      </c>
      <c r="E370" s="45">
        <v>58.8</v>
      </c>
    </row>
    <row r="371" spans="2:5">
      <c r="B371" s="43" t="s">
        <v>22</v>
      </c>
      <c r="C371" s="43" t="s">
        <v>23</v>
      </c>
      <c r="D371" s="44">
        <v>45679</v>
      </c>
      <c r="E371" s="45">
        <v>67.2</v>
      </c>
    </row>
    <row r="372" spans="2:5">
      <c r="B372" s="43" t="s">
        <v>24</v>
      </c>
      <c r="C372" s="43" t="s">
        <v>25</v>
      </c>
      <c r="D372" s="44">
        <v>45679</v>
      </c>
      <c r="E372" s="45">
        <v>2734.8</v>
      </c>
    </row>
    <row r="373" spans="2:5">
      <c r="B373" s="43" t="s">
        <v>26</v>
      </c>
      <c r="C373" s="43" t="s">
        <v>27</v>
      </c>
      <c r="D373" s="44">
        <v>45679</v>
      </c>
      <c r="E373" s="45">
        <v>870.8</v>
      </c>
    </row>
    <row r="374" spans="2:5">
      <c r="B374" s="43" t="s">
        <v>60</v>
      </c>
      <c r="C374" s="43" t="s">
        <v>61</v>
      </c>
      <c r="D374" s="44">
        <v>45679</v>
      </c>
      <c r="E374" s="45">
        <v>73.2</v>
      </c>
    </row>
    <row r="375" spans="2:5">
      <c r="B375" s="43" t="s">
        <v>62</v>
      </c>
      <c r="C375" s="43" t="s">
        <v>63</v>
      </c>
      <c r="D375" s="44">
        <v>45679</v>
      </c>
      <c r="E375" s="45">
        <v>143.5</v>
      </c>
    </row>
    <row r="376" spans="2:5">
      <c r="B376" s="43" t="s">
        <v>64</v>
      </c>
      <c r="C376" s="43" t="s">
        <v>65</v>
      </c>
      <c r="D376" s="44">
        <v>45679</v>
      </c>
      <c r="E376" s="45">
        <v>100</v>
      </c>
    </row>
    <row r="377" spans="2:5">
      <c r="B377" s="43" t="s">
        <v>66</v>
      </c>
      <c r="C377" s="43" t="s">
        <v>67</v>
      </c>
      <c r="D377" s="44">
        <v>45679</v>
      </c>
      <c r="E377" s="45">
        <v>27.7</v>
      </c>
    </row>
    <row r="378" spans="2:5">
      <c r="B378" s="43" t="s">
        <v>92</v>
      </c>
      <c r="C378" s="43" t="s">
        <v>93</v>
      </c>
      <c r="D378" s="44">
        <v>45679</v>
      </c>
      <c r="E378" s="45">
        <v>216.6</v>
      </c>
    </row>
    <row r="379" spans="2:5">
      <c r="B379" s="43" t="s">
        <v>68</v>
      </c>
      <c r="C379" s="43" t="s">
        <v>69</v>
      </c>
      <c r="D379" s="44">
        <v>45679</v>
      </c>
      <c r="E379" s="45">
        <v>502.6</v>
      </c>
    </row>
    <row r="380" spans="2:5">
      <c r="B380" s="43" t="s">
        <v>124</v>
      </c>
      <c r="C380" s="43" t="s">
        <v>125</v>
      </c>
      <c r="D380" s="44">
        <v>45679</v>
      </c>
      <c r="E380" s="45">
        <v>80.6</v>
      </c>
    </row>
    <row r="381" spans="2:5">
      <c r="B381" s="43" t="s">
        <v>30</v>
      </c>
      <c r="C381" s="43" t="s">
        <v>31</v>
      </c>
      <c r="D381" s="44">
        <v>45679</v>
      </c>
      <c r="E381" s="45">
        <v>30</v>
      </c>
    </row>
    <row r="382" spans="2:5">
      <c r="B382" s="43" t="s">
        <v>96</v>
      </c>
      <c r="C382" s="43" t="s">
        <v>97</v>
      </c>
      <c r="D382" s="44">
        <v>45679</v>
      </c>
      <c r="E382" s="45">
        <v>65</v>
      </c>
    </row>
    <row r="383" spans="2:5">
      <c r="B383" s="43" t="s">
        <v>32</v>
      </c>
      <c r="C383" s="43" t="s">
        <v>33</v>
      </c>
      <c r="D383" s="44">
        <v>45679</v>
      </c>
      <c r="E383" s="45">
        <v>3</v>
      </c>
    </row>
    <row r="384" spans="2:5">
      <c r="B384" s="43" t="s">
        <v>98</v>
      </c>
      <c r="C384" s="43" t="s">
        <v>99</v>
      </c>
      <c r="D384" s="44">
        <v>45679</v>
      </c>
      <c r="E384" s="45">
        <v>8</v>
      </c>
    </row>
    <row r="385" spans="2:5">
      <c r="B385" s="43" t="s">
        <v>34</v>
      </c>
      <c r="C385" s="43" t="s">
        <v>35</v>
      </c>
      <c r="D385" s="44">
        <v>45679</v>
      </c>
      <c r="E385" s="45">
        <v>10</v>
      </c>
    </row>
    <row r="386" spans="2:5">
      <c r="B386" s="43" t="s">
        <v>38</v>
      </c>
      <c r="C386" s="43" t="s">
        <v>39</v>
      </c>
      <c r="D386" s="44">
        <v>45679</v>
      </c>
      <c r="E386" s="45">
        <v>50</v>
      </c>
    </row>
    <row r="387" spans="2:5">
      <c r="B387" s="43" t="s">
        <v>156</v>
      </c>
      <c r="C387" s="43" t="s">
        <v>157</v>
      </c>
      <c r="D387" s="44">
        <v>45680</v>
      </c>
      <c r="E387" s="45">
        <v>15.6</v>
      </c>
    </row>
    <row r="388" spans="2:5">
      <c r="B388" s="43" t="s">
        <v>8</v>
      </c>
      <c r="C388" s="43" t="s">
        <v>9</v>
      </c>
      <c r="D388" s="44">
        <v>45680</v>
      </c>
      <c r="E388" s="45">
        <v>26.1</v>
      </c>
    </row>
    <row r="389" spans="2:5">
      <c r="B389" s="43" t="s">
        <v>44</v>
      </c>
      <c r="C389" s="43" t="s">
        <v>45</v>
      </c>
      <c r="D389" s="44">
        <v>45680</v>
      </c>
      <c r="E389" s="45">
        <v>17</v>
      </c>
    </row>
    <row r="390" spans="2:5">
      <c r="B390" s="43" t="s">
        <v>46</v>
      </c>
      <c r="C390" s="43" t="s">
        <v>47</v>
      </c>
      <c r="D390" s="44">
        <v>45680</v>
      </c>
      <c r="E390" s="45">
        <v>79.1</v>
      </c>
    </row>
    <row r="391" spans="2:5">
      <c r="B391" s="43" t="s">
        <v>12</v>
      </c>
      <c r="C391" s="43" t="s">
        <v>13</v>
      </c>
      <c r="D391" s="44">
        <v>45680</v>
      </c>
      <c r="E391" s="45">
        <v>220.8</v>
      </c>
    </row>
    <row r="392" spans="2:5">
      <c r="B392" s="43" t="s">
        <v>108</v>
      </c>
      <c r="C392" s="43" t="s">
        <v>109</v>
      </c>
      <c r="D392" s="44">
        <v>45680</v>
      </c>
      <c r="E392" s="45">
        <v>620</v>
      </c>
    </row>
    <row r="393" spans="2:5">
      <c r="B393" s="43" t="s">
        <v>50</v>
      </c>
      <c r="C393" s="43" t="s">
        <v>51</v>
      </c>
      <c r="D393" s="44">
        <v>45680</v>
      </c>
      <c r="E393" s="45">
        <v>136</v>
      </c>
    </row>
    <row r="394" spans="2:5">
      <c r="B394" s="43" t="s">
        <v>56</v>
      </c>
      <c r="C394" s="43" t="s">
        <v>57</v>
      </c>
      <c r="D394" s="44">
        <v>45680</v>
      </c>
      <c r="E394" s="45">
        <v>72.4</v>
      </c>
    </row>
    <row r="395" spans="2:5">
      <c r="B395" s="43" t="s">
        <v>162</v>
      </c>
      <c r="C395" s="43" t="s">
        <v>163</v>
      </c>
      <c r="D395" s="44">
        <v>45680</v>
      </c>
      <c r="E395" s="45">
        <v>80.8</v>
      </c>
    </row>
    <row r="396" spans="2:5">
      <c r="B396" s="43" t="s">
        <v>16</v>
      </c>
      <c r="C396" s="43" t="s">
        <v>17</v>
      </c>
      <c r="D396" s="44">
        <v>45680</v>
      </c>
      <c r="E396" s="45">
        <v>159.6</v>
      </c>
    </row>
    <row r="397" spans="2:5">
      <c r="B397" s="43" t="s">
        <v>18</v>
      </c>
      <c r="C397" s="43" t="s">
        <v>19</v>
      </c>
      <c r="D397" s="44">
        <v>45680</v>
      </c>
      <c r="E397" s="45">
        <v>133.5</v>
      </c>
    </row>
    <row r="398" spans="2:5">
      <c r="B398" s="43" t="s">
        <v>146</v>
      </c>
      <c r="C398" s="43" t="s">
        <v>147</v>
      </c>
      <c r="D398" s="44">
        <v>45680</v>
      </c>
      <c r="E398" s="45">
        <v>81.4</v>
      </c>
    </row>
    <row r="399" spans="2:5">
      <c r="B399" s="43" t="s">
        <v>140</v>
      </c>
      <c r="C399" s="43" t="s">
        <v>141</v>
      </c>
      <c r="D399" s="44">
        <v>45680</v>
      </c>
      <c r="E399" s="45">
        <v>208.8</v>
      </c>
    </row>
    <row r="400" spans="2:5">
      <c r="B400" s="43" t="s">
        <v>24</v>
      </c>
      <c r="C400" s="43" t="s">
        <v>25</v>
      </c>
      <c r="D400" s="44">
        <v>45680</v>
      </c>
      <c r="E400" s="45">
        <v>1558.2</v>
      </c>
    </row>
    <row r="401" spans="2:5">
      <c r="B401" s="43" t="s">
        <v>26</v>
      </c>
      <c r="C401" s="43" t="s">
        <v>27</v>
      </c>
      <c r="D401" s="44">
        <v>45680</v>
      </c>
      <c r="E401" s="45">
        <v>93.3</v>
      </c>
    </row>
    <row r="402" spans="2:5">
      <c r="B402" s="43" t="s">
        <v>60</v>
      </c>
      <c r="C402" s="43" t="s">
        <v>61</v>
      </c>
      <c r="D402" s="44">
        <v>45680</v>
      </c>
      <c r="E402" s="45">
        <v>2196</v>
      </c>
    </row>
    <row r="403" spans="2:5">
      <c r="B403" s="43" t="s">
        <v>28</v>
      </c>
      <c r="C403" s="43" t="s">
        <v>29</v>
      </c>
      <c r="D403" s="44">
        <v>45680</v>
      </c>
      <c r="E403" s="45">
        <v>554.9</v>
      </c>
    </row>
    <row r="404" spans="2:5">
      <c r="B404" s="43" t="s">
        <v>62</v>
      </c>
      <c r="C404" s="43" t="s">
        <v>63</v>
      </c>
      <c r="D404" s="44">
        <v>45680</v>
      </c>
      <c r="E404" s="45">
        <v>123</v>
      </c>
    </row>
    <row r="405" spans="2:5">
      <c r="B405" s="43" t="s">
        <v>148</v>
      </c>
      <c r="C405" s="43" t="s">
        <v>149</v>
      </c>
      <c r="D405" s="44">
        <v>45680</v>
      </c>
      <c r="E405" s="45">
        <v>366.4</v>
      </c>
    </row>
    <row r="406" spans="2:5">
      <c r="B406" s="43" t="s">
        <v>64</v>
      </c>
      <c r="C406" s="43" t="s">
        <v>65</v>
      </c>
      <c r="D406" s="44">
        <v>45680</v>
      </c>
      <c r="E406" s="45">
        <v>920</v>
      </c>
    </row>
    <row r="407" spans="2:5">
      <c r="B407" s="43" t="s">
        <v>164</v>
      </c>
      <c r="C407" s="43" t="s">
        <v>165</v>
      </c>
      <c r="D407" s="44">
        <v>45680</v>
      </c>
      <c r="E407" s="45">
        <v>169.5</v>
      </c>
    </row>
    <row r="408" spans="2:5">
      <c r="B408" s="43" t="s">
        <v>96</v>
      </c>
      <c r="C408" s="43" t="s">
        <v>97</v>
      </c>
      <c r="D408" s="44">
        <v>45680</v>
      </c>
      <c r="E408" s="45">
        <v>38</v>
      </c>
    </row>
    <row r="409" spans="2:5">
      <c r="B409" s="43" t="s">
        <v>32</v>
      </c>
      <c r="C409" s="43" t="s">
        <v>33</v>
      </c>
      <c r="D409" s="44">
        <v>45680</v>
      </c>
      <c r="E409" s="45">
        <v>4</v>
      </c>
    </row>
    <row r="410" spans="2:5">
      <c r="B410" s="43" t="s">
        <v>38</v>
      </c>
      <c r="C410" s="43" t="s">
        <v>39</v>
      </c>
      <c r="D410" s="44">
        <v>45680</v>
      </c>
      <c r="E410" s="45">
        <v>53</v>
      </c>
    </row>
    <row r="411" spans="2:5">
      <c r="B411" s="43" t="s">
        <v>40</v>
      </c>
      <c r="C411" s="43" t="s">
        <v>41</v>
      </c>
      <c r="D411" s="44">
        <v>45681</v>
      </c>
      <c r="E411" s="45">
        <v>1</v>
      </c>
    </row>
    <row r="412" spans="2:5">
      <c r="B412" s="43" t="s">
        <v>8</v>
      </c>
      <c r="C412" s="43" t="s">
        <v>9</v>
      </c>
      <c r="D412" s="44">
        <v>45681</v>
      </c>
      <c r="E412" s="45">
        <v>26.1</v>
      </c>
    </row>
    <row r="413" spans="2:5">
      <c r="B413" s="43" t="s">
        <v>72</v>
      </c>
      <c r="C413" s="43" t="s">
        <v>73</v>
      </c>
      <c r="D413" s="44">
        <v>45681</v>
      </c>
      <c r="E413" s="45">
        <v>102</v>
      </c>
    </row>
    <row r="414" spans="2:5">
      <c r="B414" s="43" t="s">
        <v>46</v>
      </c>
      <c r="C414" s="43" t="s">
        <v>47</v>
      </c>
      <c r="D414" s="44">
        <v>45681</v>
      </c>
      <c r="E414" s="45">
        <v>339</v>
      </c>
    </row>
    <row r="415" spans="2:5">
      <c r="B415" s="43" t="s">
        <v>12</v>
      </c>
      <c r="C415" s="43" t="s">
        <v>13</v>
      </c>
      <c r="D415" s="44">
        <v>45681</v>
      </c>
      <c r="E415" s="45">
        <v>814.2</v>
      </c>
    </row>
    <row r="416" spans="2:5">
      <c r="B416" s="43" t="s">
        <v>134</v>
      </c>
      <c r="C416" s="43" t="s">
        <v>135</v>
      </c>
      <c r="D416" s="44">
        <v>45681</v>
      </c>
      <c r="E416" s="45">
        <v>73.5</v>
      </c>
    </row>
    <row r="417" spans="2:5">
      <c r="B417" s="43" t="s">
        <v>50</v>
      </c>
      <c r="C417" s="43" t="s">
        <v>51</v>
      </c>
      <c r="D417" s="44">
        <v>45681</v>
      </c>
      <c r="E417" s="45">
        <v>81.6</v>
      </c>
    </row>
    <row r="418" spans="2:5">
      <c r="B418" s="43" t="s">
        <v>114</v>
      </c>
      <c r="C418" s="43" t="s">
        <v>115</v>
      </c>
      <c r="D418" s="44">
        <v>45681</v>
      </c>
      <c r="E418" s="45">
        <v>186.2</v>
      </c>
    </row>
    <row r="419" spans="2:5">
      <c r="B419" s="43" t="s">
        <v>56</v>
      </c>
      <c r="C419" s="43" t="s">
        <v>57</v>
      </c>
      <c r="D419" s="44">
        <v>45681</v>
      </c>
      <c r="E419" s="45">
        <v>289.6</v>
      </c>
    </row>
    <row r="420" spans="2:5">
      <c r="B420" s="43" t="s">
        <v>126</v>
      </c>
      <c r="C420" s="43" t="s">
        <v>127</v>
      </c>
      <c r="D420" s="44">
        <v>45681</v>
      </c>
      <c r="E420" s="45">
        <v>94.4</v>
      </c>
    </row>
    <row r="421" spans="2:5">
      <c r="B421" s="43" t="s">
        <v>76</v>
      </c>
      <c r="C421" s="43" t="s">
        <v>77</v>
      </c>
      <c r="D421" s="44">
        <v>45681</v>
      </c>
      <c r="E421" s="45">
        <v>105.9</v>
      </c>
    </row>
    <row r="422" spans="2:5">
      <c r="B422" s="43" t="s">
        <v>20</v>
      </c>
      <c r="C422" s="43" t="s">
        <v>21</v>
      </c>
      <c r="D422" s="44">
        <v>45681</v>
      </c>
      <c r="E422" s="45">
        <v>254.8</v>
      </c>
    </row>
    <row r="423" spans="2:5">
      <c r="B423" s="43" t="s">
        <v>22</v>
      </c>
      <c r="C423" s="43" t="s">
        <v>23</v>
      </c>
      <c r="D423" s="44">
        <v>45681</v>
      </c>
      <c r="E423" s="45">
        <v>633.6</v>
      </c>
    </row>
    <row r="424" spans="2:5">
      <c r="B424" s="43" t="s">
        <v>80</v>
      </c>
      <c r="C424" s="43" t="s">
        <v>81</v>
      </c>
      <c r="D424" s="44">
        <v>45681</v>
      </c>
      <c r="E424" s="45">
        <v>43.05</v>
      </c>
    </row>
    <row r="425" spans="2:5">
      <c r="B425" s="43" t="s">
        <v>24</v>
      </c>
      <c r="C425" s="43" t="s">
        <v>25</v>
      </c>
      <c r="D425" s="44">
        <v>45681</v>
      </c>
      <c r="E425" s="45">
        <v>3545.7</v>
      </c>
    </row>
    <row r="426" spans="2:5">
      <c r="B426" s="43" t="s">
        <v>26</v>
      </c>
      <c r="C426" s="43" t="s">
        <v>27</v>
      </c>
      <c r="D426" s="44">
        <v>45681</v>
      </c>
      <c r="E426" s="45">
        <v>2145.9</v>
      </c>
    </row>
    <row r="427" spans="2:5">
      <c r="B427" s="43" t="s">
        <v>60</v>
      </c>
      <c r="C427" s="43" t="s">
        <v>61</v>
      </c>
      <c r="D427" s="44">
        <v>45681</v>
      </c>
      <c r="E427" s="45">
        <v>128.1</v>
      </c>
    </row>
    <row r="428" spans="2:5">
      <c r="B428" s="43" t="s">
        <v>62</v>
      </c>
      <c r="C428" s="43" t="s">
        <v>63</v>
      </c>
      <c r="D428" s="44">
        <v>45681</v>
      </c>
      <c r="E428" s="45">
        <v>984</v>
      </c>
    </row>
    <row r="429" spans="2:5">
      <c r="B429" s="43" t="s">
        <v>148</v>
      </c>
      <c r="C429" s="43" t="s">
        <v>149</v>
      </c>
      <c r="D429" s="44">
        <v>45681</v>
      </c>
      <c r="E429" s="45">
        <v>389.3</v>
      </c>
    </row>
    <row r="430" spans="2:5">
      <c r="B430" s="43" t="s">
        <v>64</v>
      </c>
      <c r="C430" s="43" t="s">
        <v>65</v>
      </c>
      <c r="D430" s="44">
        <v>45681</v>
      </c>
      <c r="E430" s="45">
        <v>2840</v>
      </c>
    </row>
    <row r="431" spans="2:5">
      <c r="B431" s="43" t="s">
        <v>66</v>
      </c>
      <c r="C431" s="43" t="s">
        <v>67</v>
      </c>
      <c r="D431" s="44">
        <v>45681</v>
      </c>
      <c r="E431" s="45">
        <v>249.3</v>
      </c>
    </row>
    <row r="432" spans="2:5">
      <c r="B432" s="43" t="s">
        <v>132</v>
      </c>
      <c r="C432" s="43" t="s">
        <v>133</v>
      </c>
      <c r="D432" s="44">
        <v>45681</v>
      </c>
      <c r="E432" s="45">
        <v>123.6</v>
      </c>
    </row>
    <row r="433" spans="2:5">
      <c r="B433" s="43" t="s">
        <v>68</v>
      </c>
      <c r="C433" s="43" t="s">
        <v>69</v>
      </c>
      <c r="D433" s="44">
        <v>45681</v>
      </c>
      <c r="E433" s="45">
        <v>107.7</v>
      </c>
    </row>
    <row r="434" spans="2:5">
      <c r="B434" s="43" t="s">
        <v>96</v>
      </c>
      <c r="C434" s="43" t="s">
        <v>97</v>
      </c>
      <c r="D434" s="44">
        <v>45681</v>
      </c>
      <c r="E434" s="45">
        <v>22</v>
      </c>
    </row>
    <row r="435" spans="2:5">
      <c r="B435" s="43" t="s">
        <v>34</v>
      </c>
      <c r="C435" s="43" t="s">
        <v>35</v>
      </c>
      <c r="D435" s="44">
        <v>45681</v>
      </c>
      <c r="E435" s="45">
        <v>21</v>
      </c>
    </row>
    <row r="436" spans="2:5">
      <c r="B436" s="43" t="s">
        <v>4</v>
      </c>
      <c r="C436" s="43" t="s">
        <v>5</v>
      </c>
      <c r="D436" s="44">
        <v>45684</v>
      </c>
      <c r="E436" s="45">
        <v>67</v>
      </c>
    </row>
    <row r="437" spans="2:5">
      <c r="B437" s="43" t="s">
        <v>8</v>
      </c>
      <c r="C437" s="43" t="s">
        <v>9</v>
      </c>
      <c r="D437" s="44">
        <v>45684</v>
      </c>
      <c r="E437" s="45">
        <v>374.1</v>
      </c>
    </row>
    <row r="438" spans="2:5">
      <c r="B438" s="43" t="s">
        <v>44</v>
      </c>
      <c r="C438" s="43" t="s">
        <v>45</v>
      </c>
      <c r="D438" s="44">
        <v>45684</v>
      </c>
      <c r="E438" s="45">
        <v>59.5</v>
      </c>
    </row>
    <row r="439" spans="2:5">
      <c r="B439" s="43" t="s">
        <v>72</v>
      </c>
      <c r="C439" s="43" t="s">
        <v>73</v>
      </c>
      <c r="D439" s="44">
        <v>45684</v>
      </c>
      <c r="E439" s="45">
        <v>122.4</v>
      </c>
    </row>
    <row r="440" spans="2:5">
      <c r="B440" s="43" t="s">
        <v>46</v>
      </c>
      <c r="C440" s="43" t="s">
        <v>47</v>
      </c>
      <c r="D440" s="44">
        <v>45684</v>
      </c>
      <c r="E440" s="45">
        <v>2406.9</v>
      </c>
    </row>
    <row r="441" spans="2:5">
      <c r="B441" s="43" t="s">
        <v>10</v>
      </c>
      <c r="C441" s="43" t="s">
        <v>11</v>
      </c>
      <c r="D441" s="44">
        <v>45684</v>
      </c>
      <c r="E441" s="45">
        <v>11.05</v>
      </c>
    </row>
    <row r="442" spans="2:5">
      <c r="B442" s="43" t="s">
        <v>74</v>
      </c>
      <c r="C442" s="43" t="s">
        <v>75</v>
      </c>
      <c r="D442" s="44">
        <v>45684</v>
      </c>
      <c r="E442" s="45">
        <v>149.4</v>
      </c>
    </row>
    <row r="443" spans="2:5">
      <c r="B443" s="43" t="s">
        <v>12</v>
      </c>
      <c r="C443" s="43" t="s">
        <v>13</v>
      </c>
      <c r="D443" s="44">
        <v>45684</v>
      </c>
      <c r="E443" s="45">
        <v>3670.8</v>
      </c>
    </row>
    <row r="444" spans="2:5">
      <c r="B444" s="43" t="s">
        <v>14</v>
      </c>
      <c r="C444" s="43" t="s">
        <v>15</v>
      </c>
      <c r="D444" s="44">
        <v>45684</v>
      </c>
      <c r="E444" s="45">
        <v>13.5</v>
      </c>
    </row>
    <row r="445" spans="2:5">
      <c r="B445" s="43" t="s">
        <v>50</v>
      </c>
      <c r="C445" s="43" t="s">
        <v>51</v>
      </c>
      <c r="D445" s="44">
        <v>45684</v>
      </c>
      <c r="E445" s="45">
        <v>435.2</v>
      </c>
    </row>
    <row r="446" spans="2:5">
      <c r="B446" s="43" t="s">
        <v>114</v>
      </c>
      <c r="C446" s="43" t="s">
        <v>115</v>
      </c>
      <c r="D446" s="44">
        <v>45684</v>
      </c>
      <c r="E446" s="45">
        <v>53.2</v>
      </c>
    </row>
    <row r="447" spans="2:5">
      <c r="B447" s="43" t="s">
        <v>144</v>
      </c>
      <c r="C447" s="43" t="s">
        <v>145</v>
      </c>
      <c r="D447" s="44">
        <v>45684</v>
      </c>
      <c r="E447" s="45">
        <v>453.6</v>
      </c>
    </row>
    <row r="448" spans="2:5">
      <c r="B448" s="43" t="s">
        <v>138</v>
      </c>
      <c r="C448" s="43" t="s">
        <v>139</v>
      </c>
      <c r="D448" s="44">
        <v>45684</v>
      </c>
      <c r="E448" s="45">
        <v>63.4</v>
      </c>
    </row>
    <row r="449" spans="2:5">
      <c r="B449" s="43" t="s">
        <v>56</v>
      </c>
      <c r="C449" s="43" t="s">
        <v>57</v>
      </c>
      <c r="D449" s="44">
        <v>45684</v>
      </c>
      <c r="E449" s="45">
        <v>162.9</v>
      </c>
    </row>
    <row r="450" spans="2:5">
      <c r="B450" s="43" t="s">
        <v>78</v>
      </c>
      <c r="C450" s="43" t="s">
        <v>79</v>
      </c>
      <c r="D450" s="44">
        <v>45684</v>
      </c>
      <c r="E450" s="45">
        <v>88.5</v>
      </c>
    </row>
    <row r="451" spans="2:5">
      <c r="B451" s="43" t="s">
        <v>20</v>
      </c>
      <c r="C451" s="43" t="s">
        <v>21</v>
      </c>
      <c r="D451" s="44">
        <v>45684</v>
      </c>
      <c r="E451" s="45">
        <v>29.4</v>
      </c>
    </row>
    <row r="452" spans="2:5">
      <c r="B452" s="43" t="s">
        <v>22</v>
      </c>
      <c r="C452" s="43" t="s">
        <v>23</v>
      </c>
      <c r="D452" s="44">
        <v>45684</v>
      </c>
      <c r="E452" s="45">
        <v>211.2</v>
      </c>
    </row>
    <row r="453" spans="2:5">
      <c r="B453" s="43" t="s">
        <v>80</v>
      </c>
      <c r="C453" s="43" t="s">
        <v>81</v>
      </c>
      <c r="D453" s="44">
        <v>45684</v>
      </c>
      <c r="E453" s="45">
        <v>344.4</v>
      </c>
    </row>
    <row r="454" spans="2:5">
      <c r="B454" s="43" t="s">
        <v>24</v>
      </c>
      <c r="C454" s="43" t="s">
        <v>25</v>
      </c>
      <c r="D454" s="44">
        <v>45684</v>
      </c>
      <c r="E454" s="45">
        <v>7282.2</v>
      </c>
    </row>
    <row r="455" spans="2:5">
      <c r="B455" s="43" t="s">
        <v>26</v>
      </c>
      <c r="C455" s="43" t="s">
        <v>27</v>
      </c>
      <c r="D455" s="44">
        <v>45684</v>
      </c>
      <c r="E455" s="45">
        <v>4634.25</v>
      </c>
    </row>
    <row r="456" spans="2:5">
      <c r="B456" s="43" t="s">
        <v>28</v>
      </c>
      <c r="C456" s="43" t="s">
        <v>29</v>
      </c>
      <c r="D456" s="44">
        <v>45684</v>
      </c>
      <c r="E456" s="45">
        <v>948.7</v>
      </c>
    </row>
    <row r="457" spans="2:5">
      <c r="B457" s="43" t="s">
        <v>62</v>
      </c>
      <c r="C457" s="43" t="s">
        <v>63</v>
      </c>
      <c r="D457" s="44">
        <v>45684</v>
      </c>
      <c r="E457" s="45">
        <v>266.5</v>
      </c>
    </row>
    <row r="458" spans="2:5">
      <c r="B458" s="43" t="s">
        <v>64</v>
      </c>
      <c r="C458" s="43" t="s">
        <v>65</v>
      </c>
      <c r="D458" s="44">
        <v>45684</v>
      </c>
      <c r="E458" s="45">
        <v>40</v>
      </c>
    </row>
    <row r="459" spans="2:5">
      <c r="B459" s="43" t="s">
        <v>166</v>
      </c>
      <c r="C459" s="43" t="s">
        <v>167</v>
      </c>
      <c r="D459" s="44">
        <v>45684</v>
      </c>
      <c r="E459" s="45">
        <v>2193</v>
      </c>
    </row>
    <row r="460" spans="2:5">
      <c r="B460" s="43" t="s">
        <v>66</v>
      </c>
      <c r="C460" s="43" t="s">
        <v>67</v>
      </c>
      <c r="D460" s="44">
        <v>45684</v>
      </c>
      <c r="E460" s="45">
        <v>775.6</v>
      </c>
    </row>
    <row r="461" spans="2:5">
      <c r="B461" s="43" t="s">
        <v>70</v>
      </c>
      <c r="C461" s="43" t="s">
        <v>71</v>
      </c>
      <c r="D461" s="44">
        <v>45684</v>
      </c>
      <c r="E461" s="45">
        <v>29</v>
      </c>
    </row>
    <row r="462" spans="2:5">
      <c r="B462" s="43" t="s">
        <v>142</v>
      </c>
      <c r="C462" s="43" t="s">
        <v>143</v>
      </c>
      <c r="D462" s="44">
        <v>45684</v>
      </c>
      <c r="E462" s="45">
        <v>6</v>
      </c>
    </row>
    <row r="463" spans="2:5">
      <c r="B463" s="43" t="s">
        <v>30</v>
      </c>
      <c r="C463" s="43" t="s">
        <v>31</v>
      </c>
      <c r="D463" s="44">
        <v>45684</v>
      </c>
      <c r="E463" s="45">
        <v>40</v>
      </c>
    </row>
    <row r="464" spans="2:5">
      <c r="B464" s="43" t="s">
        <v>96</v>
      </c>
      <c r="C464" s="43" t="s">
        <v>97</v>
      </c>
      <c r="D464" s="44">
        <v>45684</v>
      </c>
      <c r="E464" s="45">
        <v>5</v>
      </c>
    </row>
    <row r="465" spans="2:5">
      <c r="B465" s="43" t="s">
        <v>32</v>
      </c>
      <c r="C465" s="43" t="s">
        <v>33</v>
      </c>
      <c r="D465" s="44">
        <v>45684</v>
      </c>
      <c r="E465" s="45">
        <v>6</v>
      </c>
    </row>
    <row r="466" spans="2:5">
      <c r="B466" s="43" t="s">
        <v>34</v>
      </c>
      <c r="C466" s="43" t="s">
        <v>35</v>
      </c>
      <c r="D466" s="44">
        <v>45684</v>
      </c>
      <c r="E466" s="45">
        <v>18</v>
      </c>
    </row>
    <row r="467" spans="2:5">
      <c r="B467" s="43" t="s">
        <v>8</v>
      </c>
      <c r="C467" s="43" t="s">
        <v>9</v>
      </c>
      <c r="D467" s="44">
        <v>45685</v>
      </c>
      <c r="E467" s="45">
        <v>60.9</v>
      </c>
    </row>
    <row r="468" spans="2:5">
      <c r="B468" s="43" t="s">
        <v>44</v>
      </c>
      <c r="C468" s="43" t="s">
        <v>45</v>
      </c>
      <c r="D468" s="44">
        <v>45685</v>
      </c>
      <c r="E468" s="45">
        <v>25.5</v>
      </c>
    </row>
    <row r="469" spans="2:5">
      <c r="B469" s="43" t="s">
        <v>46</v>
      </c>
      <c r="C469" s="43" t="s">
        <v>47</v>
      </c>
      <c r="D469" s="44">
        <v>45685</v>
      </c>
      <c r="E469" s="45">
        <v>372.9</v>
      </c>
    </row>
    <row r="470" spans="2:5">
      <c r="B470" s="43" t="s">
        <v>12</v>
      </c>
      <c r="C470" s="43" t="s">
        <v>13</v>
      </c>
      <c r="D470" s="44">
        <v>45685</v>
      </c>
      <c r="E470" s="45">
        <v>483</v>
      </c>
    </row>
    <row r="471" spans="2:5">
      <c r="B471" s="43" t="s">
        <v>108</v>
      </c>
      <c r="C471" s="43" t="s">
        <v>109</v>
      </c>
      <c r="D471" s="44">
        <v>45685</v>
      </c>
      <c r="E471" s="45">
        <v>186</v>
      </c>
    </row>
    <row r="472" spans="2:5">
      <c r="B472" s="43" t="s">
        <v>50</v>
      </c>
      <c r="C472" s="43" t="s">
        <v>51</v>
      </c>
      <c r="D472" s="44">
        <v>45685</v>
      </c>
      <c r="E472" s="45">
        <v>544</v>
      </c>
    </row>
    <row r="473" spans="2:5">
      <c r="B473" s="43" t="s">
        <v>114</v>
      </c>
      <c r="C473" s="43" t="s">
        <v>115</v>
      </c>
      <c r="D473" s="44">
        <v>45685</v>
      </c>
      <c r="E473" s="45">
        <v>13.3</v>
      </c>
    </row>
    <row r="474" spans="2:5">
      <c r="B474" s="43" t="s">
        <v>138</v>
      </c>
      <c r="C474" s="43" t="s">
        <v>139</v>
      </c>
      <c r="D474" s="44">
        <v>45685</v>
      </c>
      <c r="E474" s="45">
        <v>1172.9</v>
      </c>
    </row>
    <row r="475" spans="2:5">
      <c r="B475" s="43" t="s">
        <v>54</v>
      </c>
      <c r="C475" s="43" t="s">
        <v>55</v>
      </c>
      <c r="D475" s="44">
        <v>45685</v>
      </c>
      <c r="E475" s="45">
        <v>798</v>
      </c>
    </row>
    <row r="476" spans="2:5">
      <c r="B476" s="43" t="s">
        <v>56</v>
      </c>
      <c r="C476" s="43" t="s">
        <v>57</v>
      </c>
      <c r="D476" s="44">
        <v>45685</v>
      </c>
      <c r="E476" s="45">
        <v>108.6</v>
      </c>
    </row>
    <row r="477" spans="2:5">
      <c r="B477" s="43" t="s">
        <v>130</v>
      </c>
      <c r="C477" s="43" t="s">
        <v>131</v>
      </c>
      <c r="D477" s="44">
        <v>45685</v>
      </c>
      <c r="E477" s="45">
        <v>103.4</v>
      </c>
    </row>
    <row r="478" spans="2:5">
      <c r="B478" s="43" t="s">
        <v>20</v>
      </c>
      <c r="C478" s="43" t="s">
        <v>21</v>
      </c>
      <c r="D478" s="44">
        <v>45685</v>
      </c>
      <c r="E478" s="45">
        <v>49</v>
      </c>
    </row>
    <row r="479" spans="2:5">
      <c r="B479" s="43" t="s">
        <v>24</v>
      </c>
      <c r="C479" s="43" t="s">
        <v>25</v>
      </c>
      <c r="D479" s="44">
        <v>45685</v>
      </c>
      <c r="E479" s="45">
        <v>3100.5</v>
      </c>
    </row>
    <row r="480" spans="2:5">
      <c r="B480" s="43" t="s">
        <v>58</v>
      </c>
      <c r="C480" s="43" t="s">
        <v>59</v>
      </c>
      <c r="D480" s="44">
        <v>45685</v>
      </c>
      <c r="E480" s="45">
        <v>531</v>
      </c>
    </row>
    <row r="481" spans="2:5">
      <c r="B481" s="43" t="s">
        <v>26</v>
      </c>
      <c r="C481" s="43" t="s">
        <v>27</v>
      </c>
      <c r="D481" s="44">
        <v>45685</v>
      </c>
      <c r="E481" s="45">
        <v>77.75</v>
      </c>
    </row>
    <row r="482" spans="2:5">
      <c r="B482" s="43" t="s">
        <v>28</v>
      </c>
      <c r="C482" s="43" t="s">
        <v>29</v>
      </c>
      <c r="D482" s="44">
        <v>45685</v>
      </c>
      <c r="E482" s="45">
        <v>358</v>
      </c>
    </row>
    <row r="483" spans="2:5">
      <c r="B483" s="43" t="s">
        <v>62</v>
      </c>
      <c r="C483" s="43" t="s">
        <v>63</v>
      </c>
      <c r="D483" s="44">
        <v>45685</v>
      </c>
      <c r="E483" s="45">
        <v>1025</v>
      </c>
    </row>
    <row r="484" spans="2:5">
      <c r="B484" s="43" t="s">
        <v>64</v>
      </c>
      <c r="C484" s="43" t="s">
        <v>65</v>
      </c>
      <c r="D484" s="44">
        <v>45685</v>
      </c>
      <c r="E484" s="45">
        <v>140</v>
      </c>
    </row>
    <row r="485" spans="2:5">
      <c r="B485" s="43" t="s">
        <v>96</v>
      </c>
      <c r="C485" s="43" t="s">
        <v>97</v>
      </c>
      <c r="D485" s="44">
        <v>45685</v>
      </c>
      <c r="E485" s="45">
        <v>23</v>
      </c>
    </row>
    <row r="486" spans="2:5">
      <c r="B486" s="43" t="s">
        <v>32</v>
      </c>
      <c r="C486" s="43" t="s">
        <v>33</v>
      </c>
      <c r="D486" s="44">
        <v>45685</v>
      </c>
      <c r="E486" s="45">
        <v>3</v>
      </c>
    </row>
    <row r="487" spans="2:5">
      <c r="B487" s="43" t="s">
        <v>34</v>
      </c>
      <c r="C487" s="43" t="s">
        <v>35</v>
      </c>
      <c r="D487" s="44">
        <v>45685</v>
      </c>
      <c r="E487" s="45">
        <v>7</v>
      </c>
    </row>
    <row r="488" spans="2:5">
      <c r="B488" s="43" t="s">
        <v>38</v>
      </c>
      <c r="C488" s="43" t="s">
        <v>39</v>
      </c>
      <c r="D488" s="44">
        <v>45685</v>
      </c>
      <c r="E488" s="45">
        <v>1</v>
      </c>
    </row>
    <row r="489" spans="2:5">
      <c r="B489" s="43" t="s">
        <v>4</v>
      </c>
      <c r="C489" s="43" t="s">
        <v>5</v>
      </c>
      <c r="D489" s="44">
        <v>45686</v>
      </c>
      <c r="E489" s="45">
        <v>227.8</v>
      </c>
    </row>
    <row r="490" spans="2:5">
      <c r="B490" s="43" t="s">
        <v>156</v>
      </c>
      <c r="C490" s="43" t="s">
        <v>157</v>
      </c>
      <c r="D490" s="44">
        <v>45686</v>
      </c>
      <c r="E490" s="45">
        <v>62.4</v>
      </c>
    </row>
    <row r="491" spans="2:5">
      <c r="B491" s="43" t="s">
        <v>8</v>
      </c>
      <c r="C491" s="43" t="s">
        <v>9</v>
      </c>
      <c r="D491" s="44">
        <v>45686</v>
      </c>
      <c r="E491" s="45">
        <v>556.8</v>
      </c>
    </row>
    <row r="492" spans="2:5">
      <c r="B492" s="43" t="s">
        <v>46</v>
      </c>
      <c r="C492" s="43" t="s">
        <v>47</v>
      </c>
      <c r="D492" s="44">
        <v>45686</v>
      </c>
      <c r="E492" s="45">
        <v>994.4</v>
      </c>
    </row>
    <row r="493" spans="2:5">
      <c r="B493" s="43" t="s">
        <v>10</v>
      </c>
      <c r="C493" s="43" t="s">
        <v>11</v>
      </c>
      <c r="D493" s="44">
        <v>45686</v>
      </c>
      <c r="E493" s="45">
        <v>320.45</v>
      </c>
    </row>
    <row r="494" spans="2:5">
      <c r="B494" s="43" t="s">
        <v>74</v>
      </c>
      <c r="C494" s="43" t="s">
        <v>75</v>
      </c>
      <c r="D494" s="44">
        <v>45686</v>
      </c>
      <c r="E494" s="45">
        <v>124.5</v>
      </c>
    </row>
    <row r="495" spans="2:5">
      <c r="B495" s="43" t="s">
        <v>12</v>
      </c>
      <c r="C495" s="43" t="s">
        <v>13</v>
      </c>
      <c r="D495" s="44">
        <v>45686</v>
      </c>
      <c r="E495" s="45">
        <v>1642.2</v>
      </c>
    </row>
    <row r="496" spans="2:5">
      <c r="B496" s="43" t="s">
        <v>14</v>
      </c>
      <c r="C496" s="43" t="s">
        <v>15</v>
      </c>
      <c r="D496" s="44">
        <v>45686</v>
      </c>
      <c r="E496" s="45">
        <v>1215</v>
      </c>
    </row>
    <row r="497" spans="2:5">
      <c r="B497" s="43" t="s">
        <v>134</v>
      </c>
      <c r="C497" s="43" t="s">
        <v>135</v>
      </c>
      <c r="D497" s="44">
        <v>45686</v>
      </c>
      <c r="E497" s="45">
        <v>12.25</v>
      </c>
    </row>
    <row r="498" spans="2:5">
      <c r="B498" s="43" t="s">
        <v>50</v>
      </c>
      <c r="C498" s="43" t="s">
        <v>51</v>
      </c>
      <c r="D498" s="44">
        <v>45686</v>
      </c>
      <c r="E498" s="45">
        <v>380.8</v>
      </c>
    </row>
    <row r="499" spans="2:5">
      <c r="B499" s="43" t="s">
        <v>56</v>
      </c>
      <c r="C499" s="43" t="s">
        <v>57</v>
      </c>
      <c r="D499" s="44">
        <v>45686</v>
      </c>
      <c r="E499" s="45">
        <v>362</v>
      </c>
    </row>
    <row r="500" spans="2:5">
      <c r="B500" s="43" t="s">
        <v>168</v>
      </c>
      <c r="C500" s="43" t="s">
        <v>169</v>
      </c>
      <c r="D500" s="44">
        <v>45686</v>
      </c>
      <c r="E500" s="45">
        <v>603</v>
      </c>
    </row>
    <row r="501" spans="2:5">
      <c r="B501" s="43" t="s">
        <v>20</v>
      </c>
      <c r="C501" s="43" t="s">
        <v>21</v>
      </c>
      <c r="D501" s="44">
        <v>45686</v>
      </c>
      <c r="E501" s="45">
        <v>49</v>
      </c>
    </row>
    <row r="502" spans="2:5">
      <c r="B502" s="43" t="s">
        <v>22</v>
      </c>
      <c r="C502" s="43" t="s">
        <v>23</v>
      </c>
      <c r="D502" s="44">
        <v>45686</v>
      </c>
      <c r="E502" s="45">
        <v>9.6</v>
      </c>
    </row>
    <row r="503" spans="2:5">
      <c r="B503" s="43" t="s">
        <v>80</v>
      </c>
      <c r="C503" s="43" t="s">
        <v>81</v>
      </c>
      <c r="D503" s="44">
        <v>45686</v>
      </c>
      <c r="E503" s="45">
        <v>143.5</v>
      </c>
    </row>
    <row r="504" spans="2:5">
      <c r="B504" s="43" t="s">
        <v>24</v>
      </c>
      <c r="C504" s="43" t="s">
        <v>25</v>
      </c>
      <c r="D504" s="44">
        <v>45686</v>
      </c>
      <c r="E504" s="45">
        <v>3482.1</v>
      </c>
    </row>
    <row r="505" spans="2:5">
      <c r="B505" s="43" t="s">
        <v>62</v>
      </c>
      <c r="C505" s="43" t="s">
        <v>63</v>
      </c>
      <c r="D505" s="44">
        <v>45686</v>
      </c>
      <c r="E505" s="45">
        <v>3054.5</v>
      </c>
    </row>
    <row r="506" spans="2:5">
      <c r="B506" s="43" t="s">
        <v>148</v>
      </c>
      <c r="C506" s="43" t="s">
        <v>149</v>
      </c>
      <c r="D506" s="44">
        <v>45686</v>
      </c>
      <c r="E506" s="45">
        <v>22.9</v>
      </c>
    </row>
    <row r="507" spans="2:5">
      <c r="B507" s="43" t="s">
        <v>66</v>
      </c>
      <c r="C507" s="43" t="s">
        <v>67</v>
      </c>
      <c r="D507" s="44">
        <v>45686</v>
      </c>
      <c r="E507" s="45">
        <v>277</v>
      </c>
    </row>
    <row r="508" spans="2:5">
      <c r="B508" s="43" t="s">
        <v>124</v>
      </c>
      <c r="C508" s="43" t="s">
        <v>125</v>
      </c>
      <c r="D508" s="44">
        <v>45686</v>
      </c>
      <c r="E508" s="45">
        <v>80.6</v>
      </c>
    </row>
    <row r="509" spans="2:5">
      <c r="B509" s="43" t="s">
        <v>106</v>
      </c>
      <c r="C509" s="43" t="s">
        <v>107</v>
      </c>
      <c r="D509" s="44">
        <v>45686</v>
      </c>
      <c r="E509" s="45">
        <v>7.7</v>
      </c>
    </row>
    <row r="510" spans="2:5">
      <c r="B510" s="43" t="s">
        <v>30</v>
      </c>
      <c r="C510" s="43" t="s">
        <v>31</v>
      </c>
      <c r="D510" s="44">
        <v>45686</v>
      </c>
      <c r="E510" s="45">
        <v>7</v>
      </c>
    </row>
    <row r="511" spans="2:5">
      <c r="B511" s="43" t="s">
        <v>96</v>
      </c>
      <c r="C511" s="43" t="s">
        <v>97</v>
      </c>
      <c r="D511" s="44">
        <v>45686</v>
      </c>
      <c r="E511" s="45">
        <v>32</v>
      </c>
    </row>
    <row r="512" spans="2:5">
      <c r="B512" s="43" t="s">
        <v>32</v>
      </c>
      <c r="C512" s="43" t="s">
        <v>33</v>
      </c>
      <c r="D512" s="44">
        <v>45686</v>
      </c>
      <c r="E512" s="45">
        <v>12</v>
      </c>
    </row>
    <row r="513" spans="2:5">
      <c r="B513" s="43" t="s">
        <v>160</v>
      </c>
      <c r="C513" s="43" t="s">
        <v>161</v>
      </c>
      <c r="D513" s="44">
        <v>45686</v>
      </c>
      <c r="E513" s="45">
        <v>4</v>
      </c>
    </row>
    <row r="514" spans="2:5">
      <c r="B514" s="43" t="s">
        <v>34</v>
      </c>
      <c r="C514" s="43" t="s">
        <v>35</v>
      </c>
      <c r="D514" s="44">
        <v>45686</v>
      </c>
      <c r="E514" s="45">
        <v>18</v>
      </c>
    </row>
    <row r="515" spans="2:5">
      <c r="B515" s="43" t="s">
        <v>36</v>
      </c>
      <c r="C515" s="43" t="s">
        <v>37</v>
      </c>
      <c r="D515" s="44">
        <v>45686</v>
      </c>
      <c r="E515" s="45">
        <v>12</v>
      </c>
    </row>
    <row r="516" spans="2:5">
      <c r="B516" s="43" t="s">
        <v>38</v>
      </c>
      <c r="C516" s="43" t="s">
        <v>39</v>
      </c>
      <c r="D516" s="44">
        <v>45686</v>
      </c>
      <c r="E516" s="45">
        <v>105</v>
      </c>
    </row>
    <row r="517" spans="2:5">
      <c r="B517" s="43" t="s">
        <v>42</v>
      </c>
      <c r="C517" s="43" t="s">
        <v>43</v>
      </c>
      <c r="D517" s="44">
        <v>45687</v>
      </c>
      <c r="E517" s="45">
        <v>592.9</v>
      </c>
    </row>
    <row r="518" spans="2:5">
      <c r="B518" s="43" t="s">
        <v>4</v>
      </c>
      <c r="C518" s="43" t="s">
        <v>5</v>
      </c>
      <c r="D518" s="44">
        <v>45687</v>
      </c>
      <c r="E518" s="45">
        <v>26.8</v>
      </c>
    </row>
    <row r="519" spans="2:5">
      <c r="B519" s="43" t="s">
        <v>156</v>
      </c>
      <c r="C519" s="43" t="s">
        <v>157</v>
      </c>
      <c r="D519" s="44">
        <v>45687</v>
      </c>
      <c r="E519" s="45">
        <v>826.8</v>
      </c>
    </row>
    <row r="520" spans="2:5">
      <c r="B520" s="43" t="s">
        <v>8</v>
      </c>
      <c r="C520" s="43" t="s">
        <v>9</v>
      </c>
      <c r="D520" s="44">
        <v>45687</v>
      </c>
      <c r="E520" s="45">
        <v>87</v>
      </c>
    </row>
    <row r="521" spans="2:5">
      <c r="B521" s="43" t="s">
        <v>46</v>
      </c>
      <c r="C521" s="43" t="s">
        <v>47</v>
      </c>
      <c r="D521" s="44">
        <v>45687</v>
      </c>
      <c r="E521" s="45">
        <v>497.2</v>
      </c>
    </row>
    <row r="522" spans="2:5">
      <c r="B522" s="43" t="s">
        <v>74</v>
      </c>
      <c r="C522" s="43" t="s">
        <v>75</v>
      </c>
      <c r="D522" s="44">
        <v>45687</v>
      </c>
      <c r="E522" s="45">
        <v>62.25</v>
      </c>
    </row>
    <row r="523" spans="2:5">
      <c r="B523" s="43" t="s">
        <v>12</v>
      </c>
      <c r="C523" s="43" t="s">
        <v>13</v>
      </c>
      <c r="D523" s="44">
        <v>45687</v>
      </c>
      <c r="E523" s="45">
        <v>276</v>
      </c>
    </row>
    <row r="524" spans="2:5">
      <c r="B524" s="43" t="s">
        <v>14</v>
      </c>
      <c r="C524" s="43" t="s">
        <v>15</v>
      </c>
      <c r="D524" s="44">
        <v>45687</v>
      </c>
      <c r="E524" s="45">
        <v>175.5</v>
      </c>
    </row>
    <row r="525" spans="2:5">
      <c r="B525" s="43" t="s">
        <v>114</v>
      </c>
      <c r="C525" s="43" t="s">
        <v>115</v>
      </c>
      <c r="D525" s="44">
        <v>45687</v>
      </c>
      <c r="E525" s="45">
        <v>718.2</v>
      </c>
    </row>
    <row r="526" spans="2:5">
      <c r="B526" s="43" t="s">
        <v>138</v>
      </c>
      <c r="C526" s="43" t="s">
        <v>139</v>
      </c>
      <c r="D526" s="44">
        <v>45687</v>
      </c>
      <c r="E526" s="45">
        <v>855.9</v>
      </c>
    </row>
    <row r="527" spans="2:5">
      <c r="B527" s="43" t="s">
        <v>152</v>
      </c>
      <c r="C527" s="43" t="s">
        <v>153</v>
      </c>
      <c r="D527" s="44">
        <v>45687</v>
      </c>
      <c r="E527" s="45">
        <v>46.5</v>
      </c>
    </row>
    <row r="528" spans="2:5">
      <c r="B528" s="43" t="s">
        <v>168</v>
      </c>
      <c r="C528" s="43" t="s">
        <v>169</v>
      </c>
      <c r="D528" s="44">
        <v>45687</v>
      </c>
      <c r="E528" s="45">
        <v>20.1</v>
      </c>
    </row>
    <row r="529" spans="2:5">
      <c r="B529" s="43" t="s">
        <v>18</v>
      </c>
      <c r="C529" s="43" t="s">
        <v>19</v>
      </c>
      <c r="D529" s="44">
        <v>45687</v>
      </c>
      <c r="E529" s="45">
        <v>22.25</v>
      </c>
    </row>
    <row r="530" spans="2:5">
      <c r="B530" s="43" t="s">
        <v>78</v>
      </c>
      <c r="C530" s="43" t="s">
        <v>79</v>
      </c>
      <c r="D530" s="44">
        <v>45687</v>
      </c>
      <c r="E530" s="45">
        <v>70.8</v>
      </c>
    </row>
    <row r="531" spans="2:5">
      <c r="B531" s="43" t="s">
        <v>20</v>
      </c>
      <c r="C531" s="43" t="s">
        <v>21</v>
      </c>
      <c r="D531" s="44">
        <v>45687</v>
      </c>
      <c r="E531" s="45">
        <v>156.8</v>
      </c>
    </row>
    <row r="532" spans="2:5">
      <c r="B532" s="43" t="s">
        <v>22</v>
      </c>
      <c r="C532" s="43" t="s">
        <v>23</v>
      </c>
      <c r="D532" s="44">
        <v>45687</v>
      </c>
      <c r="E532" s="45">
        <v>96</v>
      </c>
    </row>
    <row r="533" spans="2:5">
      <c r="B533" s="43" t="s">
        <v>80</v>
      </c>
      <c r="C533" s="43" t="s">
        <v>81</v>
      </c>
      <c r="D533" s="44">
        <v>45687</v>
      </c>
      <c r="E533" s="45">
        <v>3487.05</v>
      </c>
    </row>
    <row r="534" spans="2:5">
      <c r="B534" s="43" t="s">
        <v>24</v>
      </c>
      <c r="C534" s="43" t="s">
        <v>25</v>
      </c>
      <c r="D534" s="44">
        <v>45687</v>
      </c>
      <c r="E534" s="45">
        <v>938.1</v>
      </c>
    </row>
    <row r="535" spans="2:5">
      <c r="B535" s="43" t="s">
        <v>26</v>
      </c>
      <c r="C535" s="43" t="s">
        <v>27</v>
      </c>
      <c r="D535" s="44">
        <v>45687</v>
      </c>
      <c r="E535" s="45">
        <v>62.2</v>
      </c>
    </row>
    <row r="536" spans="2:5">
      <c r="B536" s="43" t="s">
        <v>60</v>
      </c>
      <c r="C536" s="43" t="s">
        <v>61</v>
      </c>
      <c r="D536" s="44">
        <v>45687</v>
      </c>
      <c r="E536" s="45">
        <v>36.6</v>
      </c>
    </row>
    <row r="537" spans="2:5">
      <c r="B537" s="43" t="s">
        <v>28</v>
      </c>
      <c r="C537" s="43" t="s">
        <v>29</v>
      </c>
      <c r="D537" s="44">
        <v>45687</v>
      </c>
      <c r="E537" s="45">
        <v>1020.3</v>
      </c>
    </row>
    <row r="538" spans="2:5">
      <c r="B538" s="43" t="s">
        <v>62</v>
      </c>
      <c r="C538" s="43" t="s">
        <v>63</v>
      </c>
      <c r="D538" s="44">
        <v>45687</v>
      </c>
      <c r="E538" s="45">
        <v>41</v>
      </c>
    </row>
    <row r="539" spans="2:5">
      <c r="B539" s="43" t="s">
        <v>64</v>
      </c>
      <c r="C539" s="43" t="s">
        <v>65</v>
      </c>
      <c r="D539" s="44">
        <v>45687</v>
      </c>
      <c r="E539" s="45">
        <v>240</v>
      </c>
    </row>
    <row r="540" spans="2:5">
      <c r="B540" s="43" t="s">
        <v>96</v>
      </c>
      <c r="C540" s="43" t="s">
        <v>97</v>
      </c>
      <c r="D540" s="44">
        <v>45687</v>
      </c>
      <c r="E540" s="45">
        <v>38</v>
      </c>
    </row>
    <row r="541" spans="2:5">
      <c r="B541" s="43" t="s">
        <v>32</v>
      </c>
      <c r="C541" s="43" t="s">
        <v>33</v>
      </c>
      <c r="D541" s="44">
        <v>45687</v>
      </c>
      <c r="E541" s="45">
        <v>17</v>
      </c>
    </row>
    <row r="542" spans="2:5">
      <c r="B542" s="43" t="s">
        <v>98</v>
      </c>
      <c r="C542" s="43" t="s">
        <v>99</v>
      </c>
      <c r="D542" s="44">
        <v>45687</v>
      </c>
      <c r="E542" s="45">
        <v>5</v>
      </c>
    </row>
    <row r="543" spans="2:5">
      <c r="B543" s="43" t="s">
        <v>34</v>
      </c>
      <c r="C543" s="43" t="s">
        <v>35</v>
      </c>
      <c r="D543" s="44">
        <v>45687</v>
      </c>
      <c r="E543" s="45">
        <v>2</v>
      </c>
    </row>
    <row r="544" spans="2:5">
      <c r="B544" s="43" t="s">
        <v>6</v>
      </c>
      <c r="C544" s="43" t="s">
        <v>7</v>
      </c>
      <c r="D544" s="44">
        <v>45688</v>
      </c>
      <c r="E544" s="45">
        <v>13.1</v>
      </c>
    </row>
    <row r="545" spans="2:5">
      <c r="B545" s="43" t="s">
        <v>8</v>
      </c>
      <c r="C545" s="43" t="s">
        <v>9</v>
      </c>
      <c r="D545" s="44">
        <v>45688</v>
      </c>
      <c r="E545" s="45">
        <v>34.8</v>
      </c>
    </row>
    <row r="546" spans="2:5">
      <c r="B546" s="43" t="s">
        <v>44</v>
      </c>
      <c r="C546" s="43" t="s">
        <v>45</v>
      </c>
      <c r="D546" s="44">
        <v>45688</v>
      </c>
      <c r="E546" s="45">
        <v>34</v>
      </c>
    </row>
    <row r="547" spans="2:5">
      <c r="B547" s="43" t="s">
        <v>72</v>
      </c>
      <c r="C547" s="43" t="s">
        <v>73</v>
      </c>
      <c r="D547" s="44">
        <v>45688</v>
      </c>
      <c r="E547" s="45">
        <v>61.2</v>
      </c>
    </row>
    <row r="548" spans="2:5">
      <c r="B548" s="43" t="s">
        <v>46</v>
      </c>
      <c r="C548" s="43" t="s">
        <v>47</v>
      </c>
      <c r="D548" s="44">
        <v>45688</v>
      </c>
      <c r="E548" s="45">
        <v>113</v>
      </c>
    </row>
    <row r="549" spans="2:5">
      <c r="B549" s="43" t="s">
        <v>10</v>
      </c>
      <c r="C549" s="43" t="s">
        <v>11</v>
      </c>
      <c r="D549" s="44">
        <v>45688</v>
      </c>
      <c r="E549" s="45">
        <v>663</v>
      </c>
    </row>
    <row r="550" spans="2:5">
      <c r="B550" s="43" t="s">
        <v>74</v>
      </c>
      <c r="C550" s="43" t="s">
        <v>75</v>
      </c>
      <c r="D550" s="44">
        <v>45688</v>
      </c>
      <c r="E550" s="45">
        <v>62.25</v>
      </c>
    </row>
    <row r="551" spans="2:5">
      <c r="B551" s="43" t="s">
        <v>108</v>
      </c>
      <c r="C551" s="43" t="s">
        <v>109</v>
      </c>
      <c r="D551" s="44">
        <v>45688</v>
      </c>
      <c r="E551" s="45">
        <v>155</v>
      </c>
    </row>
    <row r="552" spans="2:5">
      <c r="B552" s="43" t="s">
        <v>14</v>
      </c>
      <c r="C552" s="43" t="s">
        <v>15</v>
      </c>
      <c r="D552" s="44">
        <v>45688</v>
      </c>
      <c r="E552" s="45">
        <v>297</v>
      </c>
    </row>
    <row r="553" spans="2:5">
      <c r="B553" s="43" t="s">
        <v>50</v>
      </c>
      <c r="C553" s="43" t="s">
        <v>51</v>
      </c>
      <c r="D553" s="44">
        <v>45688</v>
      </c>
      <c r="E553" s="45">
        <v>136</v>
      </c>
    </row>
    <row r="554" spans="2:5">
      <c r="B554" s="43" t="s">
        <v>56</v>
      </c>
      <c r="C554" s="43" t="s">
        <v>57</v>
      </c>
      <c r="D554" s="44">
        <v>45688</v>
      </c>
      <c r="E554" s="45">
        <v>162.9</v>
      </c>
    </row>
    <row r="555" spans="2:5">
      <c r="B555" s="43" t="s">
        <v>76</v>
      </c>
      <c r="C555" s="43" t="s">
        <v>77</v>
      </c>
      <c r="D555" s="44">
        <v>45688</v>
      </c>
      <c r="E555" s="45">
        <v>282.4</v>
      </c>
    </row>
    <row r="556" spans="2:5">
      <c r="B556" s="43" t="s">
        <v>130</v>
      </c>
      <c r="C556" s="43" t="s">
        <v>131</v>
      </c>
      <c r="D556" s="44">
        <v>45688</v>
      </c>
      <c r="E556" s="45">
        <v>51.7</v>
      </c>
    </row>
    <row r="557" spans="2:5">
      <c r="B557" s="43" t="s">
        <v>18</v>
      </c>
      <c r="C557" s="43" t="s">
        <v>19</v>
      </c>
      <c r="D557" s="44">
        <v>45688</v>
      </c>
      <c r="E557" s="45">
        <v>133.5</v>
      </c>
    </row>
    <row r="558" spans="2:5">
      <c r="B558" s="43" t="s">
        <v>20</v>
      </c>
      <c r="C558" s="43" t="s">
        <v>21</v>
      </c>
      <c r="D558" s="44">
        <v>45688</v>
      </c>
      <c r="E558" s="45">
        <v>9.8</v>
      </c>
    </row>
    <row r="559" spans="2:5">
      <c r="B559" s="43" t="s">
        <v>120</v>
      </c>
      <c r="C559" s="43" t="s">
        <v>121</v>
      </c>
      <c r="D559" s="44">
        <v>45688</v>
      </c>
      <c r="E559" s="45">
        <v>22.8</v>
      </c>
    </row>
    <row r="560" spans="2:5">
      <c r="B560" s="43" t="s">
        <v>22</v>
      </c>
      <c r="C560" s="43" t="s">
        <v>23</v>
      </c>
      <c r="D560" s="44">
        <v>45688</v>
      </c>
      <c r="E560" s="45">
        <v>67.2</v>
      </c>
    </row>
    <row r="561" spans="2:5">
      <c r="B561" s="43" t="s">
        <v>140</v>
      </c>
      <c r="C561" s="43" t="s">
        <v>141</v>
      </c>
      <c r="D561" s="44">
        <v>45688</v>
      </c>
      <c r="E561" s="45">
        <v>928</v>
      </c>
    </row>
    <row r="562" spans="2:5">
      <c r="B562" s="43" t="s">
        <v>24</v>
      </c>
      <c r="C562" s="43" t="s">
        <v>25</v>
      </c>
      <c r="D562" s="44">
        <v>45688</v>
      </c>
      <c r="E562" s="45">
        <v>3402.6</v>
      </c>
    </row>
    <row r="563" spans="2:5">
      <c r="B563" s="43" t="s">
        <v>26</v>
      </c>
      <c r="C563" s="43" t="s">
        <v>27</v>
      </c>
      <c r="D563" s="44">
        <v>45688</v>
      </c>
      <c r="E563" s="45">
        <v>1415.05</v>
      </c>
    </row>
    <row r="564" spans="2:5">
      <c r="B564" s="43" t="s">
        <v>60</v>
      </c>
      <c r="C564" s="43" t="s">
        <v>61</v>
      </c>
      <c r="D564" s="44">
        <v>45688</v>
      </c>
      <c r="E564" s="45">
        <v>603.9</v>
      </c>
    </row>
    <row r="565" spans="2:5">
      <c r="B565" s="43" t="s">
        <v>28</v>
      </c>
      <c r="C565" s="43" t="s">
        <v>29</v>
      </c>
      <c r="D565" s="44">
        <v>45688</v>
      </c>
      <c r="E565" s="45">
        <v>196.9</v>
      </c>
    </row>
    <row r="566" spans="2:5">
      <c r="B566" s="43" t="s">
        <v>62</v>
      </c>
      <c r="C566" s="43" t="s">
        <v>63</v>
      </c>
      <c r="D566" s="44">
        <v>45688</v>
      </c>
      <c r="E566" s="45">
        <v>307.5</v>
      </c>
    </row>
    <row r="567" spans="2:5">
      <c r="B567" s="43" t="s">
        <v>64</v>
      </c>
      <c r="C567" s="43" t="s">
        <v>65</v>
      </c>
      <c r="D567" s="44">
        <v>45688</v>
      </c>
      <c r="E567" s="45">
        <v>880</v>
      </c>
    </row>
    <row r="568" spans="2:5">
      <c r="B568" s="43" t="s">
        <v>66</v>
      </c>
      <c r="C568" s="43" t="s">
        <v>67</v>
      </c>
      <c r="D568" s="44">
        <v>45688</v>
      </c>
      <c r="E568" s="45">
        <v>886.4</v>
      </c>
    </row>
    <row r="569" spans="2:5">
      <c r="B569" s="43" t="s">
        <v>150</v>
      </c>
      <c r="C569" s="43" t="s">
        <v>151</v>
      </c>
      <c r="D569" s="44">
        <v>45688</v>
      </c>
      <c r="E569" s="45">
        <v>973.8</v>
      </c>
    </row>
    <row r="570" spans="2:5">
      <c r="B570" s="43" t="s">
        <v>68</v>
      </c>
      <c r="C570" s="43" t="s">
        <v>69</v>
      </c>
      <c r="D570" s="44">
        <v>45688</v>
      </c>
      <c r="E570" s="45">
        <v>1077</v>
      </c>
    </row>
    <row r="571" spans="2:5">
      <c r="B571" s="43" t="s">
        <v>96</v>
      </c>
      <c r="C571" s="43" t="s">
        <v>97</v>
      </c>
      <c r="D571" s="44">
        <v>45688</v>
      </c>
      <c r="E571" s="45">
        <v>51</v>
      </c>
    </row>
    <row r="572" spans="2:5">
      <c r="B572" s="43" t="s">
        <v>32</v>
      </c>
      <c r="C572" s="43" t="s">
        <v>33</v>
      </c>
      <c r="D572" s="44">
        <v>45688</v>
      </c>
      <c r="E572" s="45">
        <v>7</v>
      </c>
    </row>
    <row r="573" spans="2:5">
      <c r="B573" s="43" t="s">
        <v>160</v>
      </c>
      <c r="C573" s="43" t="s">
        <v>161</v>
      </c>
      <c r="D573" s="44">
        <v>45688</v>
      </c>
      <c r="E573" s="45">
        <v>26</v>
      </c>
    </row>
    <row r="574" spans="2:5">
      <c r="B574" s="43" t="s">
        <v>34</v>
      </c>
      <c r="C574" s="43" t="s">
        <v>35</v>
      </c>
      <c r="D574" s="44">
        <v>45688</v>
      </c>
      <c r="E574" s="45">
        <v>14</v>
      </c>
    </row>
    <row r="575" spans="2:5">
      <c r="B575" s="43" t="s">
        <v>36</v>
      </c>
      <c r="C575" s="43" t="s">
        <v>37</v>
      </c>
      <c r="D575" s="44">
        <v>45688</v>
      </c>
      <c r="E575" s="45">
        <v>1</v>
      </c>
    </row>
    <row r="576" spans="2:5">
      <c r="B576" s="43" t="s">
        <v>86</v>
      </c>
      <c r="C576" s="43" t="s">
        <v>87</v>
      </c>
      <c r="D576" s="44">
        <v>45691</v>
      </c>
      <c r="E576" s="45">
        <v>12</v>
      </c>
    </row>
    <row r="577" spans="2:5">
      <c r="B577" s="43" t="s">
        <v>4</v>
      </c>
      <c r="C577" s="43" t="s">
        <v>5</v>
      </c>
      <c r="D577" s="44">
        <v>45691</v>
      </c>
      <c r="E577" s="45">
        <v>20.1</v>
      </c>
    </row>
    <row r="578" spans="2:5">
      <c r="B578" s="43" t="s">
        <v>8</v>
      </c>
      <c r="C578" s="43" t="s">
        <v>9</v>
      </c>
      <c r="D578" s="44">
        <v>45691</v>
      </c>
      <c r="E578" s="45">
        <v>339.3</v>
      </c>
    </row>
    <row r="579" spans="2:5">
      <c r="B579" s="43" t="s">
        <v>44</v>
      </c>
      <c r="C579" s="43" t="s">
        <v>45</v>
      </c>
      <c r="D579" s="44">
        <v>45691</v>
      </c>
      <c r="E579" s="45">
        <v>8.5</v>
      </c>
    </row>
    <row r="580" spans="2:5">
      <c r="B580" s="43" t="s">
        <v>46</v>
      </c>
      <c r="C580" s="43" t="s">
        <v>47</v>
      </c>
      <c r="D580" s="44">
        <v>45691</v>
      </c>
      <c r="E580" s="45">
        <v>327.7</v>
      </c>
    </row>
    <row r="581" spans="2:5">
      <c r="B581" s="43" t="s">
        <v>74</v>
      </c>
      <c r="C581" s="43" t="s">
        <v>75</v>
      </c>
      <c r="D581" s="44">
        <v>45691</v>
      </c>
      <c r="E581" s="45">
        <v>622.5</v>
      </c>
    </row>
    <row r="582" spans="2:5">
      <c r="B582" s="43" t="s">
        <v>12</v>
      </c>
      <c r="C582" s="43" t="s">
        <v>13</v>
      </c>
      <c r="D582" s="44">
        <v>45691</v>
      </c>
      <c r="E582" s="45">
        <v>607.2</v>
      </c>
    </row>
    <row r="583" spans="2:5">
      <c r="B583" s="43" t="s">
        <v>50</v>
      </c>
      <c r="C583" s="43" t="s">
        <v>51</v>
      </c>
      <c r="D583" s="44">
        <v>45691</v>
      </c>
      <c r="E583" s="45">
        <v>530.4</v>
      </c>
    </row>
    <row r="584" spans="2:5">
      <c r="B584" s="43" t="s">
        <v>138</v>
      </c>
      <c r="C584" s="43" t="s">
        <v>139</v>
      </c>
      <c r="D584" s="44">
        <v>45691</v>
      </c>
      <c r="E584" s="45">
        <v>47.55</v>
      </c>
    </row>
    <row r="585" spans="2:5">
      <c r="B585" s="43" t="s">
        <v>56</v>
      </c>
      <c r="C585" s="43" t="s">
        <v>57</v>
      </c>
      <c r="D585" s="44">
        <v>45691</v>
      </c>
      <c r="E585" s="45">
        <v>579.2</v>
      </c>
    </row>
    <row r="586" spans="2:5">
      <c r="B586" s="43" t="s">
        <v>16</v>
      </c>
      <c r="C586" s="43" t="s">
        <v>17</v>
      </c>
      <c r="D586" s="44">
        <v>45691</v>
      </c>
      <c r="E586" s="45">
        <v>91.2</v>
      </c>
    </row>
    <row r="587" spans="2:5">
      <c r="B587" s="43" t="s">
        <v>78</v>
      </c>
      <c r="C587" s="43" t="s">
        <v>79</v>
      </c>
      <c r="D587" s="44">
        <v>45691</v>
      </c>
      <c r="E587" s="45">
        <v>442.5</v>
      </c>
    </row>
    <row r="588" spans="2:5">
      <c r="B588" s="43" t="s">
        <v>22</v>
      </c>
      <c r="C588" s="43" t="s">
        <v>23</v>
      </c>
      <c r="D588" s="44">
        <v>45691</v>
      </c>
      <c r="E588" s="45">
        <v>38.4</v>
      </c>
    </row>
    <row r="589" spans="2:5">
      <c r="B589" s="43" t="s">
        <v>80</v>
      </c>
      <c r="C589" s="43" t="s">
        <v>81</v>
      </c>
      <c r="D589" s="44">
        <v>45691</v>
      </c>
      <c r="E589" s="45">
        <v>1004.5</v>
      </c>
    </row>
    <row r="590" spans="2:5">
      <c r="B590" s="43" t="s">
        <v>24</v>
      </c>
      <c r="C590" s="43" t="s">
        <v>25</v>
      </c>
      <c r="D590" s="44">
        <v>45691</v>
      </c>
      <c r="E590" s="45">
        <v>826.8</v>
      </c>
    </row>
    <row r="591" spans="2:5">
      <c r="B591" s="43" t="s">
        <v>26</v>
      </c>
      <c r="C591" s="43" t="s">
        <v>27</v>
      </c>
      <c r="D591" s="44">
        <v>45691</v>
      </c>
      <c r="E591" s="45">
        <v>31.1</v>
      </c>
    </row>
    <row r="592" spans="2:5">
      <c r="B592" s="43" t="s">
        <v>110</v>
      </c>
      <c r="C592" s="43" t="s">
        <v>111</v>
      </c>
      <c r="D592" s="44">
        <v>45691</v>
      </c>
      <c r="E592" s="45">
        <v>825</v>
      </c>
    </row>
    <row r="593" spans="2:5">
      <c r="B593" s="43" t="s">
        <v>62</v>
      </c>
      <c r="C593" s="43" t="s">
        <v>63</v>
      </c>
      <c r="D593" s="44">
        <v>45691</v>
      </c>
      <c r="E593" s="45">
        <v>820</v>
      </c>
    </row>
    <row r="594" spans="2:5">
      <c r="B594" s="43" t="s">
        <v>96</v>
      </c>
      <c r="C594" s="43" t="s">
        <v>97</v>
      </c>
      <c r="D594" s="44">
        <v>45691</v>
      </c>
      <c r="E594" s="45">
        <v>5</v>
      </c>
    </row>
    <row r="595" spans="2:5">
      <c r="B595" s="43" t="s">
        <v>160</v>
      </c>
      <c r="C595" s="43" t="s">
        <v>161</v>
      </c>
      <c r="D595" s="44">
        <v>45691</v>
      </c>
      <c r="E595" s="45">
        <v>84</v>
      </c>
    </row>
    <row r="596" spans="2:5">
      <c r="B596" s="43" t="s">
        <v>34</v>
      </c>
      <c r="C596" s="43" t="s">
        <v>35</v>
      </c>
      <c r="D596" s="44">
        <v>45691</v>
      </c>
      <c r="E596" s="45">
        <v>10</v>
      </c>
    </row>
    <row r="597" spans="2:5">
      <c r="B597" s="43" t="s">
        <v>170</v>
      </c>
      <c r="C597" s="43" t="s">
        <v>171</v>
      </c>
      <c r="D597" s="44">
        <v>45691</v>
      </c>
      <c r="E597" s="45">
        <v>2</v>
      </c>
    </row>
    <row r="598" spans="2:5">
      <c r="B598" s="43" t="s">
        <v>104</v>
      </c>
      <c r="C598" s="43" t="s">
        <v>105</v>
      </c>
      <c r="D598" s="44">
        <v>45692</v>
      </c>
      <c r="E598" s="45">
        <v>7</v>
      </c>
    </row>
    <row r="599" spans="2:5">
      <c r="B599" s="43" t="s">
        <v>42</v>
      </c>
      <c r="C599" s="43" t="s">
        <v>43</v>
      </c>
      <c r="D599" s="44">
        <v>45692</v>
      </c>
      <c r="E599" s="45">
        <v>260.15</v>
      </c>
    </row>
    <row r="600" spans="2:5">
      <c r="B600" s="43" t="s">
        <v>4</v>
      </c>
      <c r="C600" s="43" t="s">
        <v>5</v>
      </c>
      <c r="D600" s="44">
        <v>45692</v>
      </c>
      <c r="E600" s="45">
        <v>20.1</v>
      </c>
    </row>
    <row r="601" spans="2:5">
      <c r="B601" s="43" t="s">
        <v>156</v>
      </c>
      <c r="C601" s="43" t="s">
        <v>157</v>
      </c>
      <c r="D601" s="44">
        <v>45692</v>
      </c>
      <c r="E601" s="45">
        <v>226.2</v>
      </c>
    </row>
    <row r="602" spans="2:5">
      <c r="B602" s="43" t="s">
        <v>8</v>
      </c>
      <c r="C602" s="43" t="s">
        <v>9</v>
      </c>
      <c r="D602" s="44">
        <v>45692</v>
      </c>
      <c r="E602" s="45">
        <v>287.1</v>
      </c>
    </row>
    <row r="603" spans="2:5">
      <c r="B603" s="43" t="s">
        <v>44</v>
      </c>
      <c r="C603" s="43" t="s">
        <v>45</v>
      </c>
      <c r="D603" s="44">
        <v>45692</v>
      </c>
      <c r="E603" s="45">
        <v>8.5</v>
      </c>
    </row>
    <row r="604" spans="2:5">
      <c r="B604" s="43" t="s">
        <v>46</v>
      </c>
      <c r="C604" s="43" t="s">
        <v>47</v>
      </c>
      <c r="D604" s="44">
        <v>45692</v>
      </c>
      <c r="E604" s="45">
        <v>237.3</v>
      </c>
    </row>
    <row r="605" spans="2:5">
      <c r="B605" s="43" t="s">
        <v>10</v>
      </c>
      <c r="C605" s="43" t="s">
        <v>11</v>
      </c>
      <c r="D605" s="44">
        <v>45692</v>
      </c>
      <c r="E605" s="45">
        <v>475.15</v>
      </c>
    </row>
    <row r="606" spans="2:5">
      <c r="B606" s="43" t="s">
        <v>74</v>
      </c>
      <c r="C606" s="43" t="s">
        <v>75</v>
      </c>
      <c r="D606" s="44">
        <v>45692</v>
      </c>
      <c r="E606" s="45">
        <v>323.7</v>
      </c>
    </row>
    <row r="607" spans="2:5">
      <c r="B607" s="43" t="s">
        <v>12</v>
      </c>
      <c r="C607" s="43" t="s">
        <v>13</v>
      </c>
      <c r="D607" s="44">
        <v>45692</v>
      </c>
      <c r="E607" s="45">
        <v>234.6</v>
      </c>
    </row>
    <row r="608" spans="2:5">
      <c r="B608" s="43" t="s">
        <v>14</v>
      </c>
      <c r="C608" s="43" t="s">
        <v>15</v>
      </c>
      <c r="D608" s="44">
        <v>45692</v>
      </c>
      <c r="E608" s="45">
        <v>499.5</v>
      </c>
    </row>
    <row r="609" spans="2:5">
      <c r="B609" s="43" t="s">
        <v>76</v>
      </c>
      <c r="C609" s="43" t="s">
        <v>77</v>
      </c>
      <c r="D609" s="44">
        <v>45692</v>
      </c>
      <c r="E609" s="45">
        <v>441.25</v>
      </c>
    </row>
    <row r="610" spans="2:5">
      <c r="B610" s="43" t="s">
        <v>158</v>
      </c>
      <c r="C610" s="43" t="s">
        <v>159</v>
      </c>
      <c r="D610" s="44">
        <v>45692</v>
      </c>
      <c r="E610" s="45">
        <v>25.5</v>
      </c>
    </row>
    <row r="611" spans="2:5">
      <c r="B611" s="43" t="s">
        <v>18</v>
      </c>
      <c r="C611" s="43" t="s">
        <v>19</v>
      </c>
      <c r="D611" s="44">
        <v>45692</v>
      </c>
      <c r="E611" s="45">
        <v>44.5</v>
      </c>
    </row>
    <row r="612" spans="2:5">
      <c r="B612" s="43" t="s">
        <v>78</v>
      </c>
      <c r="C612" s="43" t="s">
        <v>79</v>
      </c>
      <c r="D612" s="44">
        <v>45692</v>
      </c>
      <c r="E612" s="45">
        <v>141.6</v>
      </c>
    </row>
    <row r="613" spans="2:5">
      <c r="B613" s="43" t="s">
        <v>20</v>
      </c>
      <c r="C613" s="43" t="s">
        <v>21</v>
      </c>
      <c r="D613" s="44">
        <v>45692</v>
      </c>
      <c r="E613" s="45">
        <v>58.8</v>
      </c>
    </row>
    <row r="614" spans="2:5">
      <c r="B614" s="43" t="s">
        <v>22</v>
      </c>
      <c r="C614" s="43" t="s">
        <v>23</v>
      </c>
      <c r="D614" s="44">
        <v>45692</v>
      </c>
      <c r="E614" s="45">
        <v>19.2</v>
      </c>
    </row>
    <row r="615" spans="2:5">
      <c r="B615" s="43" t="s">
        <v>80</v>
      </c>
      <c r="C615" s="43" t="s">
        <v>81</v>
      </c>
      <c r="D615" s="44">
        <v>45692</v>
      </c>
      <c r="E615" s="45">
        <v>229.6</v>
      </c>
    </row>
    <row r="616" spans="2:5">
      <c r="B616" s="43" t="s">
        <v>24</v>
      </c>
      <c r="C616" s="43" t="s">
        <v>25</v>
      </c>
      <c r="D616" s="44">
        <v>45692</v>
      </c>
      <c r="E616" s="45">
        <v>1717.14</v>
      </c>
    </row>
    <row r="617" spans="2:5">
      <c r="B617" s="43" t="s">
        <v>58</v>
      </c>
      <c r="C617" s="43" t="s">
        <v>59</v>
      </c>
      <c r="D617" s="44">
        <v>45692</v>
      </c>
      <c r="E617" s="45">
        <v>106.2</v>
      </c>
    </row>
    <row r="618" spans="2:5">
      <c r="B618" s="43" t="s">
        <v>26</v>
      </c>
      <c r="C618" s="43" t="s">
        <v>27</v>
      </c>
      <c r="D618" s="44">
        <v>45692</v>
      </c>
      <c r="E618" s="45">
        <v>2876.75</v>
      </c>
    </row>
    <row r="619" spans="2:5">
      <c r="B619" s="43" t="s">
        <v>28</v>
      </c>
      <c r="C619" s="43" t="s">
        <v>29</v>
      </c>
      <c r="D619" s="44">
        <v>45692</v>
      </c>
      <c r="E619" s="45">
        <v>1449.9</v>
      </c>
    </row>
    <row r="620" spans="2:5">
      <c r="B620" s="43" t="s">
        <v>62</v>
      </c>
      <c r="C620" s="43" t="s">
        <v>63</v>
      </c>
      <c r="D620" s="44">
        <v>45692</v>
      </c>
      <c r="E620" s="45">
        <v>369</v>
      </c>
    </row>
    <row r="621" spans="2:5">
      <c r="B621" s="43" t="s">
        <v>64</v>
      </c>
      <c r="C621" s="43" t="s">
        <v>65</v>
      </c>
      <c r="D621" s="44">
        <v>45692</v>
      </c>
      <c r="E621" s="45">
        <v>300</v>
      </c>
    </row>
    <row r="622" spans="2:5">
      <c r="B622" s="43" t="s">
        <v>84</v>
      </c>
      <c r="C622" s="43" t="s">
        <v>85</v>
      </c>
      <c r="D622" s="44">
        <v>45692</v>
      </c>
      <c r="E622" s="45">
        <v>24.95</v>
      </c>
    </row>
    <row r="623" spans="2:5">
      <c r="B623" s="43" t="s">
        <v>132</v>
      </c>
      <c r="C623" s="43" t="s">
        <v>133</v>
      </c>
      <c r="D623" s="44">
        <v>45692</v>
      </c>
      <c r="E623" s="45">
        <v>154.5</v>
      </c>
    </row>
    <row r="624" spans="2:5">
      <c r="B624" s="43" t="s">
        <v>68</v>
      </c>
      <c r="C624" s="43" t="s">
        <v>69</v>
      </c>
      <c r="D624" s="44">
        <v>45692</v>
      </c>
      <c r="E624" s="45">
        <v>143.6</v>
      </c>
    </row>
    <row r="625" spans="2:5">
      <c r="B625" s="43" t="s">
        <v>30</v>
      </c>
      <c r="C625" s="43" t="s">
        <v>31</v>
      </c>
      <c r="D625" s="44">
        <v>45692</v>
      </c>
      <c r="E625" s="45">
        <v>46</v>
      </c>
    </row>
    <row r="626" spans="2:5">
      <c r="B626" s="43" t="s">
        <v>96</v>
      </c>
      <c r="C626" s="43" t="s">
        <v>97</v>
      </c>
      <c r="D626" s="44">
        <v>45692</v>
      </c>
      <c r="E626" s="45">
        <v>39</v>
      </c>
    </row>
    <row r="627" spans="2:5">
      <c r="B627" s="43" t="s">
        <v>32</v>
      </c>
      <c r="C627" s="43" t="s">
        <v>33</v>
      </c>
      <c r="D627" s="44">
        <v>45692</v>
      </c>
      <c r="E627" s="45">
        <v>8</v>
      </c>
    </row>
    <row r="628" spans="2:5">
      <c r="B628" s="43" t="s">
        <v>98</v>
      </c>
      <c r="C628" s="43" t="s">
        <v>99</v>
      </c>
      <c r="D628" s="44">
        <v>45692</v>
      </c>
      <c r="E628" s="45">
        <v>5</v>
      </c>
    </row>
    <row r="629" spans="2:5">
      <c r="B629" s="43" t="s">
        <v>160</v>
      </c>
      <c r="C629" s="43" t="s">
        <v>161</v>
      </c>
      <c r="D629" s="44">
        <v>45692</v>
      </c>
      <c r="E629" s="45">
        <v>9</v>
      </c>
    </row>
    <row r="630" spans="2:5">
      <c r="B630" s="43" t="s">
        <v>36</v>
      </c>
      <c r="C630" s="43" t="s">
        <v>37</v>
      </c>
      <c r="D630" s="44">
        <v>45692</v>
      </c>
      <c r="E630" s="45">
        <v>17</v>
      </c>
    </row>
    <row r="631" spans="2:5">
      <c r="B631" s="43" t="s">
        <v>4</v>
      </c>
      <c r="C631" s="43" t="s">
        <v>5</v>
      </c>
      <c r="D631" s="44">
        <v>45693</v>
      </c>
      <c r="E631" s="45">
        <v>140.7</v>
      </c>
    </row>
    <row r="632" spans="2:5">
      <c r="B632" s="43" t="s">
        <v>8</v>
      </c>
      <c r="C632" s="43" t="s">
        <v>9</v>
      </c>
      <c r="D632" s="44">
        <v>45693</v>
      </c>
      <c r="E632" s="45">
        <v>174</v>
      </c>
    </row>
    <row r="633" spans="2:5">
      <c r="B633" s="43" t="s">
        <v>44</v>
      </c>
      <c r="C633" s="43" t="s">
        <v>45</v>
      </c>
      <c r="D633" s="44">
        <v>45693</v>
      </c>
      <c r="E633" s="45">
        <v>34</v>
      </c>
    </row>
    <row r="634" spans="2:5">
      <c r="B634" s="43" t="s">
        <v>46</v>
      </c>
      <c r="C634" s="43" t="s">
        <v>47</v>
      </c>
      <c r="D634" s="44">
        <v>45693</v>
      </c>
      <c r="E634" s="45">
        <v>689.3</v>
      </c>
    </row>
    <row r="635" spans="2:5">
      <c r="B635" s="43" t="s">
        <v>12</v>
      </c>
      <c r="C635" s="43" t="s">
        <v>13</v>
      </c>
      <c r="D635" s="44">
        <v>45693</v>
      </c>
      <c r="E635" s="45">
        <v>207</v>
      </c>
    </row>
    <row r="636" spans="2:5">
      <c r="B636" s="43" t="s">
        <v>14</v>
      </c>
      <c r="C636" s="43" t="s">
        <v>15</v>
      </c>
      <c r="D636" s="44">
        <v>45693</v>
      </c>
      <c r="E636" s="45">
        <v>67.5</v>
      </c>
    </row>
    <row r="637" spans="2:5">
      <c r="B637" s="43" t="s">
        <v>50</v>
      </c>
      <c r="C637" s="43" t="s">
        <v>51</v>
      </c>
      <c r="D637" s="44">
        <v>45693</v>
      </c>
      <c r="E637" s="45">
        <v>503.2</v>
      </c>
    </row>
    <row r="638" spans="2:5">
      <c r="B638" s="43" t="s">
        <v>114</v>
      </c>
      <c r="C638" s="43" t="s">
        <v>115</v>
      </c>
      <c r="D638" s="44">
        <v>45693</v>
      </c>
      <c r="E638" s="45">
        <v>133</v>
      </c>
    </row>
    <row r="639" spans="2:5">
      <c r="B639" s="43" t="s">
        <v>126</v>
      </c>
      <c r="C639" s="43" t="s">
        <v>127</v>
      </c>
      <c r="D639" s="44">
        <v>45693</v>
      </c>
      <c r="E639" s="45">
        <v>873.2</v>
      </c>
    </row>
    <row r="640" spans="2:5">
      <c r="B640" s="43" t="s">
        <v>76</v>
      </c>
      <c r="C640" s="43" t="s">
        <v>77</v>
      </c>
      <c r="D640" s="44">
        <v>45693</v>
      </c>
      <c r="E640" s="45">
        <v>264.75</v>
      </c>
    </row>
    <row r="641" spans="2:5">
      <c r="B641" s="43" t="s">
        <v>16</v>
      </c>
      <c r="C641" s="43" t="s">
        <v>17</v>
      </c>
      <c r="D641" s="44">
        <v>45693</v>
      </c>
      <c r="E641" s="45">
        <v>45.6</v>
      </c>
    </row>
    <row r="642" spans="2:5">
      <c r="B642" s="43" t="s">
        <v>20</v>
      </c>
      <c r="C642" s="43" t="s">
        <v>21</v>
      </c>
      <c r="D642" s="44">
        <v>45693</v>
      </c>
      <c r="E642" s="45">
        <v>127.4</v>
      </c>
    </row>
    <row r="643" spans="2:5">
      <c r="B643" s="43" t="s">
        <v>120</v>
      </c>
      <c r="C643" s="43" t="s">
        <v>121</v>
      </c>
      <c r="D643" s="44">
        <v>45693</v>
      </c>
      <c r="E643" s="45">
        <v>7.6</v>
      </c>
    </row>
    <row r="644" spans="2:5">
      <c r="B644" s="43" t="s">
        <v>22</v>
      </c>
      <c r="C644" s="43" t="s">
        <v>23</v>
      </c>
      <c r="D644" s="44">
        <v>45693</v>
      </c>
      <c r="E644" s="45">
        <v>211.2</v>
      </c>
    </row>
    <row r="645" spans="2:5">
      <c r="B645" s="43" t="s">
        <v>24</v>
      </c>
      <c r="C645" s="43" t="s">
        <v>25</v>
      </c>
      <c r="D645" s="44">
        <v>45693</v>
      </c>
      <c r="E645" s="45">
        <v>477</v>
      </c>
    </row>
    <row r="646" spans="2:5">
      <c r="B646" s="43" t="s">
        <v>58</v>
      </c>
      <c r="C646" s="43" t="s">
        <v>59</v>
      </c>
      <c r="D646" s="44">
        <v>45693</v>
      </c>
      <c r="E646" s="45">
        <v>53.1</v>
      </c>
    </row>
    <row r="647" spans="2:5">
      <c r="B647" s="43" t="s">
        <v>26</v>
      </c>
      <c r="C647" s="43" t="s">
        <v>27</v>
      </c>
      <c r="D647" s="44">
        <v>45693</v>
      </c>
      <c r="E647" s="45">
        <v>1632.75</v>
      </c>
    </row>
    <row r="648" spans="2:5">
      <c r="B648" s="43" t="s">
        <v>110</v>
      </c>
      <c r="C648" s="43" t="s">
        <v>111</v>
      </c>
      <c r="D648" s="44">
        <v>45693</v>
      </c>
      <c r="E648" s="45">
        <v>16.5</v>
      </c>
    </row>
    <row r="649" spans="2:5">
      <c r="B649" s="43" t="s">
        <v>28</v>
      </c>
      <c r="C649" s="43" t="s">
        <v>29</v>
      </c>
      <c r="D649" s="44">
        <v>45693</v>
      </c>
      <c r="E649" s="45">
        <v>35.8</v>
      </c>
    </row>
    <row r="650" spans="2:5">
      <c r="B650" s="43" t="s">
        <v>62</v>
      </c>
      <c r="C650" s="43" t="s">
        <v>63</v>
      </c>
      <c r="D650" s="44">
        <v>45693</v>
      </c>
      <c r="E650" s="45">
        <v>1066</v>
      </c>
    </row>
    <row r="651" spans="2:5">
      <c r="B651" s="43" t="s">
        <v>64</v>
      </c>
      <c r="C651" s="43" t="s">
        <v>65</v>
      </c>
      <c r="D651" s="44">
        <v>45693</v>
      </c>
      <c r="E651" s="45">
        <v>760</v>
      </c>
    </row>
    <row r="652" spans="2:5">
      <c r="B652" s="43" t="s">
        <v>112</v>
      </c>
      <c r="C652" s="43" t="s">
        <v>113</v>
      </c>
      <c r="D652" s="44">
        <v>45693</v>
      </c>
      <c r="E652" s="45">
        <v>30</v>
      </c>
    </row>
    <row r="653" spans="2:5">
      <c r="B653" s="43" t="s">
        <v>66</v>
      </c>
      <c r="C653" s="43" t="s">
        <v>67</v>
      </c>
      <c r="D653" s="44">
        <v>45693</v>
      </c>
      <c r="E653" s="45">
        <v>83.1</v>
      </c>
    </row>
    <row r="654" spans="2:5">
      <c r="B654" s="43" t="s">
        <v>68</v>
      </c>
      <c r="C654" s="43" t="s">
        <v>69</v>
      </c>
      <c r="D654" s="44">
        <v>45693</v>
      </c>
      <c r="E654" s="45">
        <v>35.9</v>
      </c>
    </row>
    <row r="655" spans="2:5">
      <c r="B655" s="43" t="s">
        <v>96</v>
      </c>
      <c r="C655" s="43" t="s">
        <v>97</v>
      </c>
      <c r="D655" s="44">
        <v>45693</v>
      </c>
      <c r="E655" s="45">
        <v>27</v>
      </c>
    </row>
    <row r="656" spans="2:5">
      <c r="B656" s="43" t="s">
        <v>32</v>
      </c>
      <c r="C656" s="43" t="s">
        <v>33</v>
      </c>
      <c r="D656" s="44">
        <v>45693</v>
      </c>
      <c r="E656" s="45">
        <v>8</v>
      </c>
    </row>
    <row r="657" spans="2:5">
      <c r="B657" s="43" t="s">
        <v>98</v>
      </c>
      <c r="C657" s="43" t="s">
        <v>99</v>
      </c>
      <c r="D657" s="44">
        <v>45693</v>
      </c>
      <c r="E657" s="45">
        <v>1</v>
      </c>
    </row>
    <row r="658" spans="2:5">
      <c r="B658" s="43" t="s">
        <v>34</v>
      </c>
      <c r="C658" s="43" t="s">
        <v>35</v>
      </c>
      <c r="D658" s="44">
        <v>45693</v>
      </c>
      <c r="E658" s="45">
        <v>4</v>
      </c>
    </row>
    <row r="659" spans="2:5">
      <c r="B659" s="43" t="s">
        <v>4</v>
      </c>
      <c r="C659" s="43" t="s">
        <v>5</v>
      </c>
      <c r="D659" s="44">
        <v>45694</v>
      </c>
      <c r="E659" s="45">
        <v>93.8</v>
      </c>
    </row>
    <row r="660" spans="2:5">
      <c r="B660" s="43" t="s">
        <v>8</v>
      </c>
      <c r="C660" s="43" t="s">
        <v>9</v>
      </c>
      <c r="D660" s="44">
        <v>45694</v>
      </c>
      <c r="E660" s="45">
        <v>261</v>
      </c>
    </row>
    <row r="661" spans="2:5">
      <c r="B661" s="43" t="s">
        <v>44</v>
      </c>
      <c r="C661" s="43" t="s">
        <v>45</v>
      </c>
      <c r="D661" s="44">
        <v>45694</v>
      </c>
      <c r="E661" s="45">
        <v>51</v>
      </c>
    </row>
    <row r="662" spans="2:5">
      <c r="B662" s="43" t="s">
        <v>72</v>
      </c>
      <c r="C662" s="43" t="s">
        <v>73</v>
      </c>
      <c r="D662" s="44">
        <v>45694</v>
      </c>
      <c r="E662" s="45">
        <v>234.6</v>
      </c>
    </row>
    <row r="663" spans="2:5">
      <c r="B663" s="43" t="s">
        <v>46</v>
      </c>
      <c r="C663" s="43" t="s">
        <v>47</v>
      </c>
      <c r="D663" s="44">
        <v>45694</v>
      </c>
      <c r="E663" s="45">
        <v>711.9</v>
      </c>
    </row>
    <row r="664" spans="2:5">
      <c r="B664" s="43" t="s">
        <v>74</v>
      </c>
      <c r="C664" s="43" t="s">
        <v>75</v>
      </c>
      <c r="D664" s="44">
        <v>45694</v>
      </c>
      <c r="E664" s="45">
        <v>286.35</v>
      </c>
    </row>
    <row r="665" spans="2:5">
      <c r="B665" s="43" t="s">
        <v>12</v>
      </c>
      <c r="C665" s="43" t="s">
        <v>13</v>
      </c>
      <c r="D665" s="44">
        <v>45694</v>
      </c>
      <c r="E665" s="45">
        <v>786.6</v>
      </c>
    </row>
    <row r="666" spans="2:5">
      <c r="B666" s="43" t="s">
        <v>50</v>
      </c>
      <c r="C666" s="43" t="s">
        <v>51</v>
      </c>
      <c r="D666" s="44">
        <v>45694</v>
      </c>
      <c r="E666" s="45">
        <v>40.8</v>
      </c>
    </row>
    <row r="667" spans="2:5">
      <c r="B667" s="43" t="s">
        <v>114</v>
      </c>
      <c r="C667" s="43" t="s">
        <v>115</v>
      </c>
      <c r="D667" s="44">
        <v>45694</v>
      </c>
      <c r="E667" s="45">
        <v>26.6</v>
      </c>
    </row>
    <row r="668" spans="2:5">
      <c r="B668" s="43" t="s">
        <v>144</v>
      </c>
      <c r="C668" s="43" t="s">
        <v>145</v>
      </c>
      <c r="D668" s="44">
        <v>45694</v>
      </c>
      <c r="E668" s="45">
        <v>194.4</v>
      </c>
    </row>
    <row r="669" spans="2:5">
      <c r="B669" s="43" t="s">
        <v>138</v>
      </c>
      <c r="C669" s="43" t="s">
        <v>139</v>
      </c>
      <c r="D669" s="44">
        <v>45694</v>
      </c>
      <c r="E669" s="45">
        <v>237.75</v>
      </c>
    </row>
    <row r="670" spans="2:5">
      <c r="B670" s="43" t="s">
        <v>56</v>
      </c>
      <c r="C670" s="43" t="s">
        <v>57</v>
      </c>
      <c r="D670" s="44">
        <v>45694</v>
      </c>
      <c r="E670" s="45">
        <v>54.3</v>
      </c>
    </row>
    <row r="671" spans="2:5">
      <c r="B671" s="43" t="s">
        <v>76</v>
      </c>
      <c r="C671" s="43" t="s">
        <v>77</v>
      </c>
      <c r="D671" s="44">
        <v>45694</v>
      </c>
      <c r="E671" s="45">
        <v>17.65</v>
      </c>
    </row>
    <row r="672" spans="2:5">
      <c r="B672" s="43" t="s">
        <v>22</v>
      </c>
      <c r="C672" s="43" t="s">
        <v>23</v>
      </c>
      <c r="D672" s="44">
        <v>45694</v>
      </c>
      <c r="E672" s="45">
        <v>28.8</v>
      </c>
    </row>
    <row r="673" spans="2:5">
      <c r="B673" s="43" t="s">
        <v>24</v>
      </c>
      <c r="C673" s="43" t="s">
        <v>25</v>
      </c>
      <c r="D673" s="44">
        <v>45694</v>
      </c>
      <c r="E673" s="45">
        <v>1892.1</v>
      </c>
    </row>
    <row r="674" spans="2:5">
      <c r="B674" s="43" t="s">
        <v>58</v>
      </c>
      <c r="C674" s="43" t="s">
        <v>59</v>
      </c>
      <c r="D674" s="44">
        <v>45694</v>
      </c>
      <c r="E674" s="45">
        <v>389.4</v>
      </c>
    </row>
    <row r="675" spans="2:5">
      <c r="B675" s="43" t="s">
        <v>26</v>
      </c>
      <c r="C675" s="43" t="s">
        <v>27</v>
      </c>
      <c r="D675" s="44">
        <v>45694</v>
      </c>
      <c r="E675" s="45">
        <v>824.15</v>
      </c>
    </row>
    <row r="676" spans="2:5">
      <c r="B676" s="43" t="s">
        <v>62</v>
      </c>
      <c r="C676" s="43" t="s">
        <v>63</v>
      </c>
      <c r="D676" s="44">
        <v>45694</v>
      </c>
      <c r="E676" s="45">
        <v>1886</v>
      </c>
    </row>
    <row r="677" spans="2:5">
      <c r="B677" s="43" t="s">
        <v>64</v>
      </c>
      <c r="C677" s="43" t="s">
        <v>65</v>
      </c>
      <c r="D677" s="44">
        <v>45694</v>
      </c>
      <c r="E677" s="45">
        <v>20</v>
      </c>
    </row>
    <row r="678" spans="2:5">
      <c r="B678" s="43" t="s">
        <v>172</v>
      </c>
      <c r="C678" s="43" t="s">
        <v>173</v>
      </c>
      <c r="D678" s="44">
        <v>45694</v>
      </c>
      <c r="E678" s="45">
        <v>22.55</v>
      </c>
    </row>
    <row r="679" spans="2:5">
      <c r="B679" s="43" t="s">
        <v>66</v>
      </c>
      <c r="C679" s="43" t="s">
        <v>67</v>
      </c>
      <c r="D679" s="44">
        <v>45694</v>
      </c>
      <c r="E679" s="45">
        <v>110.69</v>
      </c>
    </row>
    <row r="680" spans="2:5">
      <c r="B680" s="43" t="s">
        <v>132</v>
      </c>
      <c r="C680" s="43" t="s">
        <v>133</v>
      </c>
      <c r="D680" s="44">
        <v>45694</v>
      </c>
      <c r="E680" s="45">
        <v>30.9</v>
      </c>
    </row>
    <row r="681" spans="2:5">
      <c r="B681" s="43" t="s">
        <v>150</v>
      </c>
      <c r="C681" s="43" t="s">
        <v>151</v>
      </c>
      <c r="D681" s="44">
        <v>45694</v>
      </c>
      <c r="E681" s="45">
        <v>432.8</v>
      </c>
    </row>
    <row r="682" spans="2:5">
      <c r="B682" s="43" t="s">
        <v>174</v>
      </c>
      <c r="C682" s="43" t="s">
        <v>175</v>
      </c>
      <c r="D682" s="44">
        <v>45694</v>
      </c>
      <c r="E682" s="45">
        <v>1486.8</v>
      </c>
    </row>
    <row r="683" spans="2:5">
      <c r="B683" s="43" t="s">
        <v>68</v>
      </c>
      <c r="C683" s="43" t="s">
        <v>69</v>
      </c>
      <c r="D683" s="44">
        <v>45694</v>
      </c>
      <c r="E683" s="45">
        <v>359</v>
      </c>
    </row>
    <row r="684" spans="2:5">
      <c r="B684" s="43" t="s">
        <v>96</v>
      </c>
      <c r="C684" s="43" t="s">
        <v>97</v>
      </c>
      <c r="D684" s="44">
        <v>45694</v>
      </c>
      <c r="E684" s="45">
        <v>3</v>
      </c>
    </row>
    <row r="685" spans="2:5">
      <c r="B685" s="43" t="s">
        <v>32</v>
      </c>
      <c r="C685" s="43" t="s">
        <v>33</v>
      </c>
      <c r="D685" s="44">
        <v>45694</v>
      </c>
      <c r="E685" s="45">
        <v>10</v>
      </c>
    </row>
    <row r="686" spans="2:5">
      <c r="B686" s="43" t="s">
        <v>160</v>
      </c>
      <c r="C686" s="43" t="s">
        <v>161</v>
      </c>
      <c r="D686" s="44">
        <v>45694</v>
      </c>
      <c r="E686" s="45">
        <v>3</v>
      </c>
    </row>
    <row r="687" spans="2:5">
      <c r="B687" s="43" t="s">
        <v>34</v>
      </c>
      <c r="C687" s="43" t="s">
        <v>35</v>
      </c>
      <c r="D687" s="44">
        <v>45694</v>
      </c>
      <c r="E687" s="45">
        <v>11</v>
      </c>
    </row>
    <row r="688" spans="2:5">
      <c r="B688" s="43" t="s">
        <v>36</v>
      </c>
      <c r="C688" s="43" t="s">
        <v>37</v>
      </c>
      <c r="D688" s="44">
        <v>45694</v>
      </c>
      <c r="E688" s="45">
        <v>1</v>
      </c>
    </row>
    <row r="689" spans="2:5">
      <c r="B689" s="43" t="s">
        <v>86</v>
      </c>
      <c r="C689" s="43" t="s">
        <v>87</v>
      </c>
      <c r="D689" s="44">
        <v>45695</v>
      </c>
      <c r="E689" s="45">
        <v>1</v>
      </c>
    </row>
    <row r="690" spans="2:5">
      <c r="B690" s="43" t="s">
        <v>8</v>
      </c>
      <c r="C690" s="43" t="s">
        <v>9</v>
      </c>
      <c r="D690" s="44">
        <v>45695</v>
      </c>
      <c r="E690" s="45">
        <v>8.7</v>
      </c>
    </row>
    <row r="691" spans="2:5">
      <c r="B691" s="43" t="s">
        <v>46</v>
      </c>
      <c r="C691" s="43" t="s">
        <v>47</v>
      </c>
      <c r="D691" s="44">
        <v>45695</v>
      </c>
      <c r="E691" s="45">
        <v>293.8</v>
      </c>
    </row>
    <row r="692" spans="2:5">
      <c r="B692" s="43" t="s">
        <v>12</v>
      </c>
      <c r="C692" s="43" t="s">
        <v>13</v>
      </c>
      <c r="D692" s="44">
        <v>45695</v>
      </c>
      <c r="E692" s="45">
        <v>414</v>
      </c>
    </row>
    <row r="693" spans="2:5">
      <c r="B693" s="43" t="s">
        <v>48</v>
      </c>
      <c r="C693" s="43" t="s">
        <v>49</v>
      </c>
      <c r="D693" s="44">
        <v>45695</v>
      </c>
      <c r="E693" s="45">
        <v>60.8</v>
      </c>
    </row>
    <row r="694" spans="2:5">
      <c r="B694" s="43" t="s">
        <v>126</v>
      </c>
      <c r="C694" s="43" t="s">
        <v>127</v>
      </c>
      <c r="D694" s="44">
        <v>45695</v>
      </c>
      <c r="E694" s="45">
        <v>70.8</v>
      </c>
    </row>
    <row r="695" spans="2:5">
      <c r="B695" s="43" t="s">
        <v>20</v>
      </c>
      <c r="C695" s="43" t="s">
        <v>21</v>
      </c>
      <c r="D695" s="44">
        <v>45695</v>
      </c>
      <c r="E695" s="45">
        <v>333.2</v>
      </c>
    </row>
    <row r="696" spans="2:5">
      <c r="B696" s="43" t="s">
        <v>22</v>
      </c>
      <c r="C696" s="43" t="s">
        <v>23</v>
      </c>
      <c r="D696" s="44">
        <v>45695</v>
      </c>
      <c r="E696" s="45">
        <v>96</v>
      </c>
    </row>
    <row r="697" spans="2:5">
      <c r="B697" s="43" t="s">
        <v>24</v>
      </c>
      <c r="C697" s="43" t="s">
        <v>25</v>
      </c>
      <c r="D697" s="44">
        <v>45695</v>
      </c>
      <c r="E697" s="45">
        <v>1351.5</v>
      </c>
    </row>
    <row r="698" spans="2:5">
      <c r="B698" s="43" t="s">
        <v>26</v>
      </c>
      <c r="C698" s="43" t="s">
        <v>27</v>
      </c>
      <c r="D698" s="44">
        <v>45695</v>
      </c>
      <c r="E698" s="45">
        <v>979.65</v>
      </c>
    </row>
    <row r="699" spans="2:5">
      <c r="B699" s="43" t="s">
        <v>60</v>
      </c>
      <c r="C699" s="43" t="s">
        <v>61</v>
      </c>
      <c r="D699" s="44">
        <v>45695</v>
      </c>
      <c r="E699" s="45">
        <v>54.9</v>
      </c>
    </row>
    <row r="700" spans="2:5">
      <c r="B700" s="43" t="s">
        <v>28</v>
      </c>
      <c r="C700" s="43" t="s">
        <v>29</v>
      </c>
      <c r="D700" s="44">
        <v>45695</v>
      </c>
      <c r="E700" s="45">
        <v>71.6</v>
      </c>
    </row>
    <row r="701" spans="2:5">
      <c r="B701" s="43" t="s">
        <v>62</v>
      </c>
      <c r="C701" s="43" t="s">
        <v>63</v>
      </c>
      <c r="D701" s="44">
        <v>45695</v>
      </c>
      <c r="E701" s="45">
        <v>225.5</v>
      </c>
    </row>
    <row r="702" spans="2:5">
      <c r="B702" s="43" t="s">
        <v>92</v>
      </c>
      <c r="C702" s="43" t="s">
        <v>93</v>
      </c>
      <c r="D702" s="44">
        <v>45695</v>
      </c>
      <c r="E702" s="45">
        <v>577.6</v>
      </c>
    </row>
    <row r="703" spans="2:5">
      <c r="B703" s="43" t="s">
        <v>30</v>
      </c>
      <c r="C703" s="43" t="s">
        <v>31</v>
      </c>
      <c r="D703" s="44">
        <v>45695</v>
      </c>
      <c r="E703" s="45">
        <v>10</v>
      </c>
    </row>
    <row r="704" spans="2:5">
      <c r="B704" s="43" t="s">
        <v>32</v>
      </c>
      <c r="C704" s="43" t="s">
        <v>33</v>
      </c>
      <c r="D704" s="44">
        <v>45695</v>
      </c>
      <c r="E704" s="45">
        <v>12</v>
      </c>
    </row>
    <row r="705" spans="2:5">
      <c r="B705" s="43" t="s">
        <v>160</v>
      </c>
      <c r="C705" s="43" t="s">
        <v>161</v>
      </c>
      <c r="D705" s="44">
        <v>45695</v>
      </c>
      <c r="E705" s="45">
        <v>1</v>
      </c>
    </row>
    <row r="706" spans="2:5">
      <c r="B706" s="43" t="s">
        <v>34</v>
      </c>
      <c r="C706" s="43" t="s">
        <v>35</v>
      </c>
      <c r="D706" s="44">
        <v>45695</v>
      </c>
      <c r="E706" s="45">
        <v>7</v>
      </c>
    </row>
    <row r="707" spans="2:5">
      <c r="B707" s="43" t="s">
        <v>38</v>
      </c>
      <c r="C707" s="43" t="s">
        <v>39</v>
      </c>
      <c r="D707" s="44">
        <v>45695</v>
      </c>
      <c r="E707" s="45">
        <v>40</v>
      </c>
    </row>
    <row r="708" spans="2:5">
      <c r="B708" s="43" t="s">
        <v>4</v>
      </c>
      <c r="C708" s="43" t="s">
        <v>5</v>
      </c>
      <c r="D708" s="44">
        <v>45698</v>
      </c>
      <c r="E708" s="45">
        <v>134</v>
      </c>
    </row>
    <row r="709" spans="2:5">
      <c r="B709" s="43" t="s">
        <v>8</v>
      </c>
      <c r="C709" s="43" t="s">
        <v>9</v>
      </c>
      <c r="D709" s="44">
        <v>45698</v>
      </c>
      <c r="E709" s="45">
        <v>26.1</v>
      </c>
    </row>
    <row r="710" spans="2:5">
      <c r="B710" s="43" t="s">
        <v>46</v>
      </c>
      <c r="C710" s="43" t="s">
        <v>47</v>
      </c>
      <c r="D710" s="44">
        <v>45698</v>
      </c>
      <c r="E710" s="45">
        <v>22.6</v>
      </c>
    </row>
    <row r="711" spans="2:5">
      <c r="B711" s="43" t="s">
        <v>10</v>
      </c>
      <c r="C711" s="43" t="s">
        <v>11</v>
      </c>
      <c r="D711" s="44">
        <v>45698</v>
      </c>
      <c r="E711" s="45">
        <v>221</v>
      </c>
    </row>
    <row r="712" spans="2:5">
      <c r="B712" s="43" t="s">
        <v>12</v>
      </c>
      <c r="C712" s="43" t="s">
        <v>13</v>
      </c>
      <c r="D712" s="44">
        <v>45698</v>
      </c>
      <c r="E712" s="45">
        <v>55.2</v>
      </c>
    </row>
    <row r="713" spans="2:5">
      <c r="B713" s="43" t="s">
        <v>14</v>
      </c>
      <c r="C713" s="43" t="s">
        <v>15</v>
      </c>
      <c r="D713" s="44">
        <v>45698</v>
      </c>
      <c r="E713" s="45">
        <v>270</v>
      </c>
    </row>
    <row r="714" spans="2:5">
      <c r="B714" s="43" t="s">
        <v>114</v>
      </c>
      <c r="C714" s="43" t="s">
        <v>115</v>
      </c>
      <c r="D714" s="44">
        <v>45698</v>
      </c>
      <c r="E714" s="45">
        <v>226.1</v>
      </c>
    </row>
    <row r="715" spans="2:5">
      <c r="B715" s="43" t="s">
        <v>138</v>
      </c>
      <c r="C715" s="43" t="s">
        <v>139</v>
      </c>
      <c r="D715" s="44">
        <v>45698</v>
      </c>
      <c r="E715" s="45">
        <v>317</v>
      </c>
    </row>
    <row r="716" spans="2:5">
      <c r="B716" s="43" t="s">
        <v>176</v>
      </c>
      <c r="C716" s="43" t="s">
        <v>177</v>
      </c>
      <c r="D716" s="44">
        <v>45698</v>
      </c>
      <c r="E716" s="45">
        <v>121.5</v>
      </c>
    </row>
    <row r="717" spans="2:5">
      <c r="B717" s="43" t="s">
        <v>78</v>
      </c>
      <c r="C717" s="43" t="s">
        <v>79</v>
      </c>
      <c r="D717" s="44">
        <v>45698</v>
      </c>
      <c r="E717" s="45">
        <v>35.4</v>
      </c>
    </row>
    <row r="718" spans="2:5">
      <c r="B718" s="43" t="s">
        <v>20</v>
      </c>
      <c r="C718" s="43" t="s">
        <v>21</v>
      </c>
      <c r="D718" s="44">
        <v>45698</v>
      </c>
      <c r="E718" s="45">
        <v>176.4</v>
      </c>
    </row>
    <row r="719" spans="2:5">
      <c r="B719" s="43" t="s">
        <v>22</v>
      </c>
      <c r="C719" s="43" t="s">
        <v>23</v>
      </c>
      <c r="D719" s="44">
        <v>45698</v>
      </c>
      <c r="E719" s="45">
        <v>115.2</v>
      </c>
    </row>
    <row r="720" spans="2:5">
      <c r="B720" s="43" t="s">
        <v>24</v>
      </c>
      <c r="C720" s="43" t="s">
        <v>25</v>
      </c>
      <c r="D720" s="44">
        <v>45698</v>
      </c>
      <c r="E720" s="45">
        <v>1971.6</v>
      </c>
    </row>
    <row r="721" spans="2:5">
      <c r="B721" s="43" t="s">
        <v>26</v>
      </c>
      <c r="C721" s="43" t="s">
        <v>27</v>
      </c>
      <c r="D721" s="44">
        <v>45698</v>
      </c>
      <c r="E721" s="45">
        <v>761.95</v>
      </c>
    </row>
    <row r="722" spans="2:5">
      <c r="B722" s="43" t="s">
        <v>28</v>
      </c>
      <c r="C722" s="43" t="s">
        <v>29</v>
      </c>
      <c r="D722" s="44">
        <v>45698</v>
      </c>
      <c r="E722" s="45">
        <v>608.6</v>
      </c>
    </row>
    <row r="723" spans="2:5">
      <c r="B723" s="43" t="s">
        <v>62</v>
      </c>
      <c r="C723" s="43" t="s">
        <v>63</v>
      </c>
      <c r="D723" s="44">
        <v>45698</v>
      </c>
      <c r="E723" s="45">
        <v>779</v>
      </c>
    </row>
    <row r="724" spans="2:5">
      <c r="B724" s="43" t="s">
        <v>90</v>
      </c>
      <c r="C724" s="43" t="s">
        <v>91</v>
      </c>
      <c r="D724" s="44">
        <v>45698</v>
      </c>
      <c r="E724" s="45">
        <v>1281.6</v>
      </c>
    </row>
    <row r="725" spans="2:5">
      <c r="B725" s="43" t="s">
        <v>64</v>
      </c>
      <c r="C725" s="43" t="s">
        <v>65</v>
      </c>
      <c r="D725" s="44">
        <v>45698</v>
      </c>
      <c r="E725" s="45">
        <v>240</v>
      </c>
    </row>
    <row r="726" spans="2:5">
      <c r="B726" s="43" t="s">
        <v>164</v>
      </c>
      <c r="C726" s="43" t="s">
        <v>165</v>
      </c>
      <c r="D726" s="44">
        <v>45698</v>
      </c>
      <c r="E726" s="45">
        <v>101.7</v>
      </c>
    </row>
    <row r="727" spans="2:5">
      <c r="B727" s="43" t="s">
        <v>106</v>
      </c>
      <c r="C727" s="43" t="s">
        <v>107</v>
      </c>
      <c r="D727" s="44">
        <v>45698</v>
      </c>
      <c r="E727" s="45">
        <v>77</v>
      </c>
    </row>
    <row r="728" spans="2:5">
      <c r="B728" s="43" t="s">
        <v>96</v>
      </c>
      <c r="C728" s="43" t="s">
        <v>97</v>
      </c>
      <c r="D728" s="44">
        <v>45698</v>
      </c>
      <c r="E728" s="45">
        <v>1</v>
      </c>
    </row>
    <row r="729" spans="2:5">
      <c r="B729" s="43" t="s">
        <v>32</v>
      </c>
      <c r="C729" s="43" t="s">
        <v>33</v>
      </c>
      <c r="D729" s="44">
        <v>45698</v>
      </c>
      <c r="E729" s="45">
        <v>1</v>
      </c>
    </row>
    <row r="730" spans="2:5">
      <c r="B730" s="43" t="s">
        <v>160</v>
      </c>
      <c r="C730" s="43" t="s">
        <v>161</v>
      </c>
      <c r="D730" s="44">
        <v>45698</v>
      </c>
      <c r="E730" s="45">
        <v>2</v>
      </c>
    </row>
    <row r="731" spans="2:5">
      <c r="B731" s="43" t="s">
        <v>34</v>
      </c>
      <c r="C731" s="43" t="s">
        <v>35</v>
      </c>
      <c r="D731" s="44">
        <v>45698</v>
      </c>
      <c r="E731" s="45">
        <v>16</v>
      </c>
    </row>
    <row r="732" spans="2:5">
      <c r="B732" s="43" t="s">
        <v>4</v>
      </c>
      <c r="C732" s="43" t="s">
        <v>5</v>
      </c>
      <c r="D732" s="44">
        <v>45699</v>
      </c>
      <c r="E732" s="45">
        <v>67</v>
      </c>
    </row>
    <row r="733" spans="2:5">
      <c r="B733" s="43" t="s">
        <v>6</v>
      </c>
      <c r="C733" s="43" t="s">
        <v>7</v>
      </c>
      <c r="D733" s="44">
        <v>45699</v>
      </c>
      <c r="E733" s="45">
        <v>19.65</v>
      </c>
    </row>
    <row r="734" spans="2:5">
      <c r="B734" s="43" t="s">
        <v>156</v>
      </c>
      <c r="C734" s="43" t="s">
        <v>157</v>
      </c>
      <c r="D734" s="44">
        <v>45699</v>
      </c>
      <c r="E734" s="45">
        <v>234</v>
      </c>
    </row>
    <row r="735" spans="2:5">
      <c r="B735" s="43" t="s">
        <v>8</v>
      </c>
      <c r="C735" s="43" t="s">
        <v>9</v>
      </c>
      <c r="D735" s="44">
        <v>45699</v>
      </c>
      <c r="E735" s="45">
        <v>52.2</v>
      </c>
    </row>
    <row r="736" spans="2:5">
      <c r="B736" s="43" t="s">
        <v>44</v>
      </c>
      <c r="C736" s="43" t="s">
        <v>45</v>
      </c>
      <c r="D736" s="44">
        <v>45699</v>
      </c>
      <c r="E736" s="45">
        <v>17</v>
      </c>
    </row>
    <row r="737" spans="2:5">
      <c r="B737" s="43" t="s">
        <v>72</v>
      </c>
      <c r="C737" s="43" t="s">
        <v>73</v>
      </c>
      <c r="D737" s="44">
        <v>45699</v>
      </c>
      <c r="E737" s="45">
        <v>153</v>
      </c>
    </row>
    <row r="738" spans="2:5">
      <c r="B738" s="43" t="s">
        <v>46</v>
      </c>
      <c r="C738" s="43" t="s">
        <v>47</v>
      </c>
      <c r="D738" s="44">
        <v>45699</v>
      </c>
      <c r="E738" s="45">
        <v>1118.7</v>
      </c>
    </row>
    <row r="739" spans="2:5">
      <c r="B739" s="43" t="s">
        <v>10</v>
      </c>
      <c r="C739" s="43" t="s">
        <v>11</v>
      </c>
      <c r="D739" s="44">
        <v>45699</v>
      </c>
      <c r="E739" s="45">
        <v>44.2</v>
      </c>
    </row>
    <row r="740" spans="2:5">
      <c r="B740" s="43" t="s">
        <v>74</v>
      </c>
      <c r="C740" s="43" t="s">
        <v>75</v>
      </c>
      <c r="D740" s="44">
        <v>45699</v>
      </c>
      <c r="E740" s="45">
        <v>186.75</v>
      </c>
    </row>
    <row r="741" spans="2:5">
      <c r="B741" s="43" t="s">
        <v>12</v>
      </c>
      <c r="C741" s="43" t="s">
        <v>13</v>
      </c>
      <c r="D741" s="44">
        <v>45699</v>
      </c>
      <c r="E741" s="45">
        <v>1021.2</v>
      </c>
    </row>
    <row r="742" spans="2:5">
      <c r="B742" s="43" t="s">
        <v>178</v>
      </c>
      <c r="C742" s="43" t="s">
        <v>179</v>
      </c>
      <c r="D742" s="44">
        <v>45699</v>
      </c>
      <c r="E742" s="45">
        <v>198</v>
      </c>
    </row>
    <row r="743" spans="2:5">
      <c r="B743" s="43" t="s">
        <v>134</v>
      </c>
      <c r="C743" s="43" t="s">
        <v>135</v>
      </c>
      <c r="D743" s="44">
        <v>45699</v>
      </c>
      <c r="E743" s="45">
        <v>980</v>
      </c>
    </row>
    <row r="744" spans="2:5">
      <c r="B744" s="43" t="s">
        <v>50</v>
      </c>
      <c r="C744" s="43" t="s">
        <v>51</v>
      </c>
      <c r="D744" s="44">
        <v>45699</v>
      </c>
      <c r="E744" s="45">
        <v>285.6</v>
      </c>
    </row>
    <row r="745" spans="2:5">
      <c r="B745" s="43" t="s">
        <v>114</v>
      </c>
      <c r="C745" s="43" t="s">
        <v>115</v>
      </c>
      <c r="D745" s="44">
        <v>45699</v>
      </c>
      <c r="E745" s="45">
        <v>532</v>
      </c>
    </row>
    <row r="746" spans="2:5">
      <c r="B746" s="43" t="s">
        <v>144</v>
      </c>
      <c r="C746" s="43" t="s">
        <v>145</v>
      </c>
      <c r="D746" s="44">
        <v>45699</v>
      </c>
      <c r="E746" s="45">
        <v>32.4</v>
      </c>
    </row>
    <row r="747" spans="2:5">
      <c r="B747" s="43" t="s">
        <v>54</v>
      </c>
      <c r="C747" s="43" t="s">
        <v>55</v>
      </c>
      <c r="D747" s="44">
        <v>45699</v>
      </c>
      <c r="E747" s="45">
        <v>824.6</v>
      </c>
    </row>
    <row r="748" spans="2:5">
      <c r="B748" s="43" t="s">
        <v>56</v>
      </c>
      <c r="C748" s="43" t="s">
        <v>57</v>
      </c>
      <c r="D748" s="44">
        <v>45699</v>
      </c>
      <c r="E748" s="45">
        <v>325.8</v>
      </c>
    </row>
    <row r="749" spans="2:5">
      <c r="B749" s="43" t="s">
        <v>162</v>
      </c>
      <c r="C749" s="43" t="s">
        <v>163</v>
      </c>
      <c r="D749" s="44">
        <v>45699</v>
      </c>
      <c r="E749" s="45">
        <v>161.6</v>
      </c>
    </row>
    <row r="750" spans="2:5">
      <c r="B750" s="43" t="s">
        <v>176</v>
      </c>
      <c r="C750" s="43" t="s">
        <v>177</v>
      </c>
      <c r="D750" s="44">
        <v>45699</v>
      </c>
      <c r="E750" s="45">
        <v>405</v>
      </c>
    </row>
    <row r="751" spans="2:5">
      <c r="B751" s="43" t="s">
        <v>76</v>
      </c>
      <c r="C751" s="43" t="s">
        <v>77</v>
      </c>
      <c r="D751" s="44">
        <v>45699</v>
      </c>
      <c r="E751" s="45">
        <v>441.25</v>
      </c>
    </row>
    <row r="752" spans="2:5">
      <c r="B752" s="43" t="s">
        <v>168</v>
      </c>
      <c r="C752" s="43" t="s">
        <v>169</v>
      </c>
      <c r="D752" s="44">
        <v>45699</v>
      </c>
      <c r="E752" s="45">
        <v>562.8</v>
      </c>
    </row>
    <row r="753" spans="2:5">
      <c r="B753" s="43" t="s">
        <v>180</v>
      </c>
      <c r="C753" s="43" t="s">
        <v>181</v>
      </c>
      <c r="D753" s="44">
        <v>45699</v>
      </c>
      <c r="E753" s="45">
        <v>235.2</v>
      </c>
    </row>
    <row r="754" spans="2:5">
      <c r="B754" s="43" t="s">
        <v>78</v>
      </c>
      <c r="C754" s="43" t="s">
        <v>79</v>
      </c>
      <c r="D754" s="44">
        <v>45699</v>
      </c>
      <c r="E754" s="45">
        <v>88.5</v>
      </c>
    </row>
    <row r="755" spans="2:5">
      <c r="B755" s="43" t="s">
        <v>20</v>
      </c>
      <c r="C755" s="43" t="s">
        <v>21</v>
      </c>
      <c r="D755" s="44">
        <v>45699</v>
      </c>
      <c r="E755" s="45">
        <v>147</v>
      </c>
    </row>
    <row r="756" spans="2:5">
      <c r="B756" s="43" t="s">
        <v>22</v>
      </c>
      <c r="C756" s="43" t="s">
        <v>23</v>
      </c>
      <c r="D756" s="44">
        <v>45699</v>
      </c>
      <c r="E756" s="45">
        <v>211.2</v>
      </c>
    </row>
    <row r="757" spans="2:5">
      <c r="B757" s="43" t="s">
        <v>140</v>
      </c>
      <c r="C757" s="43" t="s">
        <v>141</v>
      </c>
      <c r="D757" s="44">
        <v>45699</v>
      </c>
      <c r="E757" s="45">
        <v>208.8</v>
      </c>
    </row>
    <row r="758" spans="2:5">
      <c r="B758" s="43" t="s">
        <v>24</v>
      </c>
      <c r="C758" s="43" t="s">
        <v>25</v>
      </c>
      <c r="D758" s="44">
        <v>45699</v>
      </c>
      <c r="E758" s="45">
        <v>3450.3</v>
      </c>
    </row>
    <row r="759" spans="2:5">
      <c r="B759" s="43" t="s">
        <v>58</v>
      </c>
      <c r="C759" s="43" t="s">
        <v>59</v>
      </c>
      <c r="D759" s="44">
        <v>45699</v>
      </c>
      <c r="E759" s="45">
        <v>371.7</v>
      </c>
    </row>
    <row r="760" spans="2:5">
      <c r="B760" s="43" t="s">
        <v>26</v>
      </c>
      <c r="C760" s="43" t="s">
        <v>27</v>
      </c>
      <c r="D760" s="44">
        <v>45699</v>
      </c>
      <c r="E760" s="45">
        <v>1819.35</v>
      </c>
    </row>
    <row r="761" spans="2:5">
      <c r="B761" s="43" t="s">
        <v>110</v>
      </c>
      <c r="C761" s="43" t="s">
        <v>111</v>
      </c>
      <c r="D761" s="44">
        <v>45699</v>
      </c>
      <c r="E761" s="45">
        <v>132</v>
      </c>
    </row>
    <row r="762" spans="2:5">
      <c r="B762" s="43" t="s">
        <v>62</v>
      </c>
      <c r="C762" s="43" t="s">
        <v>63</v>
      </c>
      <c r="D762" s="44">
        <v>45699</v>
      </c>
      <c r="E762" s="45">
        <v>1107</v>
      </c>
    </row>
    <row r="763" spans="2:5">
      <c r="B763" s="43" t="s">
        <v>148</v>
      </c>
      <c r="C763" s="43" t="s">
        <v>149</v>
      </c>
      <c r="D763" s="44">
        <v>45699</v>
      </c>
      <c r="E763" s="45">
        <v>366.4</v>
      </c>
    </row>
    <row r="764" spans="2:5">
      <c r="B764" s="43" t="s">
        <v>64</v>
      </c>
      <c r="C764" s="43" t="s">
        <v>65</v>
      </c>
      <c r="D764" s="44">
        <v>45699</v>
      </c>
      <c r="E764" s="45">
        <v>2260.00002</v>
      </c>
    </row>
    <row r="765" spans="2:5">
      <c r="B765" s="43" t="s">
        <v>166</v>
      </c>
      <c r="C765" s="43" t="s">
        <v>167</v>
      </c>
      <c r="D765" s="44">
        <v>45699</v>
      </c>
      <c r="E765" s="45">
        <v>1677</v>
      </c>
    </row>
    <row r="766" spans="2:5">
      <c r="B766" s="43" t="s">
        <v>92</v>
      </c>
      <c r="C766" s="43" t="s">
        <v>93</v>
      </c>
      <c r="D766" s="44">
        <v>45699</v>
      </c>
      <c r="E766" s="45">
        <v>252.7</v>
      </c>
    </row>
    <row r="767" spans="2:5">
      <c r="B767" s="43" t="s">
        <v>30</v>
      </c>
      <c r="C767" s="43" t="s">
        <v>31</v>
      </c>
      <c r="D767" s="44">
        <v>45699</v>
      </c>
      <c r="E767" s="45">
        <v>5</v>
      </c>
    </row>
    <row r="768" spans="2:5">
      <c r="B768" s="43" t="s">
        <v>96</v>
      </c>
      <c r="C768" s="43" t="s">
        <v>97</v>
      </c>
      <c r="D768" s="44">
        <v>45699</v>
      </c>
      <c r="E768" s="45">
        <v>59</v>
      </c>
    </row>
    <row r="769" spans="2:5">
      <c r="B769" s="43" t="s">
        <v>32</v>
      </c>
      <c r="C769" s="43" t="s">
        <v>33</v>
      </c>
      <c r="D769" s="44">
        <v>45699</v>
      </c>
      <c r="E769" s="45">
        <v>40</v>
      </c>
    </row>
    <row r="770" spans="2:5">
      <c r="B770" s="43" t="s">
        <v>34</v>
      </c>
      <c r="C770" s="43" t="s">
        <v>35</v>
      </c>
      <c r="D770" s="44">
        <v>45699</v>
      </c>
      <c r="E770" s="45">
        <v>9</v>
      </c>
    </row>
    <row r="771" spans="2:5">
      <c r="B771" s="43" t="s">
        <v>38</v>
      </c>
      <c r="C771" s="43" t="s">
        <v>39</v>
      </c>
      <c r="D771" s="44">
        <v>45699</v>
      </c>
      <c r="E771" s="45">
        <v>60</v>
      </c>
    </row>
    <row r="772" spans="2:5">
      <c r="B772" s="43" t="s">
        <v>4</v>
      </c>
      <c r="C772" s="43" t="s">
        <v>5</v>
      </c>
      <c r="D772" s="44">
        <v>45700</v>
      </c>
      <c r="E772" s="45">
        <v>20.1</v>
      </c>
    </row>
    <row r="773" spans="2:5">
      <c r="B773" s="43" t="s">
        <v>156</v>
      </c>
      <c r="C773" s="43" t="s">
        <v>157</v>
      </c>
      <c r="D773" s="44">
        <v>45700</v>
      </c>
      <c r="E773" s="45">
        <v>23.4</v>
      </c>
    </row>
    <row r="774" spans="2:5">
      <c r="B774" s="43" t="s">
        <v>8</v>
      </c>
      <c r="C774" s="43" t="s">
        <v>9</v>
      </c>
      <c r="D774" s="44">
        <v>45700</v>
      </c>
      <c r="E774" s="45">
        <v>78.3</v>
      </c>
    </row>
    <row r="775" spans="2:5">
      <c r="B775" s="43" t="s">
        <v>44</v>
      </c>
      <c r="C775" s="43" t="s">
        <v>45</v>
      </c>
      <c r="D775" s="44">
        <v>45700</v>
      </c>
      <c r="E775" s="45">
        <v>8.5</v>
      </c>
    </row>
    <row r="776" spans="2:5">
      <c r="B776" s="43" t="s">
        <v>46</v>
      </c>
      <c r="C776" s="43" t="s">
        <v>47</v>
      </c>
      <c r="D776" s="44">
        <v>45700</v>
      </c>
      <c r="E776" s="45">
        <v>22.6</v>
      </c>
    </row>
    <row r="777" spans="2:5">
      <c r="B777" s="43" t="s">
        <v>74</v>
      </c>
      <c r="C777" s="43" t="s">
        <v>75</v>
      </c>
      <c r="D777" s="44">
        <v>45700</v>
      </c>
      <c r="E777" s="45">
        <v>49.8</v>
      </c>
    </row>
    <row r="778" spans="2:5">
      <c r="B778" s="43" t="s">
        <v>12</v>
      </c>
      <c r="C778" s="43" t="s">
        <v>13</v>
      </c>
      <c r="D778" s="44">
        <v>45700</v>
      </c>
      <c r="E778" s="45">
        <v>55.2</v>
      </c>
    </row>
    <row r="779" spans="2:5">
      <c r="B779" s="43" t="s">
        <v>48</v>
      </c>
      <c r="C779" s="43" t="s">
        <v>49</v>
      </c>
      <c r="D779" s="44">
        <v>45700</v>
      </c>
      <c r="E779" s="45">
        <v>152</v>
      </c>
    </row>
    <row r="780" spans="2:5">
      <c r="B780" s="43" t="s">
        <v>50</v>
      </c>
      <c r="C780" s="43" t="s">
        <v>51</v>
      </c>
      <c r="D780" s="44">
        <v>45700</v>
      </c>
      <c r="E780" s="45">
        <v>353.6</v>
      </c>
    </row>
    <row r="781" spans="2:5">
      <c r="B781" s="43" t="s">
        <v>126</v>
      </c>
      <c r="C781" s="43" t="s">
        <v>127</v>
      </c>
      <c r="D781" s="44">
        <v>45700</v>
      </c>
      <c r="E781" s="45">
        <v>377.6</v>
      </c>
    </row>
    <row r="782" spans="2:5">
      <c r="B782" s="43" t="s">
        <v>176</v>
      </c>
      <c r="C782" s="43" t="s">
        <v>177</v>
      </c>
      <c r="D782" s="44">
        <v>45700</v>
      </c>
      <c r="E782" s="45">
        <v>202.5</v>
      </c>
    </row>
    <row r="783" spans="2:5">
      <c r="B783" s="43" t="s">
        <v>152</v>
      </c>
      <c r="C783" s="43" t="s">
        <v>153</v>
      </c>
      <c r="D783" s="44">
        <v>45700</v>
      </c>
      <c r="E783" s="45">
        <v>139.5</v>
      </c>
    </row>
    <row r="784" spans="2:5">
      <c r="B784" s="43" t="s">
        <v>168</v>
      </c>
      <c r="C784" s="43" t="s">
        <v>169</v>
      </c>
      <c r="D784" s="44">
        <v>45700</v>
      </c>
      <c r="E784" s="45">
        <v>20.1</v>
      </c>
    </row>
    <row r="785" spans="2:5">
      <c r="B785" s="43" t="s">
        <v>130</v>
      </c>
      <c r="C785" s="43" t="s">
        <v>131</v>
      </c>
      <c r="D785" s="44">
        <v>45700</v>
      </c>
      <c r="E785" s="45">
        <v>103.4</v>
      </c>
    </row>
    <row r="786" spans="2:5">
      <c r="B786" s="43" t="s">
        <v>20</v>
      </c>
      <c r="C786" s="43" t="s">
        <v>21</v>
      </c>
      <c r="D786" s="44">
        <v>45700</v>
      </c>
      <c r="E786" s="45">
        <v>274.4</v>
      </c>
    </row>
    <row r="787" spans="2:5">
      <c r="B787" s="43" t="s">
        <v>22</v>
      </c>
      <c r="C787" s="43" t="s">
        <v>23</v>
      </c>
      <c r="D787" s="44">
        <v>45700</v>
      </c>
      <c r="E787" s="45">
        <v>9.6</v>
      </c>
    </row>
    <row r="788" spans="2:5">
      <c r="B788" s="43" t="s">
        <v>24</v>
      </c>
      <c r="C788" s="43" t="s">
        <v>25</v>
      </c>
      <c r="D788" s="44">
        <v>45700</v>
      </c>
      <c r="E788" s="45">
        <v>3688.8</v>
      </c>
    </row>
    <row r="789" spans="2:5">
      <c r="B789" s="43" t="s">
        <v>26</v>
      </c>
      <c r="C789" s="43" t="s">
        <v>27</v>
      </c>
      <c r="D789" s="44">
        <v>45700</v>
      </c>
      <c r="E789" s="45">
        <v>1710.5</v>
      </c>
    </row>
    <row r="790" spans="2:5">
      <c r="B790" s="43" t="s">
        <v>148</v>
      </c>
      <c r="C790" s="43" t="s">
        <v>149</v>
      </c>
      <c r="D790" s="44">
        <v>45700</v>
      </c>
      <c r="E790" s="45">
        <v>687</v>
      </c>
    </row>
    <row r="791" spans="2:5">
      <c r="B791" s="43" t="s">
        <v>84</v>
      </c>
      <c r="C791" s="43" t="s">
        <v>85</v>
      </c>
      <c r="D791" s="44">
        <v>45700</v>
      </c>
      <c r="E791" s="45">
        <v>49.9</v>
      </c>
    </row>
    <row r="792" spans="2:5">
      <c r="B792" s="43" t="s">
        <v>142</v>
      </c>
      <c r="C792" s="43" t="s">
        <v>143</v>
      </c>
      <c r="D792" s="44">
        <v>45700</v>
      </c>
      <c r="E792" s="45">
        <v>1</v>
      </c>
    </row>
    <row r="793" spans="2:5">
      <c r="B793" s="43" t="s">
        <v>30</v>
      </c>
      <c r="C793" s="43" t="s">
        <v>31</v>
      </c>
      <c r="D793" s="44">
        <v>45700</v>
      </c>
      <c r="E793" s="45">
        <v>2</v>
      </c>
    </row>
    <row r="794" spans="2:5">
      <c r="B794" s="43" t="s">
        <v>96</v>
      </c>
      <c r="C794" s="43" t="s">
        <v>97</v>
      </c>
      <c r="D794" s="44">
        <v>45700</v>
      </c>
      <c r="E794" s="45">
        <v>378</v>
      </c>
    </row>
    <row r="795" spans="2:5">
      <c r="B795" s="43" t="s">
        <v>32</v>
      </c>
      <c r="C795" s="43" t="s">
        <v>33</v>
      </c>
      <c r="D795" s="44">
        <v>45700</v>
      </c>
      <c r="E795" s="45">
        <v>6</v>
      </c>
    </row>
    <row r="796" spans="2:5">
      <c r="B796" s="43" t="s">
        <v>98</v>
      </c>
      <c r="C796" s="43" t="s">
        <v>99</v>
      </c>
      <c r="D796" s="44">
        <v>45700</v>
      </c>
      <c r="E796" s="45">
        <v>3</v>
      </c>
    </row>
    <row r="797" spans="2:5">
      <c r="B797" s="43" t="s">
        <v>34</v>
      </c>
      <c r="C797" s="43" t="s">
        <v>35</v>
      </c>
      <c r="D797" s="44">
        <v>45700</v>
      </c>
      <c r="E797" s="45">
        <v>2</v>
      </c>
    </row>
    <row r="798" spans="2:5">
      <c r="B798" s="43" t="s">
        <v>38</v>
      </c>
      <c r="C798" s="43" t="s">
        <v>39</v>
      </c>
      <c r="D798" s="44">
        <v>45700</v>
      </c>
      <c r="E798" s="45">
        <v>2</v>
      </c>
    </row>
    <row r="799" spans="2:5">
      <c r="B799" s="43" t="s">
        <v>42</v>
      </c>
      <c r="C799" s="43" t="s">
        <v>43</v>
      </c>
      <c r="D799" s="44">
        <v>45701</v>
      </c>
      <c r="E799" s="45">
        <v>72.6</v>
      </c>
    </row>
    <row r="800" spans="2:5">
      <c r="B800" s="43" t="s">
        <v>156</v>
      </c>
      <c r="C800" s="43" t="s">
        <v>157</v>
      </c>
      <c r="D800" s="44">
        <v>45701</v>
      </c>
      <c r="E800" s="45">
        <v>163.8</v>
      </c>
    </row>
    <row r="801" spans="2:5">
      <c r="B801" s="43" t="s">
        <v>8</v>
      </c>
      <c r="C801" s="43" t="s">
        <v>9</v>
      </c>
      <c r="D801" s="44">
        <v>45701</v>
      </c>
      <c r="E801" s="45">
        <v>26.1</v>
      </c>
    </row>
    <row r="802" spans="2:5">
      <c r="B802" s="43" t="s">
        <v>44</v>
      </c>
      <c r="C802" s="43" t="s">
        <v>45</v>
      </c>
      <c r="D802" s="44">
        <v>45701</v>
      </c>
      <c r="E802" s="45">
        <v>110.5</v>
      </c>
    </row>
    <row r="803" spans="2:5">
      <c r="B803" s="43" t="s">
        <v>72</v>
      </c>
      <c r="C803" s="43" t="s">
        <v>73</v>
      </c>
      <c r="D803" s="44">
        <v>45701</v>
      </c>
      <c r="E803" s="45">
        <v>428.4</v>
      </c>
    </row>
    <row r="804" spans="2:5">
      <c r="B804" s="43" t="s">
        <v>46</v>
      </c>
      <c r="C804" s="43" t="s">
        <v>47</v>
      </c>
      <c r="D804" s="44">
        <v>45701</v>
      </c>
      <c r="E804" s="45">
        <v>33.9</v>
      </c>
    </row>
    <row r="805" spans="2:5">
      <c r="B805" s="43" t="s">
        <v>10</v>
      </c>
      <c r="C805" s="43" t="s">
        <v>11</v>
      </c>
      <c r="D805" s="44">
        <v>45701</v>
      </c>
      <c r="E805" s="45">
        <v>55.25</v>
      </c>
    </row>
    <row r="806" spans="2:5">
      <c r="B806" s="43" t="s">
        <v>74</v>
      </c>
      <c r="C806" s="43" t="s">
        <v>75</v>
      </c>
      <c r="D806" s="44">
        <v>45701</v>
      </c>
      <c r="E806" s="45">
        <v>174.3</v>
      </c>
    </row>
    <row r="807" spans="2:5">
      <c r="B807" s="43" t="s">
        <v>48</v>
      </c>
      <c r="C807" s="43" t="s">
        <v>49</v>
      </c>
      <c r="D807" s="44">
        <v>45701</v>
      </c>
      <c r="E807" s="45">
        <v>60.8</v>
      </c>
    </row>
    <row r="808" spans="2:5">
      <c r="B808" s="43" t="s">
        <v>14</v>
      </c>
      <c r="C808" s="43" t="s">
        <v>15</v>
      </c>
      <c r="D808" s="44">
        <v>45701</v>
      </c>
      <c r="E808" s="45">
        <v>121.5</v>
      </c>
    </row>
    <row r="809" spans="2:5">
      <c r="B809" s="43" t="s">
        <v>50</v>
      </c>
      <c r="C809" s="43" t="s">
        <v>51</v>
      </c>
      <c r="D809" s="44">
        <v>45701</v>
      </c>
      <c r="E809" s="45">
        <v>68</v>
      </c>
    </row>
    <row r="810" spans="2:5">
      <c r="B810" s="43" t="s">
        <v>182</v>
      </c>
      <c r="C810" s="43" t="s">
        <v>183</v>
      </c>
      <c r="D810" s="44">
        <v>45701</v>
      </c>
      <c r="E810" s="45">
        <v>63.3</v>
      </c>
    </row>
    <row r="811" spans="2:5">
      <c r="B811" s="43" t="s">
        <v>138</v>
      </c>
      <c r="C811" s="43" t="s">
        <v>139</v>
      </c>
      <c r="D811" s="44">
        <v>45701</v>
      </c>
      <c r="E811" s="45">
        <v>158.5</v>
      </c>
    </row>
    <row r="812" spans="2:5">
      <c r="B812" s="43" t="s">
        <v>176</v>
      </c>
      <c r="C812" s="43" t="s">
        <v>177</v>
      </c>
      <c r="D812" s="44">
        <v>45701</v>
      </c>
      <c r="E812" s="45">
        <v>40.5</v>
      </c>
    </row>
    <row r="813" spans="2:5">
      <c r="B813" s="43" t="s">
        <v>168</v>
      </c>
      <c r="C813" s="43" t="s">
        <v>169</v>
      </c>
      <c r="D813" s="44">
        <v>45701</v>
      </c>
      <c r="E813" s="45">
        <v>40.2</v>
      </c>
    </row>
    <row r="814" spans="2:5">
      <c r="B814" s="43" t="s">
        <v>18</v>
      </c>
      <c r="C814" s="43" t="s">
        <v>19</v>
      </c>
      <c r="D814" s="44">
        <v>45701</v>
      </c>
      <c r="E814" s="45">
        <v>267</v>
      </c>
    </row>
    <row r="815" spans="2:5">
      <c r="B815" s="43" t="s">
        <v>20</v>
      </c>
      <c r="C815" s="43" t="s">
        <v>21</v>
      </c>
      <c r="D815" s="44">
        <v>45701</v>
      </c>
      <c r="E815" s="45">
        <v>9.8</v>
      </c>
    </row>
    <row r="816" spans="2:5">
      <c r="B816" s="43" t="s">
        <v>22</v>
      </c>
      <c r="C816" s="43" t="s">
        <v>23</v>
      </c>
      <c r="D816" s="44">
        <v>45701</v>
      </c>
      <c r="E816" s="45">
        <v>528</v>
      </c>
    </row>
    <row r="817" spans="2:5">
      <c r="B817" s="43" t="s">
        <v>80</v>
      </c>
      <c r="C817" s="43" t="s">
        <v>81</v>
      </c>
      <c r="D817" s="44">
        <v>45701</v>
      </c>
      <c r="E817" s="45">
        <v>401.8</v>
      </c>
    </row>
    <row r="818" spans="2:5">
      <c r="B818" s="43" t="s">
        <v>24</v>
      </c>
      <c r="C818" s="43" t="s">
        <v>25</v>
      </c>
      <c r="D818" s="44">
        <v>45701</v>
      </c>
      <c r="E818" s="45">
        <v>1272</v>
      </c>
    </row>
    <row r="819" spans="2:5">
      <c r="B819" s="43" t="s">
        <v>26</v>
      </c>
      <c r="C819" s="43" t="s">
        <v>27</v>
      </c>
      <c r="D819" s="44">
        <v>45701</v>
      </c>
      <c r="E819" s="45">
        <v>4369.55</v>
      </c>
    </row>
    <row r="820" spans="2:5">
      <c r="B820" s="43" t="s">
        <v>28</v>
      </c>
      <c r="C820" s="43" t="s">
        <v>29</v>
      </c>
      <c r="D820" s="44">
        <v>45701</v>
      </c>
      <c r="E820" s="45">
        <v>1342.5</v>
      </c>
    </row>
    <row r="821" spans="2:5">
      <c r="B821" s="43" t="s">
        <v>82</v>
      </c>
      <c r="C821" s="43" t="s">
        <v>83</v>
      </c>
      <c r="D821" s="44">
        <v>45701</v>
      </c>
      <c r="E821" s="45">
        <v>479.7</v>
      </c>
    </row>
    <row r="822" spans="2:5">
      <c r="B822" s="43" t="s">
        <v>62</v>
      </c>
      <c r="C822" s="43" t="s">
        <v>63</v>
      </c>
      <c r="D822" s="44">
        <v>45701</v>
      </c>
      <c r="E822" s="45">
        <v>184.5</v>
      </c>
    </row>
    <row r="823" spans="2:5">
      <c r="B823" s="43" t="s">
        <v>64</v>
      </c>
      <c r="C823" s="43" t="s">
        <v>65</v>
      </c>
      <c r="D823" s="44">
        <v>45701</v>
      </c>
      <c r="E823" s="45">
        <v>320</v>
      </c>
    </row>
    <row r="824" spans="2:5">
      <c r="B824" s="43" t="s">
        <v>132</v>
      </c>
      <c r="C824" s="43" t="s">
        <v>133</v>
      </c>
      <c r="D824" s="44">
        <v>45701</v>
      </c>
      <c r="E824" s="45">
        <v>432.6</v>
      </c>
    </row>
    <row r="825" spans="2:5">
      <c r="B825" s="43" t="s">
        <v>124</v>
      </c>
      <c r="C825" s="43" t="s">
        <v>125</v>
      </c>
      <c r="D825" s="44">
        <v>45701</v>
      </c>
      <c r="E825" s="45">
        <v>80.6</v>
      </c>
    </row>
    <row r="826" spans="2:5">
      <c r="B826" s="43" t="s">
        <v>30</v>
      </c>
      <c r="C826" s="43" t="s">
        <v>31</v>
      </c>
      <c r="D826" s="44">
        <v>45701</v>
      </c>
      <c r="E826" s="45">
        <v>14</v>
      </c>
    </row>
    <row r="827" spans="2:5">
      <c r="B827" s="43" t="s">
        <v>96</v>
      </c>
      <c r="C827" s="43" t="s">
        <v>97</v>
      </c>
      <c r="D827" s="44">
        <v>45701</v>
      </c>
      <c r="E827" s="45">
        <v>11</v>
      </c>
    </row>
    <row r="828" spans="2:5">
      <c r="B828" s="43" t="s">
        <v>32</v>
      </c>
      <c r="C828" s="43" t="s">
        <v>33</v>
      </c>
      <c r="D828" s="44">
        <v>45701</v>
      </c>
      <c r="E828" s="45">
        <v>25</v>
      </c>
    </row>
    <row r="829" spans="2:5">
      <c r="B829" s="43" t="s">
        <v>98</v>
      </c>
      <c r="C829" s="43" t="s">
        <v>99</v>
      </c>
      <c r="D829" s="44">
        <v>45701</v>
      </c>
      <c r="E829" s="45">
        <v>8</v>
      </c>
    </row>
    <row r="830" spans="2:5">
      <c r="B830" s="43" t="s">
        <v>34</v>
      </c>
      <c r="C830" s="43" t="s">
        <v>35</v>
      </c>
      <c r="D830" s="44">
        <v>45701</v>
      </c>
      <c r="E830" s="45">
        <v>4</v>
      </c>
    </row>
    <row r="831" spans="2:5">
      <c r="B831" s="43" t="s">
        <v>36</v>
      </c>
      <c r="C831" s="43" t="s">
        <v>37</v>
      </c>
      <c r="D831" s="44">
        <v>45701</v>
      </c>
      <c r="E831" s="45">
        <v>23</v>
      </c>
    </row>
    <row r="832" spans="2:5">
      <c r="B832" s="43" t="s">
        <v>156</v>
      </c>
      <c r="C832" s="43" t="s">
        <v>157</v>
      </c>
      <c r="D832" s="44">
        <v>45702</v>
      </c>
      <c r="E832" s="45">
        <v>46.8</v>
      </c>
    </row>
    <row r="833" spans="2:5">
      <c r="B833" s="43" t="s">
        <v>8</v>
      </c>
      <c r="C833" s="43" t="s">
        <v>9</v>
      </c>
      <c r="D833" s="44">
        <v>45702</v>
      </c>
      <c r="E833" s="45">
        <v>17.4</v>
      </c>
    </row>
    <row r="834" spans="2:5">
      <c r="B834" s="43" t="s">
        <v>46</v>
      </c>
      <c r="C834" s="43" t="s">
        <v>47</v>
      </c>
      <c r="D834" s="44">
        <v>45702</v>
      </c>
      <c r="E834" s="45">
        <v>293.8</v>
      </c>
    </row>
    <row r="835" spans="2:5">
      <c r="B835" s="43" t="s">
        <v>10</v>
      </c>
      <c r="C835" s="43" t="s">
        <v>11</v>
      </c>
      <c r="D835" s="44">
        <v>45702</v>
      </c>
      <c r="E835" s="45">
        <v>11.05</v>
      </c>
    </row>
    <row r="836" spans="2:5">
      <c r="B836" s="43" t="s">
        <v>12</v>
      </c>
      <c r="C836" s="43" t="s">
        <v>13</v>
      </c>
      <c r="D836" s="44">
        <v>45702</v>
      </c>
      <c r="E836" s="45">
        <v>386.4</v>
      </c>
    </row>
    <row r="837" spans="2:5">
      <c r="B837" s="43" t="s">
        <v>50</v>
      </c>
      <c r="C837" s="43" t="s">
        <v>51</v>
      </c>
      <c r="D837" s="44">
        <v>45702</v>
      </c>
      <c r="E837" s="45">
        <v>544</v>
      </c>
    </row>
    <row r="838" spans="2:5">
      <c r="B838" s="43" t="s">
        <v>54</v>
      </c>
      <c r="C838" s="43" t="s">
        <v>55</v>
      </c>
      <c r="D838" s="44">
        <v>45702</v>
      </c>
      <c r="E838" s="45">
        <v>186.2</v>
      </c>
    </row>
    <row r="839" spans="2:5">
      <c r="B839" s="43" t="s">
        <v>116</v>
      </c>
      <c r="C839" s="43" t="s">
        <v>117</v>
      </c>
      <c r="D839" s="44">
        <v>45702</v>
      </c>
      <c r="E839" s="45">
        <v>456.4</v>
      </c>
    </row>
    <row r="840" spans="2:5">
      <c r="B840" s="43" t="s">
        <v>56</v>
      </c>
      <c r="C840" s="43" t="s">
        <v>57</v>
      </c>
      <c r="D840" s="44">
        <v>45702</v>
      </c>
      <c r="E840" s="45">
        <v>217.2</v>
      </c>
    </row>
    <row r="841" spans="2:5">
      <c r="B841" s="43" t="s">
        <v>80</v>
      </c>
      <c r="C841" s="43" t="s">
        <v>81</v>
      </c>
      <c r="D841" s="44">
        <v>45702</v>
      </c>
      <c r="E841" s="45">
        <v>28.7</v>
      </c>
    </row>
    <row r="842" spans="2:5">
      <c r="B842" s="43" t="s">
        <v>24</v>
      </c>
      <c r="C842" s="43" t="s">
        <v>25</v>
      </c>
      <c r="D842" s="44">
        <v>45702</v>
      </c>
      <c r="E842" s="45">
        <v>858.6</v>
      </c>
    </row>
    <row r="843" spans="2:5">
      <c r="B843" s="43" t="s">
        <v>26</v>
      </c>
      <c r="C843" s="43" t="s">
        <v>27</v>
      </c>
      <c r="D843" s="44">
        <v>45702</v>
      </c>
      <c r="E843" s="45">
        <v>1757.15</v>
      </c>
    </row>
    <row r="844" spans="2:5">
      <c r="B844" s="43" t="s">
        <v>184</v>
      </c>
      <c r="C844" s="43" t="s">
        <v>185</v>
      </c>
      <c r="D844" s="44">
        <v>45702</v>
      </c>
      <c r="E844" s="45">
        <v>497.7</v>
      </c>
    </row>
    <row r="845" spans="2:5">
      <c r="B845" s="43" t="s">
        <v>62</v>
      </c>
      <c r="C845" s="43" t="s">
        <v>63</v>
      </c>
      <c r="D845" s="44">
        <v>45702</v>
      </c>
      <c r="E845" s="45">
        <v>2070.5</v>
      </c>
    </row>
    <row r="846" spans="2:5">
      <c r="B846" s="43" t="s">
        <v>164</v>
      </c>
      <c r="C846" s="43" t="s">
        <v>165</v>
      </c>
      <c r="D846" s="44">
        <v>45702</v>
      </c>
      <c r="E846" s="45">
        <v>203.4</v>
      </c>
    </row>
    <row r="847" spans="2:5">
      <c r="B847" s="43" t="s">
        <v>186</v>
      </c>
      <c r="C847" s="43" t="s">
        <v>187</v>
      </c>
      <c r="D847" s="44">
        <v>45702</v>
      </c>
      <c r="E847" s="45">
        <v>732.6</v>
      </c>
    </row>
    <row r="848" spans="2:5">
      <c r="B848" s="43" t="s">
        <v>96</v>
      </c>
      <c r="C848" s="43" t="s">
        <v>97</v>
      </c>
      <c r="D848" s="44">
        <v>45702</v>
      </c>
      <c r="E848" s="45">
        <v>20</v>
      </c>
    </row>
    <row r="849" spans="2:5">
      <c r="B849" s="43" t="s">
        <v>32</v>
      </c>
      <c r="C849" s="43" t="s">
        <v>33</v>
      </c>
      <c r="D849" s="44">
        <v>45702</v>
      </c>
      <c r="E849" s="45">
        <v>2</v>
      </c>
    </row>
    <row r="850" spans="2:5">
      <c r="B850" s="43" t="s">
        <v>34</v>
      </c>
      <c r="C850" s="43" t="s">
        <v>35</v>
      </c>
      <c r="D850" s="44">
        <v>45702</v>
      </c>
      <c r="E850" s="45">
        <v>1</v>
      </c>
    </row>
    <row r="851" spans="2:5">
      <c r="B851" s="43" t="s">
        <v>8</v>
      </c>
      <c r="C851" s="43" t="s">
        <v>9</v>
      </c>
      <c r="D851" s="44">
        <v>45703</v>
      </c>
      <c r="E851" s="45">
        <v>26.1</v>
      </c>
    </row>
    <row r="852" spans="2:5">
      <c r="B852" s="43" t="s">
        <v>46</v>
      </c>
      <c r="C852" s="43" t="s">
        <v>47</v>
      </c>
      <c r="D852" s="44">
        <v>45703</v>
      </c>
      <c r="E852" s="45">
        <v>56.5</v>
      </c>
    </row>
    <row r="853" spans="2:5">
      <c r="B853" s="43" t="s">
        <v>10</v>
      </c>
      <c r="C853" s="43" t="s">
        <v>11</v>
      </c>
      <c r="D853" s="44">
        <v>45703</v>
      </c>
      <c r="E853" s="45">
        <v>519.35</v>
      </c>
    </row>
    <row r="854" spans="2:5">
      <c r="B854" s="43" t="s">
        <v>12</v>
      </c>
      <c r="C854" s="43" t="s">
        <v>13</v>
      </c>
      <c r="D854" s="44">
        <v>45703</v>
      </c>
      <c r="E854" s="45">
        <v>55.2</v>
      </c>
    </row>
    <row r="855" spans="2:5">
      <c r="B855" s="43" t="s">
        <v>14</v>
      </c>
      <c r="C855" s="43" t="s">
        <v>15</v>
      </c>
      <c r="D855" s="44">
        <v>45703</v>
      </c>
      <c r="E855" s="45">
        <v>67.5</v>
      </c>
    </row>
    <row r="856" spans="2:5">
      <c r="B856" s="43" t="s">
        <v>134</v>
      </c>
      <c r="C856" s="43" t="s">
        <v>135</v>
      </c>
      <c r="D856" s="44">
        <v>45703</v>
      </c>
      <c r="E856" s="45">
        <v>551.25</v>
      </c>
    </row>
    <row r="857" spans="2:5">
      <c r="B857" s="43" t="s">
        <v>56</v>
      </c>
      <c r="C857" s="43" t="s">
        <v>57</v>
      </c>
      <c r="D857" s="44">
        <v>45703</v>
      </c>
      <c r="E857" s="45">
        <v>760.2</v>
      </c>
    </row>
    <row r="858" spans="2:5">
      <c r="B858" s="43" t="s">
        <v>118</v>
      </c>
      <c r="C858" s="43" t="s">
        <v>119</v>
      </c>
      <c r="D858" s="44">
        <v>45703</v>
      </c>
      <c r="E858" s="45">
        <v>91.2</v>
      </c>
    </row>
    <row r="859" spans="2:5">
      <c r="B859" s="43" t="s">
        <v>80</v>
      </c>
      <c r="C859" s="43" t="s">
        <v>81</v>
      </c>
      <c r="D859" s="44">
        <v>45703</v>
      </c>
      <c r="E859" s="45">
        <v>516.6</v>
      </c>
    </row>
    <row r="860" spans="2:5">
      <c r="B860" s="43" t="s">
        <v>24</v>
      </c>
      <c r="C860" s="43" t="s">
        <v>25</v>
      </c>
      <c r="D860" s="44">
        <v>45703</v>
      </c>
      <c r="E860" s="45">
        <v>779.1</v>
      </c>
    </row>
    <row r="861" spans="2:5">
      <c r="B861" s="43" t="s">
        <v>26</v>
      </c>
      <c r="C861" s="43" t="s">
        <v>27</v>
      </c>
      <c r="D861" s="44">
        <v>45703</v>
      </c>
      <c r="E861" s="45">
        <v>1306.2</v>
      </c>
    </row>
    <row r="862" spans="2:5">
      <c r="B862" s="43" t="s">
        <v>28</v>
      </c>
      <c r="C862" s="43" t="s">
        <v>29</v>
      </c>
      <c r="D862" s="44">
        <v>45703</v>
      </c>
      <c r="E862" s="45">
        <v>358</v>
      </c>
    </row>
    <row r="863" spans="2:5">
      <c r="B863" s="43" t="s">
        <v>96</v>
      </c>
      <c r="C863" s="43" t="s">
        <v>97</v>
      </c>
      <c r="D863" s="44">
        <v>45703</v>
      </c>
      <c r="E863" s="45">
        <v>26</v>
      </c>
    </row>
    <row r="864" spans="2:5">
      <c r="B864" s="43" t="s">
        <v>32</v>
      </c>
      <c r="C864" s="43" t="s">
        <v>33</v>
      </c>
      <c r="D864" s="44">
        <v>45703</v>
      </c>
      <c r="E864" s="45">
        <v>3</v>
      </c>
    </row>
    <row r="865" spans="2:5">
      <c r="B865" s="43" t="s">
        <v>98</v>
      </c>
      <c r="C865" s="43" t="s">
        <v>99</v>
      </c>
      <c r="D865" s="44">
        <v>45703</v>
      </c>
      <c r="E865" s="45">
        <v>6</v>
      </c>
    </row>
    <row r="866" spans="2:5">
      <c r="B866" s="43" t="s">
        <v>38</v>
      </c>
      <c r="C866" s="43" t="s">
        <v>39</v>
      </c>
      <c r="D866" s="44">
        <v>45703</v>
      </c>
      <c r="E866" s="45">
        <v>51</v>
      </c>
    </row>
    <row r="867" spans="2:5">
      <c r="B867" s="43" t="s">
        <v>40</v>
      </c>
      <c r="C867" s="43" t="s">
        <v>41</v>
      </c>
      <c r="D867" s="44">
        <v>45705</v>
      </c>
      <c r="E867" s="45">
        <v>13</v>
      </c>
    </row>
    <row r="868" spans="2:5">
      <c r="B868" s="43" t="s">
        <v>42</v>
      </c>
      <c r="C868" s="43" t="s">
        <v>43</v>
      </c>
      <c r="D868" s="44">
        <v>45705</v>
      </c>
      <c r="E868" s="45">
        <v>6.05</v>
      </c>
    </row>
    <row r="869" spans="2:5">
      <c r="B869" s="43" t="s">
        <v>156</v>
      </c>
      <c r="C869" s="43" t="s">
        <v>157</v>
      </c>
      <c r="D869" s="44">
        <v>45705</v>
      </c>
      <c r="E869" s="45">
        <v>23.4</v>
      </c>
    </row>
    <row r="870" spans="2:5">
      <c r="B870" s="43" t="s">
        <v>8</v>
      </c>
      <c r="C870" s="43" t="s">
        <v>9</v>
      </c>
      <c r="D870" s="44">
        <v>45705</v>
      </c>
      <c r="E870" s="45">
        <v>17.4</v>
      </c>
    </row>
    <row r="871" spans="2:5">
      <c r="B871" s="43" t="s">
        <v>14</v>
      </c>
      <c r="C871" s="43" t="s">
        <v>15</v>
      </c>
      <c r="D871" s="44">
        <v>45705</v>
      </c>
      <c r="E871" s="45">
        <v>553.5</v>
      </c>
    </row>
    <row r="872" spans="2:5">
      <c r="B872" s="43" t="s">
        <v>188</v>
      </c>
      <c r="C872" s="43" t="s">
        <v>189</v>
      </c>
      <c r="D872" s="44">
        <v>45705</v>
      </c>
      <c r="E872" s="45">
        <v>46.2</v>
      </c>
    </row>
    <row r="873" spans="2:5">
      <c r="B873" s="43" t="s">
        <v>152</v>
      </c>
      <c r="C873" s="43" t="s">
        <v>153</v>
      </c>
      <c r="D873" s="44">
        <v>45705</v>
      </c>
      <c r="E873" s="45">
        <v>139.5</v>
      </c>
    </row>
    <row r="874" spans="2:5">
      <c r="B874" s="43" t="s">
        <v>18</v>
      </c>
      <c r="C874" s="43" t="s">
        <v>19</v>
      </c>
      <c r="D874" s="44">
        <v>45705</v>
      </c>
      <c r="E874" s="45">
        <v>222.5</v>
      </c>
    </row>
    <row r="875" spans="2:5">
      <c r="B875" s="43" t="s">
        <v>20</v>
      </c>
      <c r="C875" s="43" t="s">
        <v>21</v>
      </c>
      <c r="D875" s="44">
        <v>45705</v>
      </c>
      <c r="E875" s="45">
        <v>617.4</v>
      </c>
    </row>
    <row r="876" spans="2:5">
      <c r="B876" s="43" t="s">
        <v>22</v>
      </c>
      <c r="C876" s="43" t="s">
        <v>23</v>
      </c>
      <c r="D876" s="44">
        <v>45705</v>
      </c>
      <c r="E876" s="45">
        <v>604.8</v>
      </c>
    </row>
    <row r="877" spans="2:5">
      <c r="B877" s="43" t="s">
        <v>80</v>
      </c>
      <c r="C877" s="43" t="s">
        <v>81</v>
      </c>
      <c r="D877" s="44">
        <v>45705</v>
      </c>
      <c r="E877" s="45">
        <v>57.4</v>
      </c>
    </row>
    <row r="878" spans="2:5">
      <c r="B878" s="43" t="s">
        <v>24</v>
      </c>
      <c r="C878" s="43" t="s">
        <v>25</v>
      </c>
      <c r="D878" s="44">
        <v>45705</v>
      </c>
      <c r="E878" s="45">
        <v>1128.9</v>
      </c>
    </row>
    <row r="879" spans="2:5">
      <c r="B879" s="43" t="s">
        <v>26</v>
      </c>
      <c r="C879" s="43" t="s">
        <v>27</v>
      </c>
      <c r="D879" s="44">
        <v>45705</v>
      </c>
      <c r="E879" s="45">
        <v>1041.85</v>
      </c>
    </row>
    <row r="880" spans="2:5">
      <c r="B880" s="43" t="s">
        <v>62</v>
      </c>
      <c r="C880" s="43" t="s">
        <v>63</v>
      </c>
      <c r="D880" s="44">
        <v>45705</v>
      </c>
      <c r="E880" s="45">
        <v>779</v>
      </c>
    </row>
    <row r="881" spans="2:5">
      <c r="B881" s="43" t="s">
        <v>64</v>
      </c>
      <c r="C881" s="43" t="s">
        <v>65</v>
      </c>
      <c r="D881" s="44">
        <v>45705</v>
      </c>
      <c r="E881" s="45">
        <v>520</v>
      </c>
    </row>
    <row r="882" spans="2:5">
      <c r="B882" s="43" t="s">
        <v>150</v>
      </c>
      <c r="C882" s="43" t="s">
        <v>151</v>
      </c>
      <c r="D882" s="44">
        <v>45705</v>
      </c>
      <c r="E882" s="45">
        <v>324.6</v>
      </c>
    </row>
    <row r="883" spans="2:5">
      <c r="B883" s="43" t="s">
        <v>96</v>
      </c>
      <c r="C883" s="43" t="s">
        <v>97</v>
      </c>
      <c r="D883" s="44">
        <v>45705</v>
      </c>
      <c r="E883" s="45">
        <v>110</v>
      </c>
    </row>
    <row r="884" spans="2:5">
      <c r="B884" s="43" t="s">
        <v>98</v>
      </c>
      <c r="C884" s="43" t="s">
        <v>99</v>
      </c>
      <c r="D884" s="44">
        <v>45705</v>
      </c>
      <c r="E884" s="45">
        <v>4</v>
      </c>
    </row>
    <row r="885" spans="2:5">
      <c r="B885" s="43" t="s">
        <v>4</v>
      </c>
      <c r="C885" s="43" t="s">
        <v>5</v>
      </c>
      <c r="D885" s="44">
        <v>45706</v>
      </c>
      <c r="E885" s="45">
        <v>67</v>
      </c>
    </row>
    <row r="886" spans="2:5">
      <c r="B886" s="43" t="s">
        <v>8</v>
      </c>
      <c r="C886" s="43" t="s">
        <v>9</v>
      </c>
      <c r="D886" s="44">
        <v>45706</v>
      </c>
      <c r="E886" s="45">
        <v>121.8</v>
      </c>
    </row>
    <row r="887" spans="2:5">
      <c r="B887" s="43" t="s">
        <v>46</v>
      </c>
      <c r="C887" s="43" t="s">
        <v>47</v>
      </c>
      <c r="D887" s="44">
        <v>45706</v>
      </c>
      <c r="E887" s="45">
        <v>226</v>
      </c>
    </row>
    <row r="888" spans="2:5">
      <c r="B888" s="43" t="s">
        <v>10</v>
      </c>
      <c r="C888" s="43" t="s">
        <v>11</v>
      </c>
      <c r="D888" s="44">
        <v>45706</v>
      </c>
      <c r="E888" s="45">
        <v>110.5</v>
      </c>
    </row>
    <row r="889" spans="2:5">
      <c r="B889" s="43" t="s">
        <v>12</v>
      </c>
      <c r="C889" s="43" t="s">
        <v>13</v>
      </c>
      <c r="D889" s="44">
        <v>45706</v>
      </c>
      <c r="E889" s="45">
        <v>345</v>
      </c>
    </row>
    <row r="890" spans="2:5">
      <c r="B890" s="43" t="s">
        <v>50</v>
      </c>
      <c r="C890" s="43" t="s">
        <v>51</v>
      </c>
      <c r="D890" s="44">
        <v>45706</v>
      </c>
      <c r="E890" s="45">
        <v>584.8</v>
      </c>
    </row>
    <row r="891" spans="2:5">
      <c r="B891" s="43" t="s">
        <v>144</v>
      </c>
      <c r="C891" s="43" t="s">
        <v>145</v>
      </c>
      <c r="D891" s="44">
        <v>45706</v>
      </c>
      <c r="E891" s="45">
        <v>48.6</v>
      </c>
    </row>
    <row r="892" spans="2:5">
      <c r="B892" s="43" t="s">
        <v>138</v>
      </c>
      <c r="C892" s="43" t="s">
        <v>139</v>
      </c>
      <c r="D892" s="44">
        <v>45706</v>
      </c>
      <c r="E892" s="45">
        <v>79.25</v>
      </c>
    </row>
    <row r="893" spans="2:5">
      <c r="B893" s="43" t="s">
        <v>162</v>
      </c>
      <c r="C893" s="43" t="s">
        <v>163</v>
      </c>
      <c r="D893" s="44">
        <v>45706</v>
      </c>
      <c r="E893" s="45">
        <v>202</v>
      </c>
    </row>
    <row r="894" spans="2:5">
      <c r="B894" s="43" t="s">
        <v>76</v>
      </c>
      <c r="C894" s="43" t="s">
        <v>77</v>
      </c>
      <c r="D894" s="44">
        <v>45706</v>
      </c>
      <c r="E894" s="45">
        <v>564.8</v>
      </c>
    </row>
    <row r="895" spans="2:5">
      <c r="B895" s="43" t="s">
        <v>78</v>
      </c>
      <c r="C895" s="43" t="s">
        <v>79</v>
      </c>
      <c r="D895" s="44">
        <v>45706</v>
      </c>
      <c r="E895" s="45">
        <v>8.85</v>
      </c>
    </row>
    <row r="896" spans="2:5">
      <c r="B896" s="43" t="s">
        <v>20</v>
      </c>
      <c r="C896" s="43" t="s">
        <v>21</v>
      </c>
      <c r="D896" s="44">
        <v>45706</v>
      </c>
      <c r="E896" s="45">
        <v>352.8</v>
      </c>
    </row>
    <row r="897" spans="2:5">
      <c r="B897" s="43" t="s">
        <v>22</v>
      </c>
      <c r="C897" s="43" t="s">
        <v>23</v>
      </c>
      <c r="D897" s="44">
        <v>45706</v>
      </c>
      <c r="E897" s="45">
        <v>48</v>
      </c>
    </row>
    <row r="898" spans="2:5">
      <c r="B898" s="43" t="s">
        <v>80</v>
      </c>
      <c r="C898" s="43" t="s">
        <v>81</v>
      </c>
      <c r="D898" s="44">
        <v>45706</v>
      </c>
      <c r="E898" s="45">
        <v>1148</v>
      </c>
    </row>
    <row r="899" spans="2:5">
      <c r="B899" s="43" t="s">
        <v>24</v>
      </c>
      <c r="C899" s="43" t="s">
        <v>25</v>
      </c>
      <c r="D899" s="44">
        <v>45706</v>
      </c>
      <c r="E899" s="45">
        <v>4976.7</v>
      </c>
    </row>
    <row r="900" spans="2:5">
      <c r="B900" s="43" t="s">
        <v>58</v>
      </c>
      <c r="C900" s="43" t="s">
        <v>59</v>
      </c>
      <c r="D900" s="44">
        <v>45706</v>
      </c>
      <c r="E900" s="45">
        <v>88.5</v>
      </c>
    </row>
    <row r="901" spans="2:5">
      <c r="B901" s="43" t="s">
        <v>26</v>
      </c>
      <c r="C901" s="43" t="s">
        <v>27</v>
      </c>
      <c r="D901" s="44">
        <v>45706</v>
      </c>
      <c r="E901" s="45">
        <v>2192.55</v>
      </c>
    </row>
    <row r="902" spans="2:5">
      <c r="B902" s="43" t="s">
        <v>28</v>
      </c>
      <c r="C902" s="43" t="s">
        <v>29</v>
      </c>
      <c r="D902" s="44">
        <v>45706</v>
      </c>
      <c r="E902" s="45">
        <v>537</v>
      </c>
    </row>
    <row r="903" spans="2:5">
      <c r="B903" s="43" t="s">
        <v>62</v>
      </c>
      <c r="C903" s="43" t="s">
        <v>63</v>
      </c>
      <c r="D903" s="44">
        <v>45706</v>
      </c>
      <c r="E903" s="45">
        <v>840.5</v>
      </c>
    </row>
    <row r="904" spans="2:5">
      <c r="B904" s="43" t="s">
        <v>148</v>
      </c>
      <c r="C904" s="43" t="s">
        <v>149</v>
      </c>
      <c r="D904" s="44">
        <v>45706</v>
      </c>
      <c r="E904" s="45">
        <v>549.6</v>
      </c>
    </row>
    <row r="905" spans="2:5">
      <c r="B905" s="43" t="s">
        <v>64</v>
      </c>
      <c r="C905" s="43" t="s">
        <v>65</v>
      </c>
      <c r="D905" s="44">
        <v>45706</v>
      </c>
      <c r="E905" s="45">
        <v>360</v>
      </c>
    </row>
    <row r="906" spans="2:5">
      <c r="B906" s="43" t="s">
        <v>166</v>
      </c>
      <c r="C906" s="43" t="s">
        <v>167</v>
      </c>
      <c r="D906" s="44">
        <v>45706</v>
      </c>
      <c r="E906" s="45">
        <v>51.6</v>
      </c>
    </row>
    <row r="907" spans="2:5">
      <c r="B907" s="43" t="s">
        <v>132</v>
      </c>
      <c r="C907" s="43" t="s">
        <v>133</v>
      </c>
      <c r="D907" s="44">
        <v>45706</v>
      </c>
      <c r="E907" s="45">
        <v>525.3</v>
      </c>
    </row>
    <row r="908" spans="2:5">
      <c r="B908" s="43" t="s">
        <v>150</v>
      </c>
      <c r="C908" s="43" t="s">
        <v>151</v>
      </c>
      <c r="D908" s="44">
        <v>45706</v>
      </c>
      <c r="E908" s="45">
        <v>27.05</v>
      </c>
    </row>
    <row r="909" spans="2:5">
      <c r="B909" s="43" t="s">
        <v>96</v>
      </c>
      <c r="C909" s="43" t="s">
        <v>97</v>
      </c>
      <c r="D909" s="44">
        <v>45706</v>
      </c>
      <c r="E909" s="45">
        <v>28</v>
      </c>
    </row>
    <row r="910" spans="2:5">
      <c r="B910" s="43" t="s">
        <v>32</v>
      </c>
      <c r="C910" s="43" t="s">
        <v>33</v>
      </c>
      <c r="D910" s="44">
        <v>45706</v>
      </c>
      <c r="E910" s="45">
        <v>29</v>
      </c>
    </row>
    <row r="911" spans="2:5">
      <c r="B911" s="43" t="s">
        <v>98</v>
      </c>
      <c r="C911" s="43" t="s">
        <v>99</v>
      </c>
      <c r="D911" s="44">
        <v>45706</v>
      </c>
      <c r="E911" s="45">
        <v>8</v>
      </c>
    </row>
    <row r="912" spans="2:5">
      <c r="B912" s="43" t="s">
        <v>160</v>
      </c>
      <c r="C912" s="43" t="s">
        <v>161</v>
      </c>
      <c r="D912" s="44">
        <v>45706</v>
      </c>
      <c r="E912" s="45">
        <v>4</v>
      </c>
    </row>
    <row r="913" spans="2:5">
      <c r="B913" s="43" t="s">
        <v>34</v>
      </c>
      <c r="C913" s="43" t="s">
        <v>35</v>
      </c>
      <c r="D913" s="44">
        <v>45706</v>
      </c>
      <c r="E913" s="45">
        <v>15</v>
      </c>
    </row>
    <row r="914" spans="2:5">
      <c r="B914" s="43" t="s">
        <v>156</v>
      </c>
      <c r="C914" s="43" t="s">
        <v>157</v>
      </c>
      <c r="D914" s="44">
        <v>45707</v>
      </c>
      <c r="E914" s="45">
        <v>31.2</v>
      </c>
    </row>
    <row r="915" spans="2:5">
      <c r="B915" s="43" t="s">
        <v>72</v>
      </c>
      <c r="C915" s="43" t="s">
        <v>73</v>
      </c>
      <c r="D915" s="44">
        <v>45707</v>
      </c>
      <c r="E915" s="45">
        <v>550.8</v>
      </c>
    </row>
    <row r="916" spans="2:5">
      <c r="B916" s="43" t="s">
        <v>74</v>
      </c>
      <c r="C916" s="43" t="s">
        <v>75</v>
      </c>
      <c r="D916" s="44">
        <v>45707</v>
      </c>
      <c r="E916" s="45">
        <v>74.7</v>
      </c>
    </row>
    <row r="917" spans="2:5">
      <c r="B917" s="43" t="s">
        <v>12</v>
      </c>
      <c r="C917" s="43" t="s">
        <v>13</v>
      </c>
      <c r="D917" s="44">
        <v>45707</v>
      </c>
      <c r="E917" s="45">
        <v>759</v>
      </c>
    </row>
    <row r="918" spans="2:5">
      <c r="B918" s="43" t="s">
        <v>80</v>
      </c>
      <c r="C918" s="43" t="s">
        <v>81</v>
      </c>
      <c r="D918" s="44">
        <v>45707</v>
      </c>
      <c r="E918" s="45">
        <v>1951.6</v>
      </c>
    </row>
    <row r="919" spans="2:5">
      <c r="B919" s="43" t="s">
        <v>24</v>
      </c>
      <c r="C919" s="43" t="s">
        <v>25</v>
      </c>
      <c r="D919" s="44">
        <v>45707</v>
      </c>
      <c r="E919" s="45">
        <v>1256.1</v>
      </c>
    </row>
    <row r="920" spans="2:5">
      <c r="B920" s="43" t="s">
        <v>26</v>
      </c>
      <c r="C920" s="43" t="s">
        <v>27</v>
      </c>
      <c r="D920" s="44">
        <v>45707</v>
      </c>
      <c r="E920" s="45">
        <v>3685.35</v>
      </c>
    </row>
    <row r="921" spans="2:5">
      <c r="B921" s="43" t="s">
        <v>110</v>
      </c>
      <c r="C921" s="43" t="s">
        <v>111</v>
      </c>
      <c r="D921" s="44">
        <v>45707</v>
      </c>
      <c r="E921" s="45">
        <v>330</v>
      </c>
    </row>
    <row r="922" spans="2:5">
      <c r="B922" s="43" t="s">
        <v>62</v>
      </c>
      <c r="C922" s="43" t="s">
        <v>63</v>
      </c>
      <c r="D922" s="44">
        <v>45707</v>
      </c>
      <c r="E922" s="45">
        <v>266.5</v>
      </c>
    </row>
    <row r="923" spans="2:5">
      <c r="B923" s="43" t="s">
        <v>64</v>
      </c>
      <c r="C923" s="43" t="s">
        <v>65</v>
      </c>
      <c r="D923" s="44">
        <v>45707</v>
      </c>
      <c r="E923" s="45">
        <v>360</v>
      </c>
    </row>
    <row r="924" spans="2:5">
      <c r="B924" s="43" t="s">
        <v>166</v>
      </c>
      <c r="C924" s="43" t="s">
        <v>167</v>
      </c>
      <c r="D924" s="44">
        <v>45707</v>
      </c>
      <c r="E924" s="45">
        <v>387</v>
      </c>
    </row>
    <row r="925" spans="2:5">
      <c r="B925" s="43" t="s">
        <v>150</v>
      </c>
      <c r="C925" s="43" t="s">
        <v>151</v>
      </c>
      <c r="D925" s="44">
        <v>45707</v>
      </c>
      <c r="E925" s="45">
        <v>135.25</v>
      </c>
    </row>
    <row r="926" spans="2:5">
      <c r="B926" s="43" t="s">
        <v>68</v>
      </c>
      <c r="C926" s="43" t="s">
        <v>69</v>
      </c>
      <c r="D926" s="44">
        <v>45707</v>
      </c>
      <c r="E926" s="45">
        <v>35.9</v>
      </c>
    </row>
    <row r="927" spans="2:5">
      <c r="B927" s="43" t="s">
        <v>96</v>
      </c>
      <c r="C927" s="43" t="s">
        <v>97</v>
      </c>
      <c r="D927" s="44">
        <v>45707</v>
      </c>
      <c r="E927" s="45">
        <v>310</v>
      </c>
    </row>
    <row r="928" spans="2:5">
      <c r="B928" s="43" t="s">
        <v>160</v>
      </c>
      <c r="C928" s="43" t="s">
        <v>161</v>
      </c>
      <c r="D928" s="44">
        <v>45707</v>
      </c>
      <c r="E928" s="45">
        <v>1</v>
      </c>
    </row>
    <row r="929" spans="2:5">
      <c r="B929" s="43" t="s">
        <v>36</v>
      </c>
      <c r="C929" s="43" t="s">
        <v>37</v>
      </c>
      <c r="D929" s="44">
        <v>45707</v>
      </c>
      <c r="E929" s="45">
        <v>2</v>
      </c>
    </row>
    <row r="930" spans="2:5">
      <c r="B930" s="43" t="s">
        <v>42</v>
      </c>
      <c r="C930" s="43" t="s">
        <v>43</v>
      </c>
      <c r="D930" s="44">
        <v>45708</v>
      </c>
      <c r="E930" s="45">
        <v>24.2</v>
      </c>
    </row>
    <row r="931" spans="2:5">
      <c r="B931" s="43" t="s">
        <v>4</v>
      </c>
      <c r="C931" s="43" t="s">
        <v>5</v>
      </c>
      <c r="D931" s="44">
        <v>45708</v>
      </c>
      <c r="E931" s="45">
        <v>13.4</v>
      </c>
    </row>
    <row r="932" spans="2:5">
      <c r="B932" s="43" t="s">
        <v>8</v>
      </c>
      <c r="C932" s="43" t="s">
        <v>9</v>
      </c>
      <c r="D932" s="44">
        <v>45708</v>
      </c>
      <c r="E932" s="45">
        <v>43.5</v>
      </c>
    </row>
    <row r="933" spans="2:5">
      <c r="B933" s="43" t="s">
        <v>44</v>
      </c>
      <c r="C933" s="43" t="s">
        <v>45</v>
      </c>
      <c r="D933" s="44">
        <v>45708</v>
      </c>
      <c r="E933" s="45">
        <v>17</v>
      </c>
    </row>
    <row r="934" spans="2:5">
      <c r="B934" s="43" t="s">
        <v>46</v>
      </c>
      <c r="C934" s="43" t="s">
        <v>47</v>
      </c>
      <c r="D934" s="44">
        <v>45708</v>
      </c>
      <c r="E934" s="45">
        <v>395.5</v>
      </c>
    </row>
    <row r="935" spans="2:5">
      <c r="B935" s="43" t="s">
        <v>10</v>
      </c>
      <c r="C935" s="43" t="s">
        <v>11</v>
      </c>
      <c r="D935" s="44">
        <v>45708</v>
      </c>
      <c r="E935" s="45">
        <v>1381.25</v>
      </c>
    </row>
    <row r="936" spans="2:5">
      <c r="B936" s="43" t="s">
        <v>12</v>
      </c>
      <c r="C936" s="43" t="s">
        <v>13</v>
      </c>
      <c r="D936" s="44">
        <v>45708</v>
      </c>
      <c r="E936" s="45">
        <v>1255.8</v>
      </c>
    </row>
    <row r="937" spans="2:5">
      <c r="B937" s="43" t="s">
        <v>108</v>
      </c>
      <c r="C937" s="43" t="s">
        <v>109</v>
      </c>
      <c r="D937" s="44">
        <v>45708</v>
      </c>
      <c r="E937" s="45">
        <v>31</v>
      </c>
    </row>
    <row r="938" spans="2:5">
      <c r="B938" s="43" t="s">
        <v>14</v>
      </c>
      <c r="C938" s="43" t="s">
        <v>15</v>
      </c>
      <c r="D938" s="44">
        <v>45708</v>
      </c>
      <c r="E938" s="45">
        <v>918</v>
      </c>
    </row>
    <row r="939" spans="2:5">
      <c r="B939" s="43" t="s">
        <v>50</v>
      </c>
      <c r="C939" s="43" t="s">
        <v>51</v>
      </c>
      <c r="D939" s="44">
        <v>45708</v>
      </c>
      <c r="E939" s="45">
        <v>13.6</v>
      </c>
    </row>
    <row r="940" spans="2:5">
      <c r="B940" s="43" t="s">
        <v>54</v>
      </c>
      <c r="C940" s="43" t="s">
        <v>55</v>
      </c>
      <c r="D940" s="44">
        <v>45708</v>
      </c>
      <c r="E940" s="45">
        <v>53.2</v>
      </c>
    </row>
    <row r="941" spans="2:5">
      <c r="B941" s="43" t="s">
        <v>76</v>
      </c>
      <c r="C941" s="43" t="s">
        <v>77</v>
      </c>
      <c r="D941" s="44">
        <v>45708</v>
      </c>
      <c r="E941" s="45">
        <v>441.25</v>
      </c>
    </row>
    <row r="942" spans="2:5">
      <c r="B942" s="43" t="s">
        <v>152</v>
      </c>
      <c r="C942" s="43" t="s">
        <v>153</v>
      </c>
      <c r="D942" s="44">
        <v>45708</v>
      </c>
      <c r="E942" s="45">
        <v>46.5</v>
      </c>
    </row>
    <row r="943" spans="2:5">
      <c r="B943" s="43" t="s">
        <v>180</v>
      </c>
      <c r="C943" s="43" t="s">
        <v>181</v>
      </c>
      <c r="D943" s="44">
        <v>45708</v>
      </c>
      <c r="E943" s="45">
        <v>67.2</v>
      </c>
    </row>
    <row r="944" spans="2:5">
      <c r="B944" s="43" t="s">
        <v>158</v>
      </c>
      <c r="C944" s="43" t="s">
        <v>159</v>
      </c>
      <c r="D944" s="44">
        <v>45708</v>
      </c>
      <c r="E944" s="45">
        <v>178.5</v>
      </c>
    </row>
    <row r="945" spans="2:5">
      <c r="B945" s="43" t="s">
        <v>18</v>
      </c>
      <c r="C945" s="43" t="s">
        <v>19</v>
      </c>
      <c r="D945" s="44">
        <v>45708</v>
      </c>
      <c r="E945" s="45">
        <v>66.75</v>
      </c>
    </row>
    <row r="946" spans="2:5">
      <c r="B946" s="43" t="s">
        <v>20</v>
      </c>
      <c r="C946" s="43" t="s">
        <v>21</v>
      </c>
      <c r="D946" s="44">
        <v>45708</v>
      </c>
      <c r="E946" s="45">
        <v>107.8</v>
      </c>
    </row>
    <row r="947" spans="2:5">
      <c r="B947" s="43" t="s">
        <v>22</v>
      </c>
      <c r="C947" s="43" t="s">
        <v>23</v>
      </c>
      <c r="D947" s="44">
        <v>45708</v>
      </c>
      <c r="E947" s="45">
        <v>38.4</v>
      </c>
    </row>
    <row r="948" spans="2:5">
      <c r="B948" s="43" t="s">
        <v>80</v>
      </c>
      <c r="C948" s="43" t="s">
        <v>81</v>
      </c>
      <c r="D948" s="44">
        <v>45708</v>
      </c>
      <c r="E948" s="45">
        <v>186.55</v>
      </c>
    </row>
    <row r="949" spans="2:5">
      <c r="B949" s="43" t="s">
        <v>24</v>
      </c>
      <c r="C949" s="43" t="s">
        <v>25</v>
      </c>
      <c r="D949" s="44">
        <v>45708</v>
      </c>
      <c r="E949" s="45">
        <v>2766.6</v>
      </c>
    </row>
    <row r="950" spans="2:5">
      <c r="B950" s="43" t="s">
        <v>26</v>
      </c>
      <c r="C950" s="43" t="s">
        <v>27</v>
      </c>
      <c r="D950" s="44">
        <v>45708</v>
      </c>
      <c r="E950" s="45">
        <v>1041.85</v>
      </c>
    </row>
    <row r="951" spans="2:5">
      <c r="B951" s="43" t="s">
        <v>28</v>
      </c>
      <c r="C951" s="43" t="s">
        <v>29</v>
      </c>
      <c r="D951" s="44">
        <v>45708</v>
      </c>
      <c r="E951" s="45">
        <v>411.7</v>
      </c>
    </row>
    <row r="952" spans="2:5">
      <c r="B952" s="43" t="s">
        <v>62</v>
      </c>
      <c r="C952" s="43" t="s">
        <v>63</v>
      </c>
      <c r="D952" s="44">
        <v>45708</v>
      </c>
      <c r="E952" s="45">
        <v>205</v>
      </c>
    </row>
    <row r="953" spans="2:5">
      <c r="B953" s="43" t="s">
        <v>64</v>
      </c>
      <c r="C953" s="43" t="s">
        <v>65</v>
      </c>
      <c r="D953" s="44">
        <v>45708</v>
      </c>
      <c r="E953" s="45">
        <v>160</v>
      </c>
    </row>
    <row r="954" spans="2:5">
      <c r="B954" s="43" t="s">
        <v>96</v>
      </c>
      <c r="C954" s="43" t="s">
        <v>97</v>
      </c>
      <c r="D954" s="44">
        <v>45708</v>
      </c>
      <c r="E954" s="45">
        <v>16</v>
      </c>
    </row>
    <row r="955" spans="2:5">
      <c r="B955" s="43" t="s">
        <v>32</v>
      </c>
      <c r="C955" s="43" t="s">
        <v>33</v>
      </c>
      <c r="D955" s="44">
        <v>45708</v>
      </c>
      <c r="E955" s="45">
        <v>8</v>
      </c>
    </row>
    <row r="956" spans="2:5">
      <c r="B956" s="43" t="s">
        <v>34</v>
      </c>
      <c r="C956" s="43" t="s">
        <v>35</v>
      </c>
      <c r="D956" s="44">
        <v>45708</v>
      </c>
      <c r="E956" s="45">
        <v>5</v>
      </c>
    </row>
    <row r="957" spans="2:5">
      <c r="B957" s="43" t="s">
        <v>4</v>
      </c>
      <c r="C957" s="43" t="s">
        <v>5</v>
      </c>
      <c r="D957" s="44">
        <v>45709</v>
      </c>
      <c r="E957" s="45">
        <v>113.9</v>
      </c>
    </row>
    <row r="958" spans="2:5">
      <c r="B958" s="43" t="s">
        <v>8</v>
      </c>
      <c r="C958" s="43" t="s">
        <v>9</v>
      </c>
      <c r="D958" s="44">
        <v>45709</v>
      </c>
      <c r="E958" s="45">
        <v>261</v>
      </c>
    </row>
    <row r="959" spans="2:5">
      <c r="B959" s="43" t="s">
        <v>72</v>
      </c>
      <c r="C959" s="43" t="s">
        <v>73</v>
      </c>
      <c r="D959" s="44">
        <v>45709</v>
      </c>
      <c r="E959" s="45">
        <v>510</v>
      </c>
    </row>
    <row r="960" spans="2:5">
      <c r="B960" s="43" t="s">
        <v>46</v>
      </c>
      <c r="C960" s="43" t="s">
        <v>47</v>
      </c>
      <c r="D960" s="44">
        <v>45709</v>
      </c>
      <c r="E960" s="45">
        <v>135.6</v>
      </c>
    </row>
    <row r="961" spans="2:5">
      <c r="B961" s="43" t="s">
        <v>10</v>
      </c>
      <c r="C961" s="43" t="s">
        <v>11</v>
      </c>
      <c r="D961" s="44">
        <v>45709</v>
      </c>
      <c r="E961" s="45">
        <v>408.85</v>
      </c>
    </row>
    <row r="962" spans="2:5">
      <c r="B962" s="43" t="s">
        <v>74</v>
      </c>
      <c r="C962" s="43" t="s">
        <v>75</v>
      </c>
      <c r="D962" s="44">
        <v>45709</v>
      </c>
      <c r="E962" s="45">
        <v>634.95</v>
      </c>
    </row>
    <row r="963" spans="2:5">
      <c r="B963" s="43" t="s">
        <v>12</v>
      </c>
      <c r="C963" s="43" t="s">
        <v>13</v>
      </c>
      <c r="D963" s="44">
        <v>45709</v>
      </c>
      <c r="E963" s="45">
        <v>441.6</v>
      </c>
    </row>
    <row r="964" spans="2:5">
      <c r="B964" s="43" t="s">
        <v>48</v>
      </c>
      <c r="C964" s="43" t="s">
        <v>49</v>
      </c>
      <c r="D964" s="44">
        <v>45709</v>
      </c>
      <c r="E964" s="45">
        <v>182.4</v>
      </c>
    </row>
    <row r="965" spans="2:5">
      <c r="B965" s="43" t="s">
        <v>14</v>
      </c>
      <c r="C965" s="43" t="s">
        <v>15</v>
      </c>
      <c r="D965" s="44">
        <v>45709</v>
      </c>
      <c r="E965" s="45">
        <v>499.5</v>
      </c>
    </row>
    <row r="966" spans="2:5">
      <c r="B966" s="43" t="s">
        <v>152</v>
      </c>
      <c r="C966" s="43" t="s">
        <v>153</v>
      </c>
      <c r="D966" s="44">
        <v>45709</v>
      </c>
      <c r="E966" s="45">
        <v>279</v>
      </c>
    </row>
    <row r="967" spans="2:5">
      <c r="B967" s="43" t="s">
        <v>78</v>
      </c>
      <c r="C967" s="43" t="s">
        <v>79</v>
      </c>
      <c r="D967" s="44">
        <v>45709</v>
      </c>
      <c r="E967" s="45">
        <v>44.25</v>
      </c>
    </row>
    <row r="968" spans="2:5">
      <c r="B968" s="43" t="s">
        <v>20</v>
      </c>
      <c r="C968" s="43" t="s">
        <v>21</v>
      </c>
      <c r="D968" s="44">
        <v>45709</v>
      </c>
      <c r="E968" s="45">
        <v>117.6</v>
      </c>
    </row>
    <row r="969" spans="2:5">
      <c r="B969" s="43" t="s">
        <v>140</v>
      </c>
      <c r="C969" s="43" t="s">
        <v>141</v>
      </c>
      <c r="D969" s="44">
        <v>45709</v>
      </c>
      <c r="E969" s="45">
        <v>162.4</v>
      </c>
    </row>
    <row r="970" spans="2:5">
      <c r="B970" s="43" t="s">
        <v>80</v>
      </c>
      <c r="C970" s="43" t="s">
        <v>81</v>
      </c>
      <c r="D970" s="44">
        <v>45709</v>
      </c>
      <c r="E970" s="45">
        <v>373.1</v>
      </c>
    </row>
    <row r="971" spans="2:5">
      <c r="B971" s="43" t="s">
        <v>24</v>
      </c>
      <c r="C971" s="43" t="s">
        <v>25</v>
      </c>
      <c r="D971" s="44">
        <v>45709</v>
      </c>
      <c r="E971" s="45">
        <v>2591.7</v>
      </c>
    </row>
    <row r="972" spans="2:5">
      <c r="B972" s="43" t="s">
        <v>26</v>
      </c>
      <c r="C972" s="43" t="s">
        <v>27</v>
      </c>
      <c r="D972" s="44">
        <v>45709</v>
      </c>
      <c r="E972" s="45">
        <v>1352.85</v>
      </c>
    </row>
    <row r="973" spans="2:5">
      <c r="B973" s="43" t="s">
        <v>64</v>
      </c>
      <c r="C973" s="43" t="s">
        <v>65</v>
      </c>
      <c r="D973" s="44">
        <v>45709</v>
      </c>
      <c r="E973" s="45">
        <v>100</v>
      </c>
    </row>
    <row r="974" spans="2:5">
      <c r="B974" s="43" t="s">
        <v>166</v>
      </c>
      <c r="C974" s="43" t="s">
        <v>167</v>
      </c>
      <c r="D974" s="44">
        <v>45709</v>
      </c>
      <c r="E974" s="45">
        <v>258</v>
      </c>
    </row>
    <row r="975" spans="2:5">
      <c r="B975" s="43" t="s">
        <v>132</v>
      </c>
      <c r="C975" s="43" t="s">
        <v>133</v>
      </c>
      <c r="D975" s="44">
        <v>45709</v>
      </c>
      <c r="E975" s="45">
        <v>370.8</v>
      </c>
    </row>
    <row r="976" spans="2:5">
      <c r="B976" s="43" t="s">
        <v>106</v>
      </c>
      <c r="C976" s="43" t="s">
        <v>107</v>
      </c>
      <c r="D976" s="44">
        <v>45709</v>
      </c>
      <c r="E976" s="45">
        <v>23.1</v>
      </c>
    </row>
    <row r="977" spans="2:5">
      <c r="B977" s="43" t="s">
        <v>96</v>
      </c>
      <c r="C977" s="43" t="s">
        <v>97</v>
      </c>
      <c r="D977" s="44">
        <v>45709</v>
      </c>
      <c r="E977" s="45">
        <v>38</v>
      </c>
    </row>
    <row r="978" spans="2:5">
      <c r="B978" s="43" t="s">
        <v>34</v>
      </c>
      <c r="C978" s="43" t="s">
        <v>35</v>
      </c>
      <c r="D978" s="44">
        <v>45709</v>
      </c>
      <c r="E978" s="45">
        <v>10</v>
      </c>
    </row>
    <row r="979" spans="2:5">
      <c r="B979" s="43" t="s">
        <v>8</v>
      </c>
      <c r="C979" s="43" t="s">
        <v>9</v>
      </c>
      <c r="D979" s="44">
        <v>45712</v>
      </c>
      <c r="E979" s="45">
        <v>313.2</v>
      </c>
    </row>
    <row r="980" spans="2:5">
      <c r="B980" s="43" t="s">
        <v>46</v>
      </c>
      <c r="C980" s="43" t="s">
        <v>47</v>
      </c>
      <c r="D980" s="44">
        <v>45712</v>
      </c>
      <c r="E980" s="45">
        <v>452</v>
      </c>
    </row>
    <row r="981" spans="2:5">
      <c r="B981" s="43" t="s">
        <v>12</v>
      </c>
      <c r="C981" s="43" t="s">
        <v>13</v>
      </c>
      <c r="D981" s="44">
        <v>45712</v>
      </c>
      <c r="E981" s="45">
        <v>952.2</v>
      </c>
    </row>
    <row r="982" spans="2:5">
      <c r="B982" s="43" t="s">
        <v>50</v>
      </c>
      <c r="C982" s="43" t="s">
        <v>51</v>
      </c>
      <c r="D982" s="44">
        <v>45712</v>
      </c>
      <c r="E982" s="45">
        <v>1047.2</v>
      </c>
    </row>
    <row r="983" spans="2:5">
      <c r="B983" s="43" t="s">
        <v>52</v>
      </c>
      <c r="C983" s="43" t="s">
        <v>53</v>
      </c>
      <c r="D983" s="44">
        <v>45712</v>
      </c>
      <c r="E983" s="45">
        <v>213.3</v>
      </c>
    </row>
    <row r="984" spans="2:5">
      <c r="B984" s="43" t="s">
        <v>162</v>
      </c>
      <c r="C984" s="43" t="s">
        <v>163</v>
      </c>
      <c r="D984" s="44">
        <v>45712</v>
      </c>
      <c r="E984" s="45">
        <v>1616</v>
      </c>
    </row>
    <row r="985" spans="2:5">
      <c r="B985" s="43" t="s">
        <v>128</v>
      </c>
      <c r="C985" s="43" t="s">
        <v>129</v>
      </c>
      <c r="D985" s="44">
        <v>45712</v>
      </c>
      <c r="E985" s="45">
        <v>238.4</v>
      </c>
    </row>
    <row r="986" spans="2:5">
      <c r="B986" s="43" t="s">
        <v>78</v>
      </c>
      <c r="C986" s="43" t="s">
        <v>79</v>
      </c>
      <c r="D986" s="44">
        <v>45712</v>
      </c>
      <c r="E986" s="45">
        <v>88.5</v>
      </c>
    </row>
    <row r="987" spans="2:5">
      <c r="B987" s="43" t="s">
        <v>20</v>
      </c>
      <c r="C987" s="43" t="s">
        <v>21</v>
      </c>
      <c r="D987" s="44">
        <v>45712</v>
      </c>
      <c r="E987" s="45">
        <v>80.85</v>
      </c>
    </row>
    <row r="988" spans="2:5">
      <c r="B988" s="43" t="s">
        <v>80</v>
      </c>
      <c r="C988" s="43" t="s">
        <v>81</v>
      </c>
      <c r="D988" s="44">
        <v>45712</v>
      </c>
      <c r="E988" s="45">
        <v>143.5</v>
      </c>
    </row>
    <row r="989" spans="2:5">
      <c r="B989" s="43" t="s">
        <v>24</v>
      </c>
      <c r="C989" s="43" t="s">
        <v>25</v>
      </c>
      <c r="D989" s="44">
        <v>45712</v>
      </c>
      <c r="E989" s="45">
        <v>1717.2</v>
      </c>
    </row>
    <row r="990" spans="2:5">
      <c r="B990" s="43" t="s">
        <v>26</v>
      </c>
      <c r="C990" s="43" t="s">
        <v>27</v>
      </c>
      <c r="D990" s="44">
        <v>45712</v>
      </c>
      <c r="E990" s="45">
        <v>342.1</v>
      </c>
    </row>
    <row r="991" spans="2:5">
      <c r="B991" s="43" t="s">
        <v>62</v>
      </c>
      <c r="C991" s="43" t="s">
        <v>63</v>
      </c>
      <c r="D991" s="44">
        <v>45712</v>
      </c>
      <c r="E991" s="45">
        <v>205</v>
      </c>
    </row>
    <row r="992" spans="2:5">
      <c r="B992" s="43" t="s">
        <v>148</v>
      </c>
      <c r="C992" s="43" t="s">
        <v>149</v>
      </c>
      <c r="D992" s="44">
        <v>45712</v>
      </c>
      <c r="E992" s="45">
        <v>2290</v>
      </c>
    </row>
    <row r="993" spans="2:5">
      <c r="B993" s="43" t="s">
        <v>64</v>
      </c>
      <c r="C993" s="43" t="s">
        <v>65</v>
      </c>
      <c r="D993" s="44">
        <v>45712</v>
      </c>
      <c r="E993" s="45">
        <v>2240</v>
      </c>
    </row>
    <row r="994" spans="2:5">
      <c r="B994" s="43" t="s">
        <v>166</v>
      </c>
      <c r="C994" s="43" t="s">
        <v>167</v>
      </c>
      <c r="D994" s="44">
        <v>45712</v>
      </c>
      <c r="E994" s="45">
        <v>25.8</v>
      </c>
    </row>
    <row r="995" spans="2:5">
      <c r="B995" s="43" t="s">
        <v>96</v>
      </c>
      <c r="C995" s="43" t="s">
        <v>97</v>
      </c>
      <c r="D995" s="44">
        <v>45712</v>
      </c>
      <c r="E995" s="45">
        <v>265</v>
      </c>
    </row>
    <row r="996" spans="2:5">
      <c r="B996" s="43" t="s">
        <v>34</v>
      </c>
      <c r="C996" s="43" t="s">
        <v>35</v>
      </c>
      <c r="D996" s="44">
        <v>45712</v>
      </c>
      <c r="E996" s="45">
        <v>3</v>
      </c>
    </row>
    <row r="997" spans="2:5">
      <c r="B997" s="43" t="s">
        <v>36</v>
      </c>
      <c r="C997" s="43" t="s">
        <v>37</v>
      </c>
      <c r="D997" s="44">
        <v>45712</v>
      </c>
      <c r="E997" s="45">
        <v>1</v>
      </c>
    </row>
    <row r="998" spans="2:5">
      <c r="B998" s="43" t="s">
        <v>156</v>
      </c>
      <c r="C998" s="43" t="s">
        <v>157</v>
      </c>
      <c r="D998" s="44">
        <v>45713</v>
      </c>
      <c r="E998" s="45">
        <v>7.8</v>
      </c>
    </row>
    <row r="999" spans="2:5">
      <c r="B999" s="43" t="s">
        <v>8</v>
      </c>
      <c r="C999" s="43" t="s">
        <v>9</v>
      </c>
      <c r="D999" s="44">
        <v>45713</v>
      </c>
      <c r="E999" s="45">
        <v>60.9</v>
      </c>
    </row>
    <row r="1000" spans="2:5">
      <c r="B1000" s="43" t="s">
        <v>46</v>
      </c>
      <c r="C1000" s="43" t="s">
        <v>47</v>
      </c>
      <c r="D1000" s="44">
        <v>45713</v>
      </c>
      <c r="E1000" s="45">
        <v>169.5</v>
      </c>
    </row>
    <row r="1001" spans="2:5">
      <c r="B1001" s="43" t="s">
        <v>10</v>
      </c>
      <c r="C1001" s="43" t="s">
        <v>11</v>
      </c>
      <c r="D1001" s="44">
        <v>45713</v>
      </c>
      <c r="E1001" s="45">
        <v>11.05</v>
      </c>
    </row>
    <row r="1002" spans="2:5">
      <c r="B1002" s="43" t="s">
        <v>12</v>
      </c>
      <c r="C1002" s="43" t="s">
        <v>13</v>
      </c>
      <c r="D1002" s="44">
        <v>45713</v>
      </c>
      <c r="E1002" s="45">
        <v>496.8</v>
      </c>
    </row>
    <row r="1003" spans="2:5">
      <c r="B1003" s="43" t="s">
        <v>48</v>
      </c>
      <c r="C1003" s="43" t="s">
        <v>49</v>
      </c>
      <c r="D1003" s="44">
        <v>45713</v>
      </c>
      <c r="E1003" s="45">
        <v>60.8</v>
      </c>
    </row>
    <row r="1004" spans="2:5">
      <c r="B1004" s="43" t="s">
        <v>50</v>
      </c>
      <c r="C1004" s="43" t="s">
        <v>51</v>
      </c>
      <c r="D1004" s="44">
        <v>45713</v>
      </c>
      <c r="E1004" s="45">
        <v>612</v>
      </c>
    </row>
    <row r="1005" spans="2:5">
      <c r="B1005" s="43" t="s">
        <v>52</v>
      </c>
      <c r="C1005" s="43" t="s">
        <v>53</v>
      </c>
      <c r="D1005" s="44">
        <v>45713</v>
      </c>
      <c r="E1005" s="45">
        <v>734.7</v>
      </c>
    </row>
    <row r="1006" spans="2:5">
      <c r="B1006" s="43" t="s">
        <v>144</v>
      </c>
      <c r="C1006" s="43" t="s">
        <v>145</v>
      </c>
      <c r="D1006" s="44">
        <v>45713</v>
      </c>
      <c r="E1006" s="45">
        <v>64.8</v>
      </c>
    </row>
    <row r="1007" spans="2:5">
      <c r="B1007" s="43" t="s">
        <v>76</v>
      </c>
      <c r="C1007" s="43" t="s">
        <v>77</v>
      </c>
      <c r="D1007" s="44">
        <v>45713</v>
      </c>
      <c r="E1007" s="45">
        <v>52.95</v>
      </c>
    </row>
    <row r="1008" spans="2:5">
      <c r="B1008" s="43" t="s">
        <v>78</v>
      </c>
      <c r="C1008" s="43" t="s">
        <v>79</v>
      </c>
      <c r="D1008" s="44">
        <v>45713</v>
      </c>
      <c r="E1008" s="45">
        <v>17.7</v>
      </c>
    </row>
    <row r="1009" spans="2:5">
      <c r="B1009" s="43" t="s">
        <v>20</v>
      </c>
      <c r="C1009" s="43" t="s">
        <v>21</v>
      </c>
      <c r="D1009" s="44">
        <v>45713</v>
      </c>
      <c r="E1009" s="45">
        <v>68.6</v>
      </c>
    </row>
    <row r="1010" spans="2:5">
      <c r="B1010" s="43" t="s">
        <v>22</v>
      </c>
      <c r="C1010" s="43" t="s">
        <v>23</v>
      </c>
      <c r="D1010" s="44">
        <v>45713</v>
      </c>
      <c r="E1010" s="45">
        <v>1296</v>
      </c>
    </row>
    <row r="1011" spans="2:5">
      <c r="B1011" s="43" t="s">
        <v>80</v>
      </c>
      <c r="C1011" s="43" t="s">
        <v>81</v>
      </c>
      <c r="D1011" s="44">
        <v>45713</v>
      </c>
      <c r="E1011" s="45">
        <v>645.75</v>
      </c>
    </row>
    <row r="1012" spans="2:5">
      <c r="B1012" s="43" t="s">
        <v>24</v>
      </c>
      <c r="C1012" s="43" t="s">
        <v>25</v>
      </c>
      <c r="D1012" s="44">
        <v>45713</v>
      </c>
      <c r="E1012" s="45">
        <v>2464.5</v>
      </c>
    </row>
    <row r="1013" spans="2:5">
      <c r="B1013" s="43" t="s">
        <v>26</v>
      </c>
      <c r="C1013" s="43" t="s">
        <v>27</v>
      </c>
      <c r="D1013" s="44">
        <v>45713</v>
      </c>
      <c r="E1013" s="45">
        <v>1368.4</v>
      </c>
    </row>
    <row r="1014" spans="2:5">
      <c r="B1014" s="43" t="s">
        <v>60</v>
      </c>
      <c r="C1014" s="43" t="s">
        <v>61</v>
      </c>
      <c r="D1014" s="44">
        <v>45713</v>
      </c>
      <c r="E1014" s="45">
        <v>18.3</v>
      </c>
    </row>
    <row r="1015" spans="2:5">
      <c r="B1015" s="43" t="s">
        <v>62</v>
      </c>
      <c r="C1015" s="43" t="s">
        <v>63</v>
      </c>
      <c r="D1015" s="44">
        <v>45713</v>
      </c>
      <c r="E1015" s="45">
        <v>20.5</v>
      </c>
    </row>
    <row r="1016" spans="2:5">
      <c r="B1016" s="43" t="s">
        <v>64</v>
      </c>
      <c r="C1016" s="43" t="s">
        <v>65</v>
      </c>
      <c r="D1016" s="44">
        <v>45713</v>
      </c>
      <c r="E1016" s="45">
        <v>3340</v>
      </c>
    </row>
    <row r="1017" spans="2:5">
      <c r="B1017" s="43" t="s">
        <v>142</v>
      </c>
      <c r="C1017" s="43" t="s">
        <v>143</v>
      </c>
      <c r="D1017" s="44">
        <v>45713</v>
      </c>
      <c r="E1017" s="45">
        <v>1</v>
      </c>
    </row>
    <row r="1018" spans="2:5">
      <c r="B1018" s="43" t="s">
        <v>96</v>
      </c>
      <c r="C1018" s="43" t="s">
        <v>97</v>
      </c>
      <c r="D1018" s="44">
        <v>45713</v>
      </c>
      <c r="E1018" s="45">
        <v>21</v>
      </c>
    </row>
    <row r="1019" spans="2:5">
      <c r="B1019" s="43" t="s">
        <v>32</v>
      </c>
      <c r="C1019" s="43" t="s">
        <v>33</v>
      </c>
      <c r="D1019" s="44">
        <v>45713</v>
      </c>
      <c r="E1019" s="45">
        <v>15</v>
      </c>
    </row>
    <row r="1020" spans="2:5">
      <c r="B1020" s="43" t="s">
        <v>98</v>
      </c>
      <c r="C1020" s="43" t="s">
        <v>99</v>
      </c>
      <c r="D1020" s="44">
        <v>45713</v>
      </c>
      <c r="E1020" s="45">
        <v>1</v>
      </c>
    </row>
    <row r="1021" spans="2:5">
      <c r="B1021" s="43" t="s">
        <v>160</v>
      </c>
      <c r="C1021" s="43" t="s">
        <v>161</v>
      </c>
      <c r="D1021" s="44">
        <v>45713</v>
      </c>
      <c r="E1021" s="45">
        <v>7</v>
      </c>
    </row>
    <row r="1022" spans="2:5">
      <c r="B1022" s="43" t="s">
        <v>34</v>
      </c>
      <c r="C1022" s="43" t="s">
        <v>35</v>
      </c>
      <c r="D1022" s="44">
        <v>45713</v>
      </c>
      <c r="E1022" s="45">
        <v>9</v>
      </c>
    </row>
    <row r="1023" spans="2:5">
      <c r="B1023" s="43" t="s">
        <v>36</v>
      </c>
      <c r="C1023" s="43" t="s">
        <v>37</v>
      </c>
      <c r="D1023" s="44">
        <v>45713</v>
      </c>
      <c r="E1023" s="45">
        <v>1</v>
      </c>
    </row>
    <row r="1024" spans="2:5">
      <c r="B1024" s="43" t="s">
        <v>38</v>
      </c>
      <c r="C1024" s="43" t="s">
        <v>39</v>
      </c>
      <c r="D1024" s="44">
        <v>45713</v>
      </c>
      <c r="E1024" s="45">
        <v>4</v>
      </c>
    </row>
    <row r="1025" spans="2:5">
      <c r="B1025" s="43" t="s">
        <v>42</v>
      </c>
      <c r="C1025" s="43" t="s">
        <v>43</v>
      </c>
      <c r="D1025" s="44">
        <v>45714</v>
      </c>
      <c r="E1025" s="45">
        <v>229.9</v>
      </c>
    </row>
    <row r="1026" spans="2:5">
      <c r="B1026" s="43" t="s">
        <v>6</v>
      </c>
      <c r="C1026" s="43" t="s">
        <v>7</v>
      </c>
      <c r="D1026" s="44">
        <v>45714</v>
      </c>
      <c r="E1026" s="45">
        <v>65.5</v>
      </c>
    </row>
    <row r="1027" spans="2:5">
      <c r="B1027" s="43" t="s">
        <v>156</v>
      </c>
      <c r="C1027" s="43" t="s">
        <v>157</v>
      </c>
      <c r="D1027" s="44">
        <v>45714</v>
      </c>
      <c r="E1027" s="45">
        <v>265.2</v>
      </c>
    </row>
    <row r="1028" spans="2:5">
      <c r="B1028" s="43" t="s">
        <v>8</v>
      </c>
      <c r="C1028" s="43" t="s">
        <v>9</v>
      </c>
      <c r="D1028" s="44">
        <v>45714</v>
      </c>
      <c r="E1028" s="45">
        <v>95.7</v>
      </c>
    </row>
    <row r="1029" spans="2:5">
      <c r="B1029" s="43" t="s">
        <v>72</v>
      </c>
      <c r="C1029" s="43" t="s">
        <v>73</v>
      </c>
      <c r="D1029" s="44">
        <v>45714</v>
      </c>
      <c r="E1029" s="45">
        <v>142.8</v>
      </c>
    </row>
    <row r="1030" spans="2:5">
      <c r="B1030" s="43" t="s">
        <v>46</v>
      </c>
      <c r="C1030" s="43" t="s">
        <v>47</v>
      </c>
      <c r="D1030" s="44">
        <v>45714</v>
      </c>
      <c r="E1030" s="45">
        <v>485.9</v>
      </c>
    </row>
    <row r="1031" spans="2:5">
      <c r="B1031" s="43" t="s">
        <v>10</v>
      </c>
      <c r="C1031" s="43" t="s">
        <v>11</v>
      </c>
      <c r="D1031" s="44">
        <v>45714</v>
      </c>
      <c r="E1031" s="45">
        <v>132.6</v>
      </c>
    </row>
    <row r="1032" spans="2:5">
      <c r="B1032" s="43" t="s">
        <v>74</v>
      </c>
      <c r="C1032" s="43" t="s">
        <v>75</v>
      </c>
      <c r="D1032" s="44">
        <v>45714</v>
      </c>
      <c r="E1032" s="45">
        <v>99.6</v>
      </c>
    </row>
    <row r="1033" spans="2:5">
      <c r="B1033" s="43" t="s">
        <v>12</v>
      </c>
      <c r="C1033" s="43" t="s">
        <v>13</v>
      </c>
      <c r="D1033" s="44">
        <v>45714</v>
      </c>
      <c r="E1033" s="45">
        <v>759</v>
      </c>
    </row>
    <row r="1034" spans="2:5">
      <c r="B1034" s="43" t="s">
        <v>14</v>
      </c>
      <c r="C1034" s="43" t="s">
        <v>15</v>
      </c>
      <c r="D1034" s="44">
        <v>45714</v>
      </c>
      <c r="E1034" s="45">
        <v>27</v>
      </c>
    </row>
    <row r="1035" spans="2:5">
      <c r="B1035" s="43" t="s">
        <v>50</v>
      </c>
      <c r="C1035" s="43" t="s">
        <v>51</v>
      </c>
      <c r="D1035" s="44">
        <v>45714</v>
      </c>
      <c r="E1035" s="45">
        <v>1183.2</v>
      </c>
    </row>
    <row r="1036" spans="2:5">
      <c r="B1036" s="43" t="s">
        <v>56</v>
      </c>
      <c r="C1036" s="43" t="s">
        <v>57</v>
      </c>
      <c r="D1036" s="44">
        <v>45714</v>
      </c>
      <c r="E1036" s="45">
        <v>398.2</v>
      </c>
    </row>
    <row r="1037" spans="2:5">
      <c r="B1037" s="43" t="s">
        <v>76</v>
      </c>
      <c r="C1037" s="43" t="s">
        <v>77</v>
      </c>
      <c r="D1037" s="44">
        <v>45714</v>
      </c>
      <c r="E1037" s="45">
        <v>141.2</v>
      </c>
    </row>
    <row r="1038" spans="2:5">
      <c r="B1038" s="43" t="s">
        <v>158</v>
      </c>
      <c r="C1038" s="43" t="s">
        <v>159</v>
      </c>
      <c r="D1038" s="44">
        <v>45714</v>
      </c>
      <c r="E1038" s="45">
        <v>127.5</v>
      </c>
    </row>
    <row r="1039" spans="2:5">
      <c r="B1039" s="43" t="s">
        <v>20</v>
      </c>
      <c r="C1039" s="43" t="s">
        <v>21</v>
      </c>
      <c r="D1039" s="44">
        <v>45714</v>
      </c>
      <c r="E1039" s="45">
        <v>245</v>
      </c>
    </row>
    <row r="1040" spans="2:5">
      <c r="B1040" s="43" t="s">
        <v>22</v>
      </c>
      <c r="C1040" s="43" t="s">
        <v>23</v>
      </c>
      <c r="D1040" s="44">
        <v>45714</v>
      </c>
      <c r="E1040" s="45">
        <v>480</v>
      </c>
    </row>
    <row r="1041" spans="2:5">
      <c r="B1041" s="43" t="s">
        <v>80</v>
      </c>
      <c r="C1041" s="43" t="s">
        <v>81</v>
      </c>
      <c r="D1041" s="44">
        <v>45714</v>
      </c>
      <c r="E1041" s="45">
        <v>1463.7</v>
      </c>
    </row>
    <row r="1042" spans="2:5">
      <c r="B1042" s="43" t="s">
        <v>24</v>
      </c>
      <c r="C1042" s="43" t="s">
        <v>25</v>
      </c>
      <c r="D1042" s="44">
        <v>45714</v>
      </c>
      <c r="E1042" s="45">
        <v>2385</v>
      </c>
    </row>
    <row r="1043" spans="2:5">
      <c r="B1043" s="43" t="s">
        <v>58</v>
      </c>
      <c r="C1043" s="43" t="s">
        <v>59</v>
      </c>
      <c r="D1043" s="44">
        <v>45714</v>
      </c>
      <c r="E1043" s="45">
        <v>17.7</v>
      </c>
    </row>
    <row r="1044" spans="2:5">
      <c r="B1044" s="43" t="s">
        <v>26</v>
      </c>
      <c r="C1044" s="43" t="s">
        <v>27</v>
      </c>
      <c r="D1044" s="44">
        <v>45714</v>
      </c>
      <c r="E1044" s="45">
        <v>1679.4</v>
      </c>
    </row>
    <row r="1045" spans="2:5">
      <c r="B1045" s="43" t="s">
        <v>28</v>
      </c>
      <c r="C1045" s="43" t="s">
        <v>29</v>
      </c>
      <c r="D1045" s="44">
        <v>45714</v>
      </c>
      <c r="E1045" s="45">
        <v>214.8</v>
      </c>
    </row>
    <row r="1046" spans="2:5">
      <c r="B1046" s="43" t="s">
        <v>62</v>
      </c>
      <c r="C1046" s="43" t="s">
        <v>63</v>
      </c>
      <c r="D1046" s="44">
        <v>45714</v>
      </c>
      <c r="E1046" s="45">
        <v>2357.5</v>
      </c>
    </row>
    <row r="1047" spans="2:5">
      <c r="B1047" s="43" t="s">
        <v>64</v>
      </c>
      <c r="C1047" s="43" t="s">
        <v>65</v>
      </c>
      <c r="D1047" s="44">
        <v>45714</v>
      </c>
      <c r="E1047" s="45">
        <v>1660</v>
      </c>
    </row>
    <row r="1048" spans="2:5">
      <c r="B1048" s="43" t="s">
        <v>96</v>
      </c>
      <c r="C1048" s="43" t="s">
        <v>97</v>
      </c>
      <c r="D1048" s="44">
        <v>45714</v>
      </c>
      <c r="E1048" s="45">
        <v>42</v>
      </c>
    </row>
    <row r="1049" spans="2:5">
      <c r="B1049" s="43" t="s">
        <v>32</v>
      </c>
      <c r="C1049" s="43" t="s">
        <v>33</v>
      </c>
      <c r="D1049" s="44">
        <v>45714</v>
      </c>
      <c r="E1049" s="45">
        <v>3</v>
      </c>
    </row>
    <row r="1050" spans="2:5">
      <c r="B1050" s="43" t="s">
        <v>98</v>
      </c>
      <c r="C1050" s="43" t="s">
        <v>99</v>
      </c>
      <c r="D1050" s="44">
        <v>45714</v>
      </c>
      <c r="E1050" s="45">
        <v>3</v>
      </c>
    </row>
    <row r="1051" spans="2:5">
      <c r="B1051" s="43" t="s">
        <v>34</v>
      </c>
      <c r="C1051" s="43" t="s">
        <v>35</v>
      </c>
      <c r="D1051" s="44">
        <v>45714</v>
      </c>
      <c r="E1051" s="45">
        <v>3</v>
      </c>
    </row>
    <row r="1052" spans="2:5">
      <c r="B1052" s="43" t="s">
        <v>36</v>
      </c>
      <c r="C1052" s="43" t="s">
        <v>37</v>
      </c>
      <c r="D1052" s="44">
        <v>45714</v>
      </c>
      <c r="E1052" s="45">
        <v>4</v>
      </c>
    </row>
    <row r="1053" spans="2:5">
      <c r="B1053" s="43" t="s">
        <v>38</v>
      </c>
      <c r="C1053" s="43" t="s">
        <v>39</v>
      </c>
      <c r="D1053" s="44">
        <v>45714</v>
      </c>
      <c r="E1053" s="45">
        <v>75</v>
      </c>
    </row>
    <row r="1054" spans="2:5">
      <c r="B1054" s="43" t="s">
        <v>42</v>
      </c>
      <c r="C1054" s="43" t="s">
        <v>43</v>
      </c>
      <c r="D1054" s="44">
        <v>45715</v>
      </c>
      <c r="E1054" s="45">
        <v>6.05</v>
      </c>
    </row>
    <row r="1055" spans="2:5">
      <c r="B1055" s="43" t="s">
        <v>4</v>
      </c>
      <c r="C1055" s="43" t="s">
        <v>5</v>
      </c>
      <c r="D1055" s="44">
        <v>45715</v>
      </c>
      <c r="E1055" s="45">
        <v>80.4</v>
      </c>
    </row>
    <row r="1056" spans="2:5">
      <c r="B1056" s="43" t="s">
        <v>156</v>
      </c>
      <c r="C1056" s="43" t="s">
        <v>157</v>
      </c>
      <c r="D1056" s="44">
        <v>45715</v>
      </c>
      <c r="E1056" s="45">
        <v>15.6</v>
      </c>
    </row>
    <row r="1057" spans="2:5">
      <c r="B1057" s="43" t="s">
        <v>8</v>
      </c>
      <c r="C1057" s="43" t="s">
        <v>9</v>
      </c>
      <c r="D1057" s="44">
        <v>45715</v>
      </c>
      <c r="E1057" s="45">
        <v>113.1</v>
      </c>
    </row>
    <row r="1058" spans="2:5">
      <c r="B1058" s="43" t="s">
        <v>46</v>
      </c>
      <c r="C1058" s="43" t="s">
        <v>47</v>
      </c>
      <c r="D1058" s="44">
        <v>45715</v>
      </c>
      <c r="E1058" s="45">
        <v>406.8</v>
      </c>
    </row>
    <row r="1059" spans="2:5">
      <c r="B1059" s="43" t="s">
        <v>10</v>
      </c>
      <c r="C1059" s="43" t="s">
        <v>11</v>
      </c>
      <c r="D1059" s="44">
        <v>45715</v>
      </c>
      <c r="E1059" s="45">
        <v>254.15</v>
      </c>
    </row>
    <row r="1060" spans="2:5">
      <c r="B1060" s="43" t="s">
        <v>12</v>
      </c>
      <c r="C1060" s="43" t="s">
        <v>13</v>
      </c>
      <c r="D1060" s="44">
        <v>45715</v>
      </c>
      <c r="E1060" s="45">
        <v>496.8</v>
      </c>
    </row>
    <row r="1061" spans="2:5">
      <c r="B1061" s="43" t="s">
        <v>108</v>
      </c>
      <c r="C1061" s="43" t="s">
        <v>109</v>
      </c>
      <c r="D1061" s="44">
        <v>45715</v>
      </c>
      <c r="E1061" s="45">
        <v>124</v>
      </c>
    </row>
    <row r="1062" spans="2:5">
      <c r="B1062" s="43" t="s">
        <v>14</v>
      </c>
      <c r="C1062" s="43" t="s">
        <v>15</v>
      </c>
      <c r="D1062" s="44">
        <v>45715</v>
      </c>
      <c r="E1062" s="45">
        <v>405</v>
      </c>
    </row>
    <row r="1063" spans="2:5">
      <c r="B1063" s="43" t="s">
        <v>56</v>
      </c>
      <c r="C1063" s="43" t="s">
        <v>57</v>
      </c>
      <c r="D1063" s="44">
        <v>45715</v>
      </c>
      <c r="E1063" s="45">
        <v>307.7</v>
      </c>
    </row>
    <row r="1064" spans="2:5">
      <c r="B1064" s="43" t="s">
        <v>190</v>
      </c>
      <c r="C1064" s="43" t="s">
        <v>191</v>
      </c>
      <c r="D1064" s="44">
        <v>45715</v>
      </c>
      <c r="E1064" s="45">
        <v>216</v>
      </c>
    </row>
    <row r="1065" spans="2:5">
      <c r="B1065" s="43" t="s">
        <v>20</v>
      </c>
      <c r="C1065" s="43" t="s">
        <v>21</v>
      </c>
      <c r="D1065" s="44">
        <v>45715</v>
      </c>
      <c r="E1065" s="45">
        <v>245</v>
      </c>
    </row>
    <row r="1066" spans="2:5">
      <c r="B1066" s="43" t="s">
        <v>22</v>
      </c>
      <c r="C1066" s="43" t="s">
        <v>23</v>
      </c>
      <c r="D1066" s="44">
        <v>45715</v>
      </c>
      <c r="E1066" s="45">
        <v>1449.6</v>
      </c>
    </row>
    <row r="1067" spans="2:5">
      <c r="B1067" s="43" t="s">
        <v>80</v>
      </c>
      <c r="C1067" s="43" t="s">
        <v>81</v>
      </c>
      <c r="D1067" s="44">
        <v>45715</v>
      </c>
      <c r="E1067" s="45">
        <v>86.1</v>
      </c>
    </row>
    <row r="1068" spans="2:5">
      <c r="B1068" s="43" t="s">
        <v>24</v>
      </c>
      <c r="C1068" s="43" t="s">
        <v>25</v>
      </c>
      <c r="D1068" s="44">
        <v>45715</v>
      </c>
      <c r="E1068" s="45">
        <v>1717.2</v>
      </c>
    </row>
    <row r="1069" spans="2:5">
      <c r="B1069" s="43" t="s">
        <v>26</v>
      </c>
      <c r="C1069" s="43" t="s">
        <v>27</v>
      </c>
      <c r="D1069" s="44">
        <v>45715</v>
      </c>
      <c r="E1069" s="45">
        <v>2923.4</v>
      </c>
    </row>
    <row r="1070" spans="2:5">
      <c r="B1070" s="43" t="s">
        <v>62</v>
      </c>
      <c r="C1070" s="43" t="s">
        <v>63</v>
      </c>
      <c r="D1070" s="44">
        <v>45715</v>
      </c>
      <c r="E1070" s="45">
        <v>41</v>
      </c>
    </row>
    <row r="1071" spans="2:5">
      <c r="B1071" s="43" t="s">
        <v>64</v>
      </c>
      <c r="C1071" s="43" t="s">
        <v>65</v>
      </c>
      <c r="D1071" s="44">
        <v>45715</v>
      </c>
      <c r="E1071" s="45">
        <v>880</v>
      </c>
    </row>
    <row r="1072" spans="2:5">
      <c r="B1072" s="43" t="s">
        <v>84</v>
      </c>
      <c r="C1072" s="43" t="s">
        <v>85</v>
      </c>
      <c r="D1072" s="44">
        <v>45715</v>
      </c>
      <c r="E1072" s="45">
        <v>174.65</v>
      </c>
    </row>
    <row r="1073" spans="2:5">
      <c r="B1073" s="43" t="s">
        <v>96</v>
      </c>
      <c r="C1073" s="43" t="s">
        <v>97</v>
      </c>
      <c r="D1073" s="44">
        <v>45715</v>
      </c>
      <c r="E1073" s="45">
        <v>4</v>
      </c>
    </row>
    <row r="1074" spans="2:5">
      <c r="B1074" s="43" t="s">
        <v>32</v>
      </c>
      <c r="C1074" s="43" t="s">
        <v>33</v>
      </c>
      <c r="D1074" s="44">
        <v>45715</v>
      </c>
      <c r="E1074" s="45">
        <v>32</v>
      </c>
    </row>
    <row r="1075" spans="2:5">
      <c r="B1075" s="43" t="s">
        <v>36</v>
      </c>
      <c r="C1075" s="43" t="s">
        <v>37</v>
      </c>
      <c r="D1075" s="44">
        <v>45715</v>
      </c>
      <c r="E1075" s="45">
        <v>3</v>
      </c>
    </row>
    <row r="1076" spans="2:5">
      <c r="B1076" s="43" t="s">
        <v>38</v>
      </c>
      <c r="C1076" s="43" t="s">
        <v>39</v>
      </c>
      <c r="D1076" s="44">
        <v>45715</v>
      </c>
      <c r="E1076" s="45">
        <v>80</v>
      </c>
    </row>
    <row r="1077" spans="2:5">
      <c r="B1077" s="43" t="s">
        <v>156</v>
      </c>
      <c r="C1077" s="43" t="s">
        <v>157</v>
      </c>
      <c r="D1077" s="44">
        <v>45716</v>
      </c>
      <c r="E1077" s="45">
        <v>156</v>
      </c>
    </row>
    <row r="1078" spans="2:5">
      <c r="B1078" s="43" t="s">
        <v>8</v>
      </c>
      <c r="C1078" s="43" t="s">
        <v>9</v>
      </c>
      <c r="D1078" s="44">
        <v>45716</v>
      </c>
      <c r="E1078" s="45">
        <v>34.8</v>
      </c>
    </row>
    <row r="1079" spans="2:5">
      <c r="B1079" s="43" t="s">
        <v>46</v>
      </c>
      <c r="C1079" s="43" t="s">
        <v>47</v>
      </c>
      <c r="D1079" s="44">
        <v>45716</v>
      </c>
      <c r="E1079" s="45">
        <v>892.7</v>
      </c>
    </row>
    <row r="1080" spans="2:5">
      <c r="B1080" s="43" t="s">
        <v>74</v>
      </c>
      <c r="C1080" s="43" t="s">
        <v>75</v>
      </c>
      <c r="D1080" s="44">
        <v>45716</v>
      </c>
      <c r="E1080" s="45">
        <v>622.5</v>
      </c>
    </row>
    <row r="1081" spans="2:5">
      <c r="B1081" s="43" t="s">
        <v>12</v>
      </c>
      <c r="C1081" s="43" t="s">
        <v>13</v>
      </c>
      <c r="D1081" s="44">
        <v>45716</v>
      </c>
      <c r="E1081" s="45">
        <v>496.8</v>
      </c>
    </row>
    <row r="1082" spans="2:5">
      <c r="B1082" s="43" t="s">
        <v>48</v>
      </c>
      <c r="C1082" s="43" t="s">
        <v>49</v>
      </c>
      <c r="D1082" s="44">
        <v>45716</v>
      </c>
      <c r="E1082" s="45">
        <v>60.8</v>
      </c>
    </row>
    <row r="1083" spans="2:5">
      <c r="B1083" s="43" t="s">
        <v>176</v>
      </c>
      <c r="C1083" s="43" t="s">
        <v>177</v>
      </c>
      <c r="D1083" s="44">
        <v>45716</v>
      </c>
      <c r="E1083" s="45">
        <v>121.5</v>
      </c>
    </row>
    <row r="1084" spans="2:5">
      <c r="B1084" s="43" t="s">
        <v>78</v>
      </c>
      <c r="C1084" s="43" t="s">
        <v>79</v>
      </c>
      <c r="D1084" s="44">
        <v>45716</v>
      </c>
      <c r="E1084" s="45">
        <v>442.5</v>
      </c>
    </row>
    <row r="1085" spans="2:5">
      <c r="B1085" s="43" t="s">
        <v>20</v>
      </c>
      <c r="C1085" s="43" t="s">
        <v>21</v>
      </c>
      <c r="D1085" s="44">
        <v>45716</v>
      </c>
      <c r="E1085" s="45">
        <v>107.8</v>
      </c>
    </row>
    <row r="1086" spans="2:5">
      <c r="B1086" s="43" t="s">
        <v>22</v>
      </c>
      <c r="C1086" s="43" t="s">
        <v>23</v>
      </c>
      <c r="D1086" s="44">
        <v>45716</v>
      </c>
      <c r="E1086" s="45">
        <v>19.2</v>
      </c>
    </row>
    <row r="1087" spans="2:5">
      <c r="B1087" s="43" t="s">
        <v>80</v>
      </c>
      <c r="C1087" s="43" t="s">
        <v>81</v>
      </c>
      <c r="D1087" s="44">
        <v>45716</v>
      </c>
      <c r="E1087" s="45">
        <v>2583</v>
      </c>
    </row>
    <row r="1088" spans="2:5">
      <c r="B1088" s="43" t="s">
        <v>24</v>
      </c>
      <c r="C1088" s="43" t="s">
        <v>25</v>
      </c>
      <c r="D1088" s="44">
        <v>45716</v>
      </c>
      <c r="E1088" s="45">
        <v>2703</v>
      </c>
    </row>
    <row r="1089" spans="2:5">
      <c r="B1089" s="43" t="s">
        <v>26</v>
      </c>
      <c r="C1089" s="43" t="s">
        <v>27</v>
      </c>
      <c r="D1089" s="44">
        <v>45716</v>
      </c>
      <c r="E1089" s="45">
        <v>513.15</v>
      </c>
    </row>
    <row r="1090" spans="2:5">
      <c r="B1090" s="43" t="s">
        <v>60</v>
      </c>
      <c r="C1090" s="43" t="s">
        <v>61</v>
      </c>
      <c r="D1090" s="44">
        <v>45716</v>
      </c>
      <c r="E1090" s="45">
        <v>439.2</v>
      </c>
    </row>
    <row r="1091" spans="2:5">
      <c r="B1091" s="43" t="s">
        <v>90</v>
      </c>
      <c r="C1091" s="43" t="s">
        <v>91</v>
      </c>
      <c r="D1091" s="44">
        <v>45716</v>
      </c>
      <c r="E1091" s="45">
        <v>5607</v>
      </c>
    </row>
    <row r="1092" spans="2:5">
      <c r="B1092" s="43" t="s">
        <v>30</v>
      </c>
      <c r="C1092" s="43" t="s">
        <v>31</v>
      </c>
      <c r="D1092" s="44">
        <v>45716</v>
      </c>
      <c r="E1092" s="45">
        <v>40</v>
      </c>
    </row>
    <row r="1093" spans="2:5">
      <c r="B1093" s="43" t="s">
        <v>96</v>
      </c>
      <c r="C1093" s="43" t="s">
        <v>97</v>
      </c>
      <c r="D1093" s="44">
        <v>45716</v>
      </c>
      <c r="E1093" s="45">
        <v>4</v>
      </c>
    </row>
    <row r="1094" spans="2:5">
      <c r="B1094" s="43" t="s">
        <v>32</v>
      </c>
      <c r="C1094" s="43" t="s">
        <v>33</v>
      </c>
      <c r="D1094" s="44">
        <v>45716</v>
      </c>
      <c r="E1094" s="45">
        <v>13</v>
      </c>
    </row>
    <row r="1095" spans="2:5">
      <c r="B1095" s="43" t="s">
        <v>34</v>
      </c>
      <c r="C1095" s="43" t="s">
        <v>35</v>
      </c>
      <c r="D1095" s="44">
        <v>45716</v>
      </c>
      <c r="E1095" s="45">
        <v>8</v>
      </c>
    </row>
    <row r="1096" spans="2:5">
      <c r="B1096" s="43" t="s">
        <v>36</v>
      </c>
      <c r="C1096" s="43" t="s">
        <v>37</v>
      </c>
      <c r="D1096" s="44">
        <v>45716</v>
      </c>
      <c r="E1096" s="45">
        <v>5</v>
      </c>
    </row>
    <row r="1097" spans="2:5">
      <c r="B1097" s="43" t="s">
        <v>38</v>
      </c>
      <c r="C1097" s="43" t="s">
        <v>39</v>
      </c>
      <c r="D1097" s="44">
        <v>45716</v>
      </c>
      <c r="E1097" s="45">
        <v>8</v>
      </c>
    </row>
    <row r="1098" spans="2:5">
      <c r="B1098" s="43" t="s">
        <v>100</v>
      </c>
      <c r="C1098" s="43" t="s">
        <v>101</v>
      </c>
      <c r="D1098" s="44">
        <v>45721</v>
      </c>
      <c r="E1098" s="45">
        <v>7</v>
      </c>
    </row>
    <row r="1099" spans="2:5">
      <c r="B1099" s="43" t="s">
        <v>8</v>
      </c>
      <c r="C1099" s="43" t="s">
        <v>9</v>
      </c>
      <c r="D1099" s="44">
        <v>45721</v>
      </c>
      <c r="E1099" s="45">
        <v>26.1</v>
      </c>
    </row>
    <row r="1100" spans="2:5">
      <c r="B1100" s="43" t="s">
        <v>12</v>
      </c>
      <c r="C1100" s="43" t="s">
        <v>13</v>
      </c>
      <c r="D1100" s="44">
        <v>45721</v>
      </c>
      <c r="E1100" s="45">
        <v>110.4</v>
      </c>
    </row>
    <row r="1101" spans="2:5">
      <c r="B1101" s="43" t="s">
        <v>138</v>
      </c>
      <c r="C1101" s="43" t="s">
        <v>139</v>
      </c>
      <c r="D1101" s="44">
        <v>45721</v>
      </c>
      <c r="E1101" s="45">
        <v>31.7</v>
      </c>
    </row>
    <row r="1102" spans="2:5">
      <c r="B1102" s="43" t="s">
        <v>18</v>
      </c>
      <c r="C1102" s="43" t="s">
        <v>19</v>
      </c>
      <c r="D1102" s="44">
        <v>45721</v>
      </c>
      <c r="E1102" s="45">
        <v>178</v>
      </c>
    </row>
    <row r="1103" spans="2:5">
      <c r="B1103" s="43" t="s">
        <v>20</v>
      </c>
      <c r="C1103" s="43" t="s">
        <v>21</v>
      </c>
      <c r="D1103" s="44">
        <v>45721</v>
      </c>
      <c r="E1103" s="45">
        <v>98</v>
      </c>
    </row>
    <row r="1104" spans="2:5">
      <c r="B1104" s="43" t="s">
        <v>22</v>
      </c>
      <c r="C1104" s="43" t="s">
        <v>23</v>
      </c>
      <c r="D1104" s="44">
        <v>45721</v>
      </c>
      <c r="E1104" s="45">
        <v>9.6</v>
      </c>
    </row>
    <row r="1105" spans="2:5">
      <c r="B1105" s="43" t="s">
        <v>80</v>
      </c>
      <c r="C1105" s="43" t="s">
        <v>81</v>
      </c>
      <c r="D1105" s="44">
        <v>45721</v>
      </c>
      <c r="E1105" s="45">
        <v>28.7</v>
      </c>
    </row>
    <row r="1106" spans="2:5">
      <c r="B1106" s="43" t="s">
        <v>24</v>
      </c>
      <c r="C1106" s="43" t="s">
        <v>25</v>
      </c>
      <c r="D1106" s="44">
        <v>45721</v>
      </c>
      <c r="E1106" s="45">
        <v>238.5</v>
      </c>
    </row>
    <row r="1107" spans="2:5">
      <c r="B1107" s="43" t="s">
        <v>58</v>
      </c>
      <c r="C1107" s="43" t="s">
        <v>59</v>
      </c>
      <c r="D1107" s="44">
        <v>45721</v>
      </c>
      <c r="E1107" s="45">
        <v>70.8</v>
      </c>
    </row>
    <row r="1108" spans="2:5">
      <c r="B1108" s="43" t="s">
        <v>26</v>
      </c>
      <c r="C1108" s="43" t="s">
        <v>27</v>
      </c>
      <c r="D1108" s="44">
        <v>45721</v>
      </c>
      <c r="E1108" s="45">
        <v>233.25</v>
      </c>
    </row>
    <row r="1109" spans="2:5">
      <c r="B1109" s="43" t="s">
        <v>64</v>
      </c>
      <c r="C1109" s="43" t="s">
        <v>65</v>
      </c>
      <c r="D1109" s="44">
        <v>45721</v>
      </c>
      <c r="E1109" s="45">
        <v>640</v>
      </c>
    </row>
    <row r="1110" spans="2:5">
      <c r="B1110" s="43" t="s">
        <v>96</v>
      </c>
      <c r="C1110" s="43" t="s">
        <v>97</v>
      </c>
      <c r="D1110" s="44">
        <v>45721</v>
      </c>
      <c r="E1110" s="45">
        <v>14</v>
      </c>
    </row>
    <row r="1111" spans="2:5">
      <c r="B1111" s="43" t="s">
        <v>32</v>
      </c>
      <c r="C1111" s="43" t="s">
        <v>33</v>
      </c>
      <c r="D1111" s="44">
        <v>45721</v>
      </c>
      <c r="E1111" s="45">
        <v>1</v>
      </c>
    </row>
    <row r="1112" spans="2:5">
      <c r="B1112" s="43" t="s">
        <v>34</v>
      </c>
      <c r="C1112" s="43" t="s">
        <v>35</v>
      </c>
      <c r="D1112" s="44">
        <v>45721</v>
      </c>
      <c r="E1112" s="45">
        <v>2</v>
      </c>
    </row>
    <row r="1113" spans="2:5">
      <c r="B1113" s="43" t="s">
        <v>36</v>
      </c>
      <c r="C1113" s="43" t="s">
        <v>37</v>
      </c>
      <c r="D1113" s="44">
        <v>45721</v>
      </c>
      <c r="E1113" s="45">
        <v>3</v>
      </c>
    </row>
    <row r="1114" spans="2:5">
      <c r="B1114" s="43" t="s">
        <v>38</v>
      </c>
      <c r="C1114" s="43" t="s">
        <v>39</v>
      </c>
      <c r="D1114" s="44">
        <v>45721</v>
      </c>
      <c r="E1114" s="45">
        <v>58</v>
      </c>
    </row>
    <row r="1115" spans="2:5">
      <c r="B1115" s="43" t="s">
        <v>8</v>
      </c>
      <c r="C1115" s="43" t="s">
        <v>9</v>
      </c>
      <c r="D1115" s="44">
        <v>45722</v>
      </c>
      <c r="E1115" s="45">
        <v>17.4</v>
      </c>
    </row>
    <row r="1116" spans="2:5">
      <c r="B1116" s="43" t="s">
        <v>44</v>
      </c>
      <c r="C1116" s="43" t="s">
        <v>45</v>
      </c>
      <c r="D1116" s="44">
        <v>45722</v>
      </c>
      <c r="E1116" s="45">
        <v>8.5</v>
      </c>
    </row>
    <row r="1117" spans="2:5">
      <c r="B1117" s="43" t="s">
        <v>10</v>
      </c>
      <c r="C1117" s="43" t="s">
        <v>11</v>
      </c>
      <c r="D1117" s="44">
        <v>45722</v>
      </c>
      <c r="E1117" s="45">
        <v>22.1</v>
      </c>
    </row>
    <row r="1118" spans="2:5">
      <c r="B1118" s="43" t="s">
        <v>12</v>
      </c>
      <c r="C1118" s="43" t="s">
        <v>13</v>
      </c>
      <c r="D1118" s="44">
        <v>45722</v>
      </c>
      <c r="E1118" s="45">
        <v>96.6</v>
      </c>
    </row>
    <row r="1119" spans="2:5">
      <c r="B1119" s="43" t="s">
        <v>14</v>
      </c>
      <c r="C1119" s="43" t="s">
        <v>15</v>
      </c>
      <c r="D1119" s="44">
        <v>45722</v>
      </c>
      <c r="E1119" s="45">
        <v>337.5</v>
      </c>
    </row>
    <row r="1120" spans="2:5">
      <c r="B1120" s="43" t="s">
        <v>50</v>
      </c>
      <c r="C1120" s="43" t="s">
        <v>51</v>
      </c>
      <c r="D1120" s="44">
        <v>45722</v>
      </c>
      <c r="E1120" s="45">
        <v>27.2</v>
      </c>
    </row>
    <row r="1121" spans="2:5">
      <c r="B1121" s="43" t="s">
        <v>76</v>
      </c>
      <c r="C1121" s="43" t="s">
        <v>77</v>
      </c>
      <c r="D1121" s="44">
        <v>45722</v>
      </c>
      <c r="E1121" s="45">
        <v>35.3</v>
      </c>
    </row>
    <row r="1122" spans="2:5">
      <c r="B1122" s="43" t="s">
        <v>20</v>
      </c>
      <c r="C1122" s="43" t="s">
        <v>21</v>
      </c>
      <c r="D1122" s="44">
        <v>45722</v>
      </c>
      <c r="E1122" s="45">
        <v>39.2</v>
      </c>
    </row>
    <row r="1123" spans="2:5">
      <c r="B1123" s="43" t="s">
        <v>22</v>
      </c>
      <c r="C1123" s="43" t="s">
        <v>23</v>
      </c>
      <c r="D1123" s="44">
        <v>45722</v>
      </c>
      <c r="E1123" s="45">
        <v>172.8</v>
      </c>
    </row>
    <row r="1124" spans="2:5">
      <c r="B1124" s="43" t="s">
        <v>80</v>
      </c>
      <c r="C1124" s="43" t="s">
        <v>81</v>
      </c>
      <c r="D1124" s="44">
        <v>45722</v>
      </c>
      <c r="E1124" s="45">
        <v>774.9</v>
      </c>
    </row>
    <row r="1125" spans="2:5">
      <c r="B1125" s="43" t="s">
        <v>24</v>
      </c>
      <c r="C1125" s="43" t="s">
        <v>25</v>
      </c>
      <c r="D1125" s="44">
        <v>45722</v>
      </c>
      <c r="E1125" s="45">
        <v>683.7</v>
      </c>
    </row>
    <row r="1126" spans="2:5">
      <c r="B1126" s="43" t="s">
        <v>26</v>
      </c>
      <c r="C1126" s="43" t="s">
        <v>27</v>
      </c>
      <c r="D1126" s="44">
        <v>45722</v>
      </c>
      <c r="E1126" s="45">
        <v>1726.05</v>
      </c>
    </row>
    <row r="1127" spans="2:5">
      <c r="B1127" s="43" t="s">
        <v>28</v>
      </c>
      <c r="C1127" s="43" t="s">
        <v>29</v>
      </c>
      <c r="D1127" s="44">
        <v>45722</v>
      </c>
      <c r="E1127" s="45">
        <v>358</v>
      </c>
    </row>
    <row r="1128" spans="2:5">
      <c r="B1128" s="43" t="s">
        <v>62</v>
      </c>
      <c r="C1128" s="43" t="s">
        <v>63</v>
      </c>
      <c r="D1128" s="44">
        <v>45722</v>
      </c>
      <c r="E1128" s="45">
        <v>2603.5</v>
      </c>
    </row>
    <row r="1129" spans="2:5">
      <c r="B1129" s="43" t="s">
        <v>64</v>
      </c>
      <c r="C1129" s="43" t="s">
        <v>65</v>
      </c>
      <c r="D1129" s="44">
        <v>45722</v>
      </c>
      <c r="E1129" s="45">
        <v>40</v>
      </c>
    </row>
    <row r="1130" spans="2:5">
      <c r="B1130" s="43" t="s">
        <v>124</v>
      </c>
      <c r="C1130" s="43" t="s">
        <v>125</v>
      </c>
      <c r="D1130" s="44">
        <v>45722</v>
      </c>
      <c r="E1130" s="45">
        <v>120.9</v>
      </c>
    </row>
    <row r="1131" spans="2:5">
      <c r="B1131" s="43" t="s">
        <v>96</v>
      </c>
      <c r="C1131" s="43" t="s">
        <v>97</v>
      </c>
      <c r="D1131" s="44">
        <v>45722</v>
      </c>
      <c r="E1131" s="45">
        <v>20</v>
      </c>
    </row>
    <row r="1132" spans="2:5">
      <c r="B1132" s="43" t="s">
        <v>32</v>
      </c>
      <c r="C1132" s="43" t="s">
        <v>33</v>
      </c>
      <c r="D1132" s="44">
        <v>45722</v>
      </c>
      <c r="E1132" s="45">
        <v>12</v>
      </c>
    </row>
    <row r="1133" spans="2:5">
      <c r="B1133" s="43" t="s">
        <v>34</v>
      </c>
      <c r="C1133" s="43" t="s">
        <v>35</v>
      </c>
      <c r="D1133" s="44">
        <v>45722</v>
      </c>
      <c r="E1133" s="45">
        <v>11</v>
      </c>
    </row>
    <row r="1134" spans="2:5">
      <c r="B1134" s="43" t="s">
        <v>38</v>
      </c>
      <c r="C1134" s="43" t="s">
        <v>39</v>
      </c>
      <c r="D1134" s="44">
        <v>45722</v>
      </c>
      <c r="E1134" s="45">
        <v>84</v>
      </c>
    </row>
    <row r="1135" spans="2:5">
      <c r="B1135" s="43" t="s">
        <v>42</v>
      </c>
      <c r="C1135" s="43" t="s">
        <v>43</v>
      </c>
      <c r="D1135" s="44">
        <v>45723</v>
      </c>
      <c r="E1135" s="45">
        <v>248.05</v>
      </c>
    </row>
    <row r="1136" spans="2:5">
      <c r="B1136" s="43" t="s">
        <v>4</v>
      </c>
      <c r="C1136" s="43" t="s">
        <v>5</v>
      </c>
      <c r="D1136" s="44">
        <v>45723</v>
      </c>
      <c r="E1136" s="45">
        <v>33.5</v>
      </c>
    </row>
    <row r="1137" spans="2:5">
      <c r="B1137" s="43" t="s">
        <v>156</v>
      </c>
      <c r="C1137" s="43" t="s">
        <v>157</v>
      </c>
      <c r="D1137" s="44">
        <v>45723</v>
      </c>
      <c r="E1137" s="45">
        <v>764.4</v>
      </c>
    </row>
    <row r="1138" spans="2:5">
      <c r="B1138" s="43" t="s">
        <v>8</v>
      </c>
      <c r="C1138" s="43" t="s">
        <v>9</v>
      </c>
      <c r="D1138" s="44">
        <v>45723</v>
      </c>
      <c r="E1138" s="45">
        <v>234.9</v>
      </c>
    </row>
    <row r="1139" spans="2:5">
      <c r="B1139" s="43" t="s">
        <v>44</v>
      </c>
      <c r="C1139" s="43" t="s">
        <v>45</v>
      </c>
      <c r="D1139" s="44">
        <v>45723</v>
      </c>
      <c r="E1139" s="45">
        <v>263.5</v>
      </c>
    </row>
    <row r="1140" spans="2:5">
      <c r="B1140" s="43" t="s">
        <v>72</v>
      </c>
      <c r="C1140" s="43" t="s">
        <v>73</v>
      </c>
      <c r="D1140" s="44">
        <v>45723</v>
      </c>
      <c r="E1140" s="45">
        <v>265.2</v>
      </c>
    </row>
    <row r="1141" spans="2:5">
      <c r="B1141" s="43" t="s">
        <v>46</v>
      </c>
      <c r="C1141" s="43" t="s">
        <v>47</v>
      </c>
      <c r="D1141" s="44">
        <v>45723</v>
      </c>
      <c r="E1141" s="45">
        <v>259.9</v>
      </c>
    </row>
    <row r="1142" spans="2:5">
      <c r="B1142" s="43" t="s">
        <v>10</v>
      </c>
      <c r="C1142" s="43" t="s">
        <v>11</v>
      </c>
      <c r="D1142" s="44">
        <v>45723</v>
      </c>
      <c r="E1142" s="45">
        <v>331.5</v>
      </c>
    </row>
    <row r="1143" spans="2:5">
      <c r="B1143" s="43" t="s">
        <v>74</v>
      </c>
      <c r="C1143" s="43" t="s">
        <v>75</v>
      </c>
      <c r="D1143" s="44">
        <v>45723</v>
      </c>
      <c r="E1143" s="45">
        <v>62.25</v>
      </c>
    </row>
    <row r="1144" spans="2:5">
      <c r="B1144" s="43" t="s">
        <v>12</v>
      </c>
      <c r="C1144" s="43" t="s">
        <v>13</v>
      </c>
      <c r="D1144" s="44">
        <v>45723</v>
      </c>
      <c r="E1144" s="45">
        <v>2152.8</v>
      </c>
    </row>
    <row r="1145" spans="2:5">
      <c r="B1145" s="43" t="s">
        <v>108</v>
      </c>
      <c r="C1145" s="43" t="s">
        <v>109</v>
      </c>
      <c r="D1145" s="44">
        <v>45723</v>
      </c>
      <c r="E1145" s="45">
        <v>1410</v>
      </c>
    </row>
    <row r="1146" spans="2:5">
      <c r="B1146" s="43" t="s">
        <v>14</v>
      </c>
      <c r="C1146" s="43" t="s">
        <v>15</v>
      </c>
      <c r="D1146" s="44">
        <v>45723</v>
      </c>
      <c r="E1146" s="45">
        <v>1188</v>
      </c>
    </row>
    <row r="1147" spans="2:5">
      <c r="B1147" s="43" t="s">
        <v>134</v>
      </c>
      <c r="C1147" s="43" t="s">
        <v>135</v>
      </c>
      <c r="D1147" s="44">
        <v>45723</v>
      </c>
      <c r="E1147" s="45">
        <v>36.75</v>
      </c>
    </row>
    <row r="1148" spans="2:5">
      <c r="B1148" s="43" t="s">
        <v>144</v>
      </c>
      <c r="C1148" s="43" t="s">
        <v>145</v>
      </c>
      <c r="D1148" s="44">
        <v>45723</v>
      </c>
      <c r="E1148" s="45">
        <v>372.6</v>
      </c>
    </row>
    <row r="1149" spans="2:5">
      <c r="B1149" s="43" t="s">
        <v>182</v>
      </c>
      <c r="C1149" s="43" t="s">
        <v>183</v>
      </c>
      <c r="D1149" s="44">
        <v>45723</v>
      </c>
      <c r="E1149" s="45">
        <v>1055</v>
      </c>
    </row>
    <row r="1150" spans="2:5">
      <c r="B1150" s="43" t="s">
        <v>152</v>
      </c>
      <c r="C1150" s="43" t="s">
        <v>153</v>
      </c>
      <c r="D1150" s="44">
        <v>45723</v>
      </c>
      <c r="E1150" s="45">
        <v>930</v>
      </c>
    </row>
    <row r="1151" spans="2:5">
      <c r="B1151" s="43" t="s">
        <v>158</v>
      </c>
      <c r="C1151" s="43" t="s">
        <v>159</v>
      </c>
      <c r="D1151" s="44">
        <v>45723</v>
      </c>
      <c r="E1151" s="45">
        <v>1555.5</v>
      </c>
    </row>
    <row r="1152" spans="2:5">
      <c r="B1152" s="43" t="s">
        <v>130</v>
      </c>
      <c r="C1152" s="43" t="s">
        <v>131</v>
      </c>
      <c r="D1152" s="44">
        <v>45723</v>
      </c>
      <c r="E1152" s="45">
        <v>1034</v>
      </c>
    </row>
    <row r="1153" spans="2:5">
      <c r="B1153" s="43" t="s">
        <v>192</v>
      </c>
      <c r="C1153" s="43" t="s">
        <v>193</v>
      </c>
      <c r="D1153" s="44">
        <v>45723</v>
      </c>
      <c r="E1153" s="45">
        <v>954.8</v>
      </c>
    </row>
    <row r="1154" spans="2:5">
      <c r="B1154" s="43" t="s">
        <v>78</v>
      </c>
      <c r="C1154" s="43" t="s">
        <v>79</v>
      </c>
      <c r="D1154" s="44">
        <v>45723</v>
      </c>
      <c r="E1154" s="45">
        <v>442.5</v>
      </c>
    </row>
    <row r="1155" spans="2:5">
      <c r="B1155" s="43" t="s">
        <v>20</v>
      </c>
      <c r="C1155" s="43" t="s">
        <v>21</v>
      </c>
      <c r="D1155" s="44">
        <v>45723</v>
      </c>
      <c r="E1155" s="45">
        <v>68.6</v>
      </c>
    </row>
    <row r="1156" spans="2:5">
      <c r="B1156" s="43" t="s">
        <v>22</v>
      </c>
      <c r="C1156" s="43" t="s">
        <v>23</v>
      </c>
      <c r="D1156" s="44">
        <v>45723</v>
      </c>
      <c r="E1156" s="45">
        <v>9.6</v>
      </c>
    </row>
    <row r="1157" spans="2:5">
      <c r="B1157" s="43" t="s">
        <v>80</v>
      </c>
      <c r="C1157" s="43" t="s">
        <v>81</v>
      </c>
      <c r="D1157" s="44">
        <v>45723</v>
      </c>
      <c r="E1157" s="45">
        <v>932.75</v>
      </c>
    </row>
    <row r="1158" spans="2:5">
      <c r="B1158" s="43" t="s">
        <v>24</v>
      </c>
      <c r="C1158" s="43" t="s">
        <v>25</v>
      </c>
      <c r="D1158" s="44">
        <v>45723</v>
      </c>
      <c r="E1158" s="45">
        <v>3657</v>
      </c>
    </row>
    <row r="1159" spans="2:5">
      <c r="B1159" s="43" t="s">
        <v>26</v>
      </c>
      <c r="C1159" s="43" t="s">
        <v>27</v>
      </c>
      <c r="D1159" s="44">
        <v>45723</v>
      </c>
      <c r="E1159" s="45">
        <v>901.9</v>
      </c>
    </row>
    <row r="1160" spans="2:5">
      <c r="B1160" s="43" t="s">
        <v>110</v>
      </c>
      <c r="C1160" s="43" t="s">
        <v>111</v>
      </c>
      <c r="D1160" s="44">
        <v>45723</v>
      </c>
      <c r="E1160" s="45">
        <v>1023</v>
      </c>
    </row>
    <row r="1161" spans="2:5">
      <c r="B1161" s="43" t="s">
        <v>60</v>
      </c>
      <c r="C1161" s="43" t="s">
        <v>61</v>
      </c>
      <c r="D1161" s="44">
        <v>45723</v>
      </c>
      <c r="E1161" s="45">
        <v>247.5</v>
      </c>
    </row>
    <row r="1162" spans="2:5">
      <c r="B1162" s="43" t="s">
        <v>28</v>
      </c>
      <c r="C1162" s="43" t="s">
        <v>29</v>
      </c>
      <c r="D1162" s="44">
        <v>45723</v>
      </c>
      <c r="E1162" s="45">
        <v>375.9</v>
      </c>
    </row>
    <row r="1163" spans="2:5">
      <c r="B1163" s="43" t="s">
        <v>62</v>
      </c>
      <c r="C1163" s="43" t="s">
        <v>63</v>
      </c>
      <c r="D1163" s="44">
        <v>45723</v>
      </c>
      <c r="E1163" s="45">
        <v>1230</v>
      </c>
    </row>
    <row r="1164" spans="2:5">
      <c r="B1164" s="43" t="s">
        <v>148</v>
      </c>
      <c r="C1164" s="43" t="s">
        <v>149</v>
      </c>
      <c r="D1164" s="44">
        <v>45723</v>
      </c>
      <c r="E1164" s="45">
        <v>801.5</v>
      </c>
    </row>
    <row r="1165" spans="2:5">
      <c r="B1165" s="43" t="s">
        <v>64</v>
      </c>
      <c r="C1165" s="43" t="s">
        <v>65</v>
      </c>
      <c r="D1165" s="44">
        <v>45723</v>
      </c>
      <c r="E1165" s="45">
        <v>920</v>
      </c>
    </row>
    <row r="1166" spans="2:5">
      <c r="B1166" s="43" t="s">
        <v>132</v>
      </c>
      <c r="C1166" s="43" t="s">
        <v>133</v>
      </c>
      <c r="D1166" s="44">
        <v>45723</v>
      </c>
      <c r="E1166" s="45">
        <v>309</v>
      </c>
    </row>
    <row r="1167" spans="2:5">
      <c r="B1167" s="43" t="s">
        <v>30</v>
      </c>
      <c r="C1167" s="43" t="s">
        <v>31</v>
      </c>
      <c r="D1167" s="44">
        <v>45723</v>
      </c>
      <c r="E1167" s="45">
        <v>100</v>
      </c>
    </row>
    <row r="1168" spans="2:5">
      <c r="B1168" s="43" t="s">
        <v>96</v>
      </c>
      <c r="C1168" s="43" t="s">
        <v>97</v>
      </c>
      <c r="D1168" s="44">
        <v>45723</v>
      </c>
      <c r="E1168" s="45">
        <v>228</v>
      </c>
    </row>
    <row r="1169" spans="2:5">
      <c r="B1169" s="43" t="s">
        <v>32</v>
      </c>
      <c r="C1169" s="43" t="s">
        <v>33</v>
      </c>
      <c r="D1169" s="44">
        <v>45723</v>
      </c>
      <c r="E1169" s="45">
        <v>1</v>
      </c>
    </row>
    <row r="1170" spans="2:5">
      <c r="B1170" s="43" t="s">
        <v>98</v>
      </c>
      <c r="C1170" s="43" t="s">
        <v>99</v>
      </c>
      <c r="D1170" s="44">
        <v>45723</v>
      </c>
      <c r="E1170" s="45">
        <v>10</v>
      </c>
    </row>
    <row r="1171" spans="2:5">
      <c r="B1171" s="43" t="s">
        <v>160</v>
      </c>
      <c r="C1171" s="43" t="s">
        <v>161</v>
      </c>
      <c r="D1171" s="44">
        <v>45723</v>
      </c>
      <c r="E1171" s="45">
        <v>4</v>
      </c>
    </row>
    <row r="1172" spans="2:5">
      <c r="B1172" s="43" t="s">
        <v>34</v>
      </c>
      <c r="C1172" s="43" t="s">
        <v>35</v>
      </c>
      <c r="D1172" s="44">
        <v>45723</v>
      </c>
      <c r="E1172" s="45">
        <v>9</v>
      </c>
    </row>
    <row r="1173" spans="2:5">
      <c r="B1173" s="43" t="s">
        <v>36</v>
      </c>
      <c r="C1173" s="43" t="s">
        <v>37</v>
      </c>
      <c r="D1173" s="44">
        <v>45723</v>
      </c>
      <c r="E1173" s="45">
        <v>49</v>
      </c>
    </row>
    <row r="1174" spans="2:5">
      <c r="B1174" s="43" t="s">
        <v>38</v>
      </c>
      <c r="C1174" s="43" t="s">
        <v>39</v>
      </c>
      <c r="D1174" s="44">
        <v>45723</v>
      </c>
      <c r="E1174" s="45">
        <v>110</v>
      </c>
    </row>
    <row r="1175" spans="2:5">
      <c r="B1175" s="43" t="s">
        <v>156</v>
      </c>
      <c r="C1175" s="43" t="s">
        <v>157</v>
      </c>
      <c r="D1175" s="44">
        <v>45726</v>
      </c>
      <c r="E1175" s="45">
        <v>7.8</v>
      </c>
    </row>
    <row r="1176" spans="2:5">
      <c r="B1176" s="43" t="s">
        <v>8</v>
      </c>
      <c r="C1176" s="43" t="s">
        <v>9</v>
      </c>
      <c r="D1176" s="44">
        <v>45726</v>
      </c>
      <c r="E1176" s="45">
        <v>26.1</v>
      </c>
    </row>
    <row r="1177" spans="2:5">
      <c r="B1177" s="43" t="s">
        <v>46</v>
      </c>
      <c r="C1177" s="43" t="s">
        <v>47</v>
      </c>
      <c r="D1177" s="44">
        <v>45726</v>
      </c>
      <c r="E1177" s="45">
        <v>22.6</v>
      </c>
    </row>
    <row r="1178" spans="2:5">
      <c r="B1178" s="43" t="s">
        <v>12</v>
      </c>
      <c r="C1178" s="43" t="s">
        <v>13</v>
      </c>
      <c r="D1178" s="44">
        <v>45726</v>
      </c>
      <c r="E1178" s="45">
        <v>262.2</v>
      </c>
    </row>
    <row r="1179" spans="2:5">
      <c r="B1179" s="43" t="s">
        <v>14</v>
      </c>
      <c r="C1179" s="43" t="s">
        <v>15</v>
      </c>
      <c r="D1179" s="44">
        <v>45726</v>
      </c>
      <c r="E1179" s="45">
        <v>472.5</v>
      </c>
    </row>
    <row r="1180" spans="2:5">
      <c r="B1180" s="43" t="s">
        <v>134</v>
      </c>
      <c r="C1180" s="43" t="s">
        <v>135</v>
      </c>
      <c r="D1180" s="44">
        <v>45726</v>
      </c>
      <c r="E1180" s="45">
        <v>49</v>
      </c>
    </row>
    <row r="1181" spans="2:5">
      <c r="B1181" s="43" t="s">
        <v>144</v>
      </c>
      <c r="C1181" s="43" t="s">
        <v>145</v>
      </c>
      <c r="D1181" s="44">
        <v>45726</v>
      </c>
      <c r="E1181" s="45">
        <v>64.8</v>
      </c>
    </row>
    <row r="1182" spans="2:5">
      <c r="B1182" s="43" t="s">
        <v>16</v>
      </c>
      <c r="C1182" s="43" t="s">
        <v>17</v>
      </c>
      <c r="D1182" s="44">
        <v>45726</v>
      </c>
      <c r="E1182" s="45">
        <v>91.2</v>
      </c>
    </row>
    <row r="1183" spans="2:5">
      <c r="B1183" s="43" t="s">
        <v>20</v>
      </c>
      <c r="C1183" s="43" t="s">
        <v>21</v>
      </c>
      <c r="D1183" s="44">
        <v>45726</v>
      </c>
      <c r="E1183" s="45">
        <v>107.8</v>
      </c>
    </row>
    <row r="1184" spans="2:5">
      <c r="B1184" s="43" t="s">
        <v>22</v>
      </c>
      <c r="C1184" s="43" t="s">
        <v>23</v>
      </c>
      <c r="D1184" s="44">
        <v>45726</v>
      </c>
      <c r="E1184" s="45">
        <v>22.2</v>
      </c>
    </row>
    <row r="1185" spans="2:5">
      <c r="B1185" s="43" t="s">
        <v>24</v>
      </c>
      <c r="C1185" s="43" t="s">
        <v>25</v>
      </c>
      <c r="D1185" s="44">
        <v>45726</v>
      </c>
      <c r="E1185" s="45">
        <v>413.4</v>
      </c>
    </row>
    <row r="1186" spans="2:5">
      <c r="B1186" s="43" t="s">
        <v>58</v>
      </c>
      <c r="C1186" s="43" t="s">
        <v>59</v>
      </c>
      <c r="D1186" s="44">
        <v>45726</v>
      </c>
      <c r="E1186" s="45">
        <v>247.8</v>
      </c>
    </row>
    <row r="1187" spans="2:5">
      <c r="B1187" s="43" t="s">
        <v>26</v>
      </c>
      <c r="C1187" s="43" t="s">
        <v>27</v>
      </c>
      <c r="D1187" s="44">
        <v>45726</v>
      </c>
      <c r="E1187" s="45">
        <v>1088.5</v>
      </c>
    </row>
    <row r="1188" spans="2:5">
      <c r="B1188" s="43" t="s">
        <v>110</v>
      </c>
      <c r="C1188" s="43" t="s">
        <v>111</v>
      </c>
      <c r="D1188" s="44">
        <v>45726</v>
      </c>
      <c r="E1188" s="45">
        <v>16.5</v>
      </c>
    </row>
    <row r="1189" spans="2:5">
      <c r="B1189" s="43" t="s">
        <v>28</v>
      </c>
      <c r="C1189" s="43" t="s">
        <v>29</v>
      </c>
      <c r="D1189" s="44">
        <v>45726</v>
      </c>
      <c r="E1189" s="45">
        <v>519.1</v>
      </c>
    </row>
    <row r="1190" spans="2:5">
      <c r="B1190" s="43" t="s">
        <v>62</v>
      </c>
      <c r="C1190" s="43" t="s">
        <v>63</v>
      </c>
      <c r="D1190" s="44">
        <v>45726</v>
      </c>
      <c r="E1190" s="45">
        <v>348.5</v>
      </c>
    </row>
    <row r="1191" spans="2:5">
      <c r="B1191" s="43" t="s">
        <v>148</v>
      </c>
      <c r="C1191" s="43" t="s">
        <v>149</v>
      </c>
      <c r="D1191" s="44">
        <v>45726</v>
      </c>
      <c r="E1191" s="45">
        <v>297.7</v>
      </c>
    </row>
    <row r="1192" spans="2:5">
      <c r="B1192" s="43" t="s">
        <v>90</v>
      </c>
      <c r="C1192" s="43" t="s">
        <v>91</v>
      </c>
      <c r="D1192" s="44">
        <v>45726</v>
      </c>
      <c r="E1192" s="45">
        <v>534</v>
      </c>
    </row>
    <row r="1193" spans="2:5">
      <c r="B1193" s="43" t="s">
        <v>64</v>
      </c>
      <c r="C1193" s="43" t="s">
        <v>65</v>
      </c>
      <c r="D1193" s="44">
        <v>45726</v>
      </c>
      <c r="E1193" s="45">
        <v>720</v>
      </c>
    </row>
    <row r="1194" spans="2:5">
      <c r="B1194" s="43" t="s">
        <v>164</v>
      </c>
      <c r="C1194" s="43" t="s">
        <v>165</v>
      </c>
      <c r="D1194" s="44">
        <v>45726</v>
      </c>
      <c r="E1194" s="45">
        <v>101.7</v>
      </c>
    </row>
    <row r="1195" spans="2:5">
      <c r="B1195" s="43" t="s">
        <v>166</v>
      </c>
      <c r="C1195" s="43" t="s">
        <v>167</v>
      </c>
      <c r="D1195" s="44">
        <v>45726</v>
      </c>
      <c r="E1195" s="45">
        <v>77.4</v>
      </c>
    </row>
    <row r="1196" spans="2:5">
      <c r="B1196" s="43" t="s">
        <v>132</v>
      </c>
      <c r="C1196" s="43" t="s">
        <v>133</v>
      </c>
      <c r="D1196" s="44">
        <v>45726</v>
      </c>
      <c r="E1196" s="45">
        <v>309</v>
      </c>
    </row>
    <row r="1197" spans="2:5">
      <c r="B1197" s="43" t="s">
        <v>124</v>
      </c>
      <c r="C1197" s="43" t="s">
        <v>125</v>
      </c>
      <c r="D1197" s="44">
        <v>45726</v>
      </c>
      <c r="E1197" s="45">
        <v>282.1</v>
      </c>
    </row>
    <row r="1198" spans="2:5">
      <c r="B1198" s="43" t="s">
        <v>96</v>
      </c>
      <c r="C1198" s="43" t="s">
        <v>97</v>
      </c>
      <c r="D1198" s="44">
        <v>45726</v>
      </c>
      <c r="E1198" s="45">
        <v>42</v>
      </c>
    </row>
    <row r="1199" spans="2:5">
      <c r="B1199" s="43" t="s">
        <v>32</v>
      </c>
      <c r="C1199" s="43" t="s">
        <v>33</v>
      </c>
      <c r="D1199" s="44">
        <v>45726</v>
      </c>
      <c r="E1199" s="45">
        <v>4</v>
      </c>
    </row>
    <row r="1200" spans="2:5">
      <c r="B1200" s="43" t="s">
        <v>98</v>
      </c>
      <c r="C1200" s="43" t="s">
        <v>99</v>
      </c>
      <c r="D1200" s="44">
        <v>45726</v>
      </c>
      <c r="E1200" s="45">
        <v>2</v>
      </c>
    </row>
    <row r="1201" spans="2:5">
      <c r="B1201" s="43" t="s">
        <v>160</v>
      </c>
      <c r="C1201" s="43" t="s">
        <v>161</v>
      </c>
      <c r="D1201" s="44">
        <v>45726</v>
      </c>
      <c r="E1201" s="45">
        <v>2</v>
      </c>
    </row>
    <row r="1202" spans="2:5">
      <c r="B1202" s="43" t="s">
        <v>156</v>
      </c>
      <c r="C1202" s="43" t="s">
        <v>157</v>
      </c>
      <c r="D1202" s="44">
        <v>45727</v>
      </c>
      <c r="E1202" s="45">
        <v>7.8</v>
      </c>
    </row>
    <row r="1203" spans="2:5">
      <c r="B1203" s="43" t="s">
        <v>8</v>
      </c>
      <c r="C1203" s="43" t="s">
        <v>9</v>
      </c>
      <c r="D1203" s="44">
        <v>45727</v>
      </c>
      <c r="E1203" s="45">
        <v>17.4</v>
      </c>
    </row>
    <row r="1204" spans="2:5">
      <c r="B1204" s="43" t="s">
        <v>46</v>
      </c>
      <c r="C1204" s="43" t="s">
        <v>47</v>
      </c>
      <c r="D1204" s="44">
        <v>45727</v>
      </c>
      <c r="E1204" s="45">
        <v>406.8</v>
      </c>
    </row>
    <row r="1205" spans="2:5">
      <c r="B1205" s="43" t="s">
        <v>74</v>
      </c>
      <c r="C1205" s="43" t="s">
        <v>75</v>
      </c>
      <c r="D1205" s="44">
        <v>45727</v>
      </c>
      <c r="E1205" s="45">
        <v>273.9</v>
      </c>
    </row>
    <row r="1206" spans="2:5">
      <c r="B1206" s="43" t="s">
        <v>12</v>
      </c>
      <c r="C1206" s="43" t="s">
        <v>13</v>
      </c>
      <c r="D1206" s="44">
        <v>45727</v>
      </c>
      <c r="E1206" s="45">
        <v>289.8</v>
      </c>
    </row>
    <row r="1207" spans="2:5">
      <c r="B1207" s="43" t="s">
        <v>48</v>
      </c>
      <c r="C1207" s="43" t="s">
        <v>49</v>
      </c>
      <c r="D1207" s="44">
        <v>45727</v>
      </c>
      <c r="E1207" s="45">
        <v>121.6</v>
      </c>
    </row>
    <row r="1208" spans="2:5">
      <c r="B1208" s="43" t="s">
        <v>14</v>
      </c>
      <c r="C1208" s="43" t="s">
        <v>15</v>
      </c>
      <c r="D1208" s="44">
        <v>45727</v>
      </c>
      <c r="E1208" s="45">
        <v>148.5</v>
      </c>
    </row>
    <row r="1209" spans="2:5">
      <c r="B1209" s="43" t="s">
        <v>50</v>
      </c>
      <c r="C1209" s="43" t="s">
        <v>51</v>
      </c>
      <c r="D1209" s="44">
        <v>45727</v>
      </c>
      <c r="E1209" s="45">
        <v>326.4</v>
      </c>
    </row>
    <row r="1210" spans="2:5">
      <c r="B1210" s="43" t="s">
        <v>144</v>
      </c>
      <c r="C1210" s="43" t="s">
        <v>145</v>
      </c>
      <c r="D1210" s="44">
        <v>45727</v>
      </c>
      <c r="E1210" s="45">
        <v>97.2</v>
      </c>
    </row>
    <row r="1211" spans="2:5">
      <c r="B1211" s="43" t="s">
        <v>176</v>
      </c>
      <c r="C1211" s="43" t="s">
        <v>177</v>
      </c>
      <c r="D1211" s="44">
        <v>45727</v>
      </c>
      <c r="E1211" s="45">
        <v>81</v>
      </c>
    </row>
    <row r="1212" spans="2:5">
      <c r="B1212" s="43" t="s">
        <v>180</v>
      </c>
      <c r="C1212" s="43" t="s">
        <v>181</v>
      </c>
      <c r="D1212" s="44">
        <v>45727</v>
      </c>
      <c r="E1212" s="45">
        <v>33.6</v>
      </c>
    </row>
    <row r="1213" spans="2:5">
      <c r="B1213" s="43" t="s">
        <v>130</v>
      </c>
      <c r="C1213" s="43" t="s">
        <v>131</v>
      </c>
      <c r="D1213" s="44">
        <v>45727</v>
      </c>
      <c r="E1213" s="45">
        <v>1085.7</v>
      </c>
    </row>
    <row r="1214" spans="2:5">
      <c r="B1214" s="43" t="s">
        <v>20</v>
      </c>
      <c r="C1214" s="43" t="s">
        <v>21</v>
      </c>
      <c r="D1214" s="44">
        <v>45727</v>
      </c>
      <c r="E1214" s="45">
        <v>19.6</v>
      </c>
    </row>
    <row r="1215" spans="2:5">
      <c r="B1215" s="43" t="s">
        <v>120</v>
      </c>
      <c r="C1215" s="43" t="s">
        <v>121</v>
      </c>
      <c r="D1215" s="44">
        <v>45727</v>
      </c>
      <c r="E1215" s="45">
        <v>7.6</v>
      </c>
    </row>
    <row r="1216" spans="2:5">
      <c r="B1216" s="43" t="s">
        <v>24</v>
      </c>
      <c r="C1216" s="43" t="s">
        <v>25</v>
      </c>
      <c r="D1216" s="44">
        <v>45727</v>
      </c>
      <c r="E1216" s="45">
        <v>1955.7</v>
      </c>
    </row>
    <row r="1217" spans="2:5">
      <c r="B1217" s="43" t="s">
        <v>58</v>
      </c>
      <c r="C1217" s="43" t="s">
        <v>59</v>
      </c>
      <c r="D1217" s="44">
        <v>45727</v>
      </c>
      <c r="E1217" s="45">
        <v>17.7</v>
      </c>
    </row>
    <row r="1218" spans="2:5">
      <c r="B1218" s="43" t="s">
        <v>26</v>
      </c>
      <c r="C1218" s="43" t="s">
        <v>27</v>
      </c>
      <c r="D1218" s="44">
        <v>45727</v>
      </c>
      <c r="E1218" s="45">
        <v>1539.45</v>
      </c>
    </row>
    <row r="1219" spans="2:5">
      <c r="B1219" s="43" t="s">
        <v>60</v>
      </c>
      <c r="C1219" s="43" t="s">
        <v>61</v>
      </c>
      <c r="D1219" s="44">
        <v>45727</v>
      </c>
      <c r="E1219" s="45">
        <v>420.9</v>
      </c>
    </row>
    <row r="1220" spans="2:5">
      <c r="B1220" s="43" t="s">
        <v>28</v>
      </c>
      <c r="C1220" s="43" t="s">
        <v>29</v>
      </c>
      <c r="D1220" s="44">
        <v>45727</v>
      </c>
      <c r="E1220" s="45">
        <v>125.3</v>
      </c>
    </row>
    <row r="1221" spans="2:5">
      <c r="B1221" s="43" t="s">
        <v>62</v>
      </c>
      <c r="C1221" s="43" t="s">
        <v>63</v>
      </c>
      <c r="D1221" s="44">
        <v>45727</v>
      </c>
      <c r="E1221" s="45">
        <v>246</v>
      </c>
    </row>
    <row r="1222" spans="2:5">
      <c r="B1222" s="43" t="s">
        <v>64</v>
      </c>
      <c r="C1222" s="43" t="s">
        <v>65</v>
      </c>
      <c r="D1222" s="44">
        <v>45727</v>
      </c>
      <c r="E1222" s="45">
        <v>140</v>
      </c>
    </row>
    <row r="1223" spans="2:5">
      <c r="B1223" s="43" t="s">
        <v>132</v>
      </c>
      <c r="C1223" s="43" t="s">
        <v>133</v>
      </c>
      <c r="D1223" s="44">
        <v>45727</v>
      </c>
      <c r="E1223" s="45">
        <v>30.9</v>
      </c>
    </row>
    <row r="1224" spans="2:5">
      <c r="B1224" s="43" t="s">
        <v>150</v>
      </c>
      <c r="C1224" s="43" t="s">
        <v>151</v>
      </c>
      <c r="D1224" s="44">
        <v>45727</v>
      </c>
      <c r="E1224" s="45">
        <v>1082</v>
      </c>
    </row>
    <row r="1225" spans="2:5">
      <c r="B1225" s="43" t="s">
        <v>68</v>
      </c>
      <c r="C1225" s="43" t="s">
        <v>69</v>
      </c>
      <c r="D1225" s="44">
        <v>45727</v>
      </c>
      <c r="E1225" s="45">
        <v>430.8</v>
      </c>
    </row>
    <row r="1226" spans="2:5">
      <c r="B1226" s="43" t="s">
        <v>106</v>
      </c>
      <c r="C1226" s="43" t="s">
        <v>107</v>
      </c>
      <c r="D1226" s="44">
        <v>45727</v>
      </c>
      <c r="E1226" s="45">
        <v>15.4</v>
      </c>
    </row>
    <row r="1227" spans="2:5">
      <c r="B1227" s="43" t="s">
        <v>142</v>
      </c>
      <c r="C1227" s="43" t="s">
        <v>143</v>
      </c>
      <c r="D1227" s="44">
        <v>45727</v>
      </c>
      <c r="E1227" s="45">
        <v>5</v>
      </c>
    </row>
    <row r="1228" spans="2:5">
      <c r="B1228" s="43" t="s">
        <v>96</v>
      </c>
      <c r="C1228" s="43" t="s">
        <v>97</v>
      </c>
      <c r="D1228" s="44">
        <v>45727</v>
      </c>
      <c r="E1228" s="45">
        <v>32</v>
      </c>
    </row>
    <row r="1229" spans="2:5">
      <c r="B1229" s="43" t="s">
        <v>32</v>
      </c>
      <c r="C1229" s="43" t="s">
        <v>33</v>
      </c>
      <c r="D1229" s="44">
        <v>45727</v>
      </c>
      <c r="E1229" s="45">
        <v>8</v>
      </c>
    </row>
    <row r="1230" spans="2:5">
      <c r="B1230" s="43" t="s">
        <v>160</v>
      </c>
      <c r="C1230" s="43" t="s">
        <v>161</v>
      </c>
      <c r="D1230" s="44">
        <v>45727</v>
      </c>
      <c r="E1230" s="45">
        <v>2</v>
      </c>
    </row>
    <row r="1231" spans="2:5">
      <c r="B1231" s="43" t="s">
        <v>34</v>
      </c>
      <c r="C1231" s="43" t="s">
        <v>35</v>
      </c>
      <c r="D1231" s="44">
        <v>45727</v>
      </c>
      <c r="E1231" s="45">
        <v>1</v>
      </c>
    </row>
    <row r="1232" spans="2:5">
      <c r="B1232" s="43" t="s">
        <v>38</v>
      </c>
      <c r="C1232" s="43" t="s">
        <v>39</v>
      </c>
      <c r="D1232" s="44">
        <v>45727</v>
      </c>
      <c r="E1232" s="45">
        <v>107</v>
      </c>
    </row>
    <row r="1233" spans="2:5">
      <c r="B1233" s="43" t="s">
        <v>102</v>
      </c>
      <c r="C1233" s="43" t="s">
        <v>103</v>
      </c>
      <c r="D1233" s="44">
        <v>45728</v>
      </c>
      <c r="E1233" s="45">
        <v>10</v>
      </c>
    </row>
    <row r="1234" spans="2:5">
      <c r="B1234" s="43" t="s">
        <v>156</v>
      </c>
      <c r="C1234" s="43" t="s">
        <v>157</v>
      </c>
      <c r="D1234" s="44">
        <v>45728</v>
      </c>
      <c r="E1234" s="45">
        <v>7.8</v>
      </c>
    </row>
    <row r="1235" spans="2:5">
      <c r="B1235" s="43" t="s">
        <v>8</v>
      </c>
      <c r="C1235" s="43" t="s">
        <v>9</v>
      </c>
      <c r="D1235" s="44">
        <v>45728</v>
      </c>
      <c r="E1235" s="45">
        <v>165.3</v>
      </c>
    </row>
    <row r="1236" spans="2:5">
      <c r="B1236" s="43" t="s">
        <v>14</v>
      </c>
      <c r="C1236" s="43" t="s">
        <v>15</v>
      </c>
      <c r="D1236" s="44">
        <v>45728</v>
      </c>
      <c r="E1236" s="45">
        <v>418.5</v>
      </c>
    </row>
    <row r="1237" spans="2:5">
      <c r="B1237" s="43" t="s">
        <v>50</v>
      </c>
      <c r="C1237" s="43" t="s">
        <v>51</v>
      </c>
      <c r="D1237" s="44">
        <v>45728</v>
      </c>
      <c r="E1237" s="45">
        <v>68</v>
      </c>
    </row>
    <row r="1238" spans="2:5">
      <c r="B1238" s="43" t="s">
        <v>20</v>
      </c>
      <c r="C1238" s="43" t="s">
        <v>21</v>
      </c>
      <c r="D1238" s="44">
        <v>45728</v>
      </c>
      <c r="E1238" s="45">
        <v>313.6</v>
      </c>
    </row>
    <row r="1239" spans="2:5">
      <c r="B1239" s="43" t="s">
        <v>22</v>
      </c>
      <c r="C1239" s="43" t="s">
        <v>23</v>
      </c>
      <c r="D1239" s="44">
        <v>45728</v>
      </c>
      <c r="E1239" s="45">
        <v>38.4</v>
      </c>
    </row>
    <row r="1240" spans="2:5">
      <c r="B1240" s="43" t="s">
        <v>80</v>
      </c>
      <c r="C1240" s="43" t="s">
        <v>81</v>
      </c>
      <c r="D1240" s="44">
        <v>45728</v>
      </c>
      <c r="E1240" s="45">
        <v>43.05</v>
      </c>
    </row>
    <row r="1241" spans="2:5">
      <c r="B1241" s="43" t="s">
        <v>24</v>
      </c>
      <c r="C1241" s="43" t="s">
        <v>25</v>
      </c>
      <c r="D1241" s="44">
        <v>45728</v>
      </c>
      <c r="E1241" s="45">
        <v>985.8</v>
      </c>
    </row>
    <row r="1242" spans="2:5">
      <c r="B1242" s="43" t="s">
        <v>26</v>
      </c>
      <c r="C1242" s="43" t="s">
        <v>27</v>
      </c>
      <c r="D1242" s="44">
        <v>45728</v>
      </c>
      <c r="E1242" s="45">
        <v>1088.5</v>
      </c>
    </row>
    <row r="1243" spans="2:5">
      <c r="B1243" s="43" t="s">
        <v>194</v>
      </c>
      <c r="C1243" s="43" t="s">
        <v>195</v>
      </c>
      <c r="D1243" s="44">
        <v>45728</v>
      </c>
      <c r="E1243" s="45">
        <v>60.9</v>
      </c>
    </row>
    <row r="1244" spans="2:5">
      <c r="B1244" s="43" t="s">
        <v>28</v>
      </c>
      <c r="C1244" s="43" t="s">
        <v>29</v>
      </c>
      <c r="D1244" s="44">
        <v>45728</v>
      </c>
      <c r="E1244" s="45">
        <v>948.7</v>
      </c>
    </row>
    <row r="1245" spans="2:5">
      <c r="B1245" s="43" t="s">
        <v>62</v>
      </c>
      <c r="C1245" s="43" t="s">
        <v>63</v>
      </c>
      <c r="D1245" s="44">
        <v>45728</v>
      </c>
      <c r="E1245" s="45">
        <v>205</v>
      </c>
    </row>
    <row r="1246" spans="2:5">
      <c r="B1246" s="43" t="s">
        <v>64</v>
      </c>
      <c r="C1246" s="43" t="s">
        <v>65</v>
      </c>
      <c r="D1246" s="44">
        <v>45728</v>
      </c>
      <c r="E1246" s="45">
        <v>320</v>
      </c>
    </row>
    <row r="1247" spans="2:5">
      <c r="B1247" s="43" t="s">
        <v>84</v>
      </c>
      <c r="C1247" s="43" t="s">
        <v>85</v>
      </c>
      <c r="D1247" s="44">
        <v>45728</v>
      </c>
      <c r="E1247" s="45">
        <v>499</v>
      </c>
    </row>
    <row r="1248" spans="2:5">
      <c r="B1248" s="43" t="s">
        <v>96</v>
      </c>
      <c r="C1248" s="43" t="s">
        <v>97</v>
      </c>
      <c r="D1248" s="44">
        <v>45728</v>
      </c>
      <c r="E1248" s="45">
        <v>74</v>
      </c>
    </row>
    <row r="1249" spans="2:5">
      <c r="B1249" s="43" t="s">
        <v>32</v>
      </c>
      <c r="C1249" s="43" t="s">
        <v>33</v>
      </c>
      <c r="D1249" s="44">
        <v>45728</v>
      </c>
      <c r="E1249" s="45">
        <v>4</v>
      </c>
    </row>
    <row r="1250" spans="2:5">
      <c r="B1250" s="43" t="s">
        <v>98</v>
      </c>
      <c r="C1250" s="43" t="s">
        <v>99</v>
      </c>
      <c r="D1250" s="44">
        <v>45728</v>
      </c>
      <c r="E1250" s="45">
        <v>2</v>
      </c>
    </row>
    <row r="1251" spans="2:5">
      <c r="B1251" s="43" t="s">
        <v>170</v>
      </c>
      <c r="C1251" s="43" t="s">
        <v>171</v>
      </c>
      <c r="D1251" s="44">
        <v>45728</v>
      </c>
      <c r="E1251" s="45">
        <v>5</v>
      </c>
    </row>
    <row r="1252" spans="2:5">
      <c r="B1252" s="43" t="s">
        <v>36</v>
      </c>
      <c r="C1252" s="43" t="s">
        <v>37</v>
      </c>
      <c r="D1252" s="44">
        <v>45728</v>
      </c>
      <c r="E1252" s="45">
        <v>3</v>
      </c>
    </row>
    <row r="1253" spans="2:5">
      <c r="B1253" s="43" t="s">
        <v>38</v>
      </c>
      <c r="C1253" s="43" t="s">
        <v>39</v>
      </c>
      <c r="D1253" s="44">
        <v>45728</v>
      </c>
      <c r="E1253" s="45">
        <v>301</v>
      </c>
    </row>
    <row r="1254" spans="2:5">
      <c r="B1254" s="43" t="s">
        <v>6</v>
      </c>
      <c r="C1254" s="43" t="s">
        <v>7</v>
      </c>
      <c r="D1254" s="44">
        <v>45729</v>
      </c>
      <c r="E1254" s="45">
        <v>19.65</v>
      </c>
    </row>
    <row r="1255" spans="2:5">
      <c r="B1255" s="43" t="s">
        <v>8</v>
      </c>
      <c r="C1255" s="43" t="s">
        <v>9</v>
      </c>
      <c r="D1255" s="44">
        <v>45729</v>
      </c>
      <c r="E1255" s="45">
        <v>87</v>
      </c>
    </row>
    <row r="1256" spans="2:5">
      <c r="B1256" s="43" t="s">
        <v>10</v>
      </c>
      <c r="C1256" s="43" t="s">
        <v>11</v>
      </c>
      <c r="D1256" s="44">
        <v>45729</v>
      </c>
      <c r="E1256" s="45">
        <v>176.8</v>
      </c>
    </row>
    <row r="1257" spans="2:5">
      <c r="B1257" s="43" t="s">
        <v>74</v>
      </c>
      <c r="C1257" s="43" t="s">
        <v>75</v>
      </c>
      <c r="D1257" s="44">
        <v>45729</v>
      </c>
      <c r="E1257" s="45">
        <v>211.65</v>
      </c>
    </row>
    <row r="1258" spans="2:5">
      <c r="B1258" s="43" t="s">
        <v>12</v>
      </c>
      <c r="C1258" s="43" t="s">
        <v>13</v>
      </c>
      <c r="D1258" s="44">
        <v>45729</v>
      </c>
      <c r="E1258" s="45">
        <v>96.6</v>
      </c>
    </row>
    <row r="1259" spans="2:5">
      <c r="B1259" s="43" t="s">
        <v>48</v>
      </c>
      <c r="C1259" s="43" t="s">
        <v>49</v>
      </c>
      <c r="D1259" s="44">
        <v>45729</v>
      </c>
      <c r="E1259" s="45">
        <v>395.2</v>
      </c>
    </row>
    <row r="1260" spans="2:5">
      <c r="B1260" s="43" t="s">
        <v>14</v>
      </c>
      <c r="C1260" s="43" t="s">
        <v>15</v>
      </c>
      <c r="D1260" s="44">
        <v>45729</v>
      </c>
      <c r="E1260" s="45">
        <v>243</v>
      </c>
    </row>
    <row r="1261" spans="2:5">
      <c r="B1261" s="43" t="s">
        <v>50</v>
      </c>
      <c r="C1261" s="43" t="s">
        <v>51</v>
      </c>
      <c r="D1261" s="44">
        <v>45729</v>
      </c>
      <c r="E1261" s="45">
        <v>68</v>
      </c>
    </row>
    <row r="1262" spans="2:5">
      <c r="B1262" s="43" t="s">
        <v>138</v>
      </c>
      <c r="C1262" s="43" t="s">
        <v>139</v>
      </c>
      <c r="D1262" s="44">
        <v>45729</v>
      </c>
      <c r="E1262" s="45">
        <v>15.85</v>
      </c>
    </row>
    <row r="1263" spans="2:5">
      <c r="B1263" s="43" t="s">
        <v>56</v>
      </c>
      <c r="C1263" s="43" t="s">
        <v>57</v>
      </c>
      <c r="D1263" s="44">
        <v>45729</v>
      </c>
      <c r="E1263" s="45">
        <v>108.6</v>
      </c>
    </row>
    <row r="1264" spans="2:5">
      <c r="B1264" s="43" t="s">
        <v>130</v>
      </c>
      <c r="C1264" s="43" t="s">
        <v>131</v>
      </c>
      <c r="D1264" s="44">
        <v>45729</v>
      </c>
      <c r="E1264" s="45">
        <v>206.8</v>
      </c>
    </row>
    <row r="1265" spans="2:5">
      <c r="B1265" s="43" t="s">
        <v>20</v>
      </c>
      <c r="C1265" s="43" t="s">
        <v>21</v>
      </c>
      <c r="D1265" s="44">
        <v>45729</v>
      </c>
      <c r="E1265" s="45">
        <v>264.6</v>
      </c>
    </row>
    <row r="1266" spans="2:5">
      <c r="B1266" s="43" t="s">
        <v>22</v>
      </c>
      <c r="C1266" s="43" t="s">
        <v>23</v>
      </c>
      <c r="D1266" s="44">
        <v>45729</v>
      </c>
      <c r="E1266" s="45">
        <v>86.4</v>
      </c>
    </row>
    <row r="1267" spans="2:5">
      <c r="B1267" s="43" t="s">
        <v>24</v>
      </c>
      <c r="C1267" s="43" t="s">
        <v>25</v>
      </c>
      <c r="D1267" s="44">
        <v>45729</v>
      </c>
      <c r="E1267" s="45">
        <v>683.7</v>
      </c>
    </row>
    <row r="1268" spans="2:5">
      <c r="B1268" s="43" t="s">
        <v>58</v>
      </c>
      <c r="C1268" s="43" t="s">
        <v>59</v>
      </c>
      <c r="D1268" s="44">
        <v>45729</v>
      </c>
      <c r="E1268" s="45">
        <v>407.1</v>
      </c>
    </row>
    <row r="1269" spans="2:5">
      <c r="B1269" s="43" t="s">
        <v>26</v>
      </c>
      <c r="C1269" s="43" t="s">
        <v>27</v>
      </c>
      <c r="D1269" s="44">
        <v>45729</v>
      </c>
      <c r="E1269" s="45">
        <v>2488</v>
      </c>
    </row>
    <row r="1270" spans="2:5">
      <c r="B1270" s="43" t="s">
        <v>194</v>
      </c>
      <c r="C1270" s="43" t="s">
        <v>195</v>
      </c>
      <c r="D1270" s="44">
        <v>45729</v>
      </c>
      <c r="E1270" s="45">
        <v>1522.5</v>
      </c>
    </row>
    <row r="1271" spans="2:5">
      <c r="B1271" s="43" t="s">
        <v>62</v>
      </c>
      <c r="C1271" s="43" t="s">
        <v>63</v>
      </c>
      <c r="D1271" s="44">
        <v>45729</v>
      </c>
      <c r="E1271" s="45">
        <v>307.5</v>
      </c>
    </row>
    <row r="1272" spans="2:5">
      <c r="B1272" s="43" t="s">
        <v>64</v>
      </c>
      <c r="C1272" s="43" t="s">
        <v>65</v>
      </c>
      <c r="D1272" s="44">
        <v>45729</v>
      </c>
      <c r="E1272" s="45">
        <v>1160</v>
      </c>
    </row>
    <row r="1273" spans="2:5">
      <c r="B1273" s="43" t="s">
        <v>84</v>
      </c>
      <c r="C1273" s="43" t="s">
        <v>85</v>
      </c>
      <c r="D1273" s="44">
        <v>45729</v>
      </c>
      <c r="E1273" s="45">
        <v>499</v>
      </c>
    </row>
    <row r="1274" spans="2:5">
      <c r="B1274" s="43" t="s">
        <v>150</v>
      </c>
      <c r="C1274" s="43" t="s">
        <v>151</v>
      </c>
      <c r="D1274" s="44">
        <v>45729</v>
      </c>
      <c r="E1274" s="45">
        <v>27.05</v>
      </c>
    </row>
    <row r="1275" spans="2:5">
      <c r="B1275" s="43" t="s">
        <v>30</v>
      </c>
      <c r="C1275" s="43" t="s">
        <v>31</v>
      </c>
      <c r="D1275" s="44">
        <v>45729</v>
      </c>
      <c r="E1275" s="45">
        <v>7</v>
      </c>
    </row>
    <row r="1276" spans="2:5">
      <c r="B1276" s="43" t="s">
        <v>96</v>
      </c>
      <c r="C1276" s="43" t="s">
        <v>97</v>
      </c>
      <c r="D1276" s="44">
        <v>45729</v>
      </c>
      <c r="E1276" s="45">
        <v>45</v>
      </c>
    </row>
    <row r="1277" spans="2:5">
      <c r="B1277" s="43" t="s">
        <v>32</v>
      </c>
      <c r="C1277" s="43" t="s">
        <v>33</v>
      </c>
      <c r="D1277" s="44">
        <v>45729</v>
      </c>
      <c r="E1277" s="45">
        <v>42</v>
      </c>
    </row>
    <row r="1278" spans="2:5">
      <c r="B1278" s="43" t="s">
        <v>98</v>
      </c>
      <c r="C1278" s="43" t="s">
        <v>99</v>
      </c>
      <c r="D1278" s="44">
        <v>45729</v>
      </c>
      <c r="E1278" s="45">
        <v>9</v>
      </c>
    </row>
    <row r="1279" spans="2:5">
      <c r="B1279" s="43" t="s">
        <v>160</v>
      </c>
      <c r="C1279" s="43" t="s">
        <v>161</v>
      </c>
      <c r="D1279" s="44">
        <v>45729</v>
      </c>
      <c r="E1279" s="45">
        <v>2</v>
      </c>
    </row>
    <row r="1280" spans="2:5">
      <c r="B1280" s="43" t="s">
        <v>34</v>
      </c>
      <c r="C1280" s="43" t="s">
        <v>35</v>
      </c>
      <c r="D1280" s="44">
        <v>45729</v>
      </c>
      <c r="E1280" s="45">
        <v>8</v>
      </c>
    </row>
    <row r="1281" spans="2:5">
      <c r="B1281" s="43" t="s">
        <v>38</v>
      </c>
      <c r="C1281" s="43" t="s">
        <v>39</v>
      </c>
      <c r="D1281" s="44">
        <v>45729</v>
      </c>
      <c r="E1281" s="45">
        <v>27</v>
      </c>
    </row>
    <row r="1282" spans="2:5">
      <c r="B1282" s="43" t="s">
        <v>8</v>
      </c>
      <c r="C1282" s="43" t="s">
        <v>9</v>
      </c>
      <c r="D1282" s="44">
        <v>45730</v>
      </c>
      <c r="E1282" s="45">
        <v>130.5</v>
      </c>
    </row>
    <row r="1283" spans="2:5">
      <c r="B1283" s="43" t="s">
        <v>44</v>
      </c>
      <c r="C1283" s="43" t="s">
        <v>45</v>
      </c>
      <c r="D1283" s="44">
        <v>45730</v>
      </c>
      <c r="E1283" s="45">
        <v>25.5</v>
      </c>
    </row>
    <row r="1284" spans="2:5">
      <c r="B1284" s="43" t="s">
        <v>72</v>
      </c>
      <c r="C1284" s="43" t="s">
        <v>73</v>
      </c>
      <c r="D1284" s="44">
        <v>45730</v>
      </c>
      <c r="E1284" s="45">
        <v>254.99</v>
      </c>
    </row>
    <row r="1285" spans="2:5">
      <c r="B1285" s="43" t="s">
        <v>46</v>
      </c>
      <c r="C1285" s="43" t="s">
        <v>47</v>
      </c>
      <c r="D1285" s="44">
        <v>45730</v>
      </c>
      <c r="E1285" s="45">
        <v>192.1</v>
      </c>
    </row>
    <row r="1286" spans="2:5">
      <c r="B1286" s="43" t="s">
        <v>10</v>
      </c>
      <c r="C1286" s="43" t="s">
        <v>11</v>
      </c>
      <c r="D1286" s="44">
        <v>45730</v>
      </c>
      <c r="E1286" s="45">
        <v>11.05</v>
      </c>
    </row>
    <row r="1287" spans="2:5">
      <c r="B1287" s="43" t="s">
        <v>74</v>
      </c>
      <c r="C1287" s="43" t="s">
        <v>75</v>
      </c>
      <c r="D1287" s="44">
        <v>45730</v>
      </c>
      <c r="E1287" s="45">
        <v>348.6</v>
      </c>
    </row>
    <row r="1288" spans="2:5">
      <c r="B1288" s="43" t="s">
        <v>12</v>
      </c>
      <c r="C1288" s="43" t="s">
        <v>13</v>
      </c>
      <c r="D1288" s="44">
        <v>45730</v>
      </c>
      <c r="E1288" s="45">
        <v>13.8</v>
      </c>
    </row>
    <row r="1289" spans="2:5">
      <c r="B1289" s="43" t="s">
        <v>134</v>
      </c>
      <c r="C1289" s="43" t="s">
        <v>135</v>
      </c>
      <c r="D1289" s="44">
        <v>45730</v>
      </c>
      <c r="E1289" s="45">
        <v>551.25</v>
      </c>
    </row>
    <row r="1290" spans="2:5">
      <c r="B1290" s="43" t="s">
        <v>56</v>
      </c>
      <c r="C1290" s="43" t="s">
        <v>57</v>
      </c>
      <c r="D1290" s="44">
        <v>45730</v>
      </c>
      <c r="E1290" s="45">
        <v>778.3</v>
      </c>
    </row>
    <row r="1291" spans="2:5">
      <c r="B1291" s="43" t="s">
        <v>130</v>
      </c>
      <c r="C1291" s="43" t="s">
        <v>131</v>
      </c>
      <c r="D1291" s="44">
        <v>45730</v>
      </c>
      <c r="E1291" s="45">
        <v>51.7</v>
      </c>
    </row>
    <row r="1292" spans="2:5">
      <c r="B1292" s="43" t="s">
        <v>18</v>
      </c>
      <c r="C1292" s="43" t="s">
        <v>19</v>
      </c>
      <c r="D1292" s="44">
        <v>45730</v>
      </c>
      <c r="E1292" s="45">
        <v>133.5</v>
      </c>
    </row>
    <row r="1293" spans="2:5">
      <c r="B1293" s="43" t="s">
        <v>20</v>
      </c>
      <c r="C1293" s="43" t="s">
        <v>21</v>
      </c>
      <c r="D1293" s="44">
        <v>45730</v>
      </c>
      <c r="E1293" s="45">
        <v>431.2</v>
      </c>
    </row>
    <row r="1294" spans="2:5">
      <c r="B1294" s="43" t="s">
        <v>22</v>
      </c>
      <c r="C1294" s="43" t="s">
        <v>23</v>
      </c>
      <c r="D1294" s="44">
        <v>45730</v>
      </c>
      <c r="E1294" s="45">
        <v>297.6</v>
      </c>
    </row>
    <row r="1295" spans="2:5">
      <c r="B1295" s="43" t="s">
        <v>80</v>
      </c>
      <c r="C1295" s="43" t="s">
        <v>81</v>
      </c>
      <c r="D1295" s="44">
        <v>45730</v>
      </c>
      <c r="E1295" s="45">
        <v>530.95</v>
      </c>
    </row>
    <row r="1296" spans="2:5">
      <c r="B1296" s="43" t="s">
        <v>24</v>
      </c>
      <c r="C1296" s="43" t="s">
        <v>25</v>
      </c>
      <c r="D1296" s="44">
        <v>45730</v>
      </c>
      <c r="E1296" s="45">
        <v>15.9</v>
      </c>
    </row>
    <row r="1297" spans="2:5">
      <c r="B1297" s="43" t="s">
        <v>26</v>
      </c>
      <c r="C1297" s="43" t="s">
        <v>27</v>
      </c>
      <c r="D1297" s="44">
        <v>45730</v>
      </c>
      <c r="E1297" s="45">
        <v>575.35</v>
      </c>
    </row>
    <row r="1298" spans="2:5">
      <c r="B1298" s="43" t="s">
        <v>60</v>
      </c>
      <c r="C1298" s="43" t="s">
        <v>61</v>
      </c>
      <c r="D1298" s="44">
        <v>45730</v>
      </c>
      <c r="E1298" s="45">
        <v>18.3</v>
      </c>
    </row>
    <row r="1299" spans="2:5">
      <c r="B1299" s="43" t="s">
        <v>62</v>
      </c>
      <c r="C1299" s="43" t="s">
        <v>63</v>
      </c>
      <c r="D1299" s="44">
        <v>45730</v>
      </c>
      <c r="E1299" s="45">
        <v>492</v>
      </c>
    </row>
    <row r="1300" spans="2:5">
      <c r="B1300" s="43" t="s">
        <v>148</v>
      </c>
      <c r="C1300" s="43" t="s">
        <v>149</v>
      </c>
      <c r="D1300" s="44">
        <v>45730</v>
      </c>
      <c r="E1300" s="45">
        <v>22.9</v>
      </c>
    </row>
    <row r="1301" spans="2:5">
      <c r="B1301" s="43" t="s">
        <v>64</v>
      </c>
      <c r="C1301" s="43" t="s">
        <v>65</v>
      </c>
      <c r="D1301" s="44">
        <v>45730</v>
      </c>
      <c r="E1301" s="45">
        <v>20</v>
      </c>
    </row>
    <row r="1302" spans="2:5">
      <c r="B1302" s="43" t="s">
        <v>186</v>
      </c>
      <c r="C1302" s="43" t="s">
        <v>187</v>
      </c>
      <c r="D1302" s="44">
        <v>45730</v>
      </c>
      <c r="E1302" s="45">
        <v>81.4</v>
      </c>
    </row>
    <row r="1303" spans="2:5">
      <c r="B1303" s="43" t="s">
        <v>68</v>
      </c>
      <c r="C1303" s="43" t="s">
        <v>69</v>
      </c>
      <c r="D1303" s="44">
        <v>45730</v>
      </c>
      <c r="E1303" s="45">
        <v>502.6</v>
      </c>
    </row>
    <row r="1304" spans="2:5">
      <c r="B1304" s="43" t="s">
        <v>124</v>
      </c>
      <c r="C1304" s="43" t="s">
        <v>125</v>
      </c>
      <c r="D1304" s="44">
        <v>45730</v>
      </c>
      <c r="E1304" s="45">
        <v>886.6</v>
      </c>
    </row>
    <row r="1305" spans="2:5">
      <c r="B1305" s="43" t="s">
        <v>96</v>
      </c>
      <c r="C1305" s="43" t="s">
        <v>97</v>
      </c>
      <c r="D1305" s="44">
        <v>45730</v>
      </c>
      <c r="E1305" s="45">
        <v>15</v>
      </c>
    </row>
    <row r="1306" spans="2:5">
      <c r="B1306" s="43" t="s">
        <v>32</v>
      </c>
      <c r="C1306" s="43" t="s">
        <v>33</v>
      </c>
      <c r="D1306" s="44">
        <v>45730</v>
      </c>
      <c r="E1306" s="45">
        <v>26</v>
      </c>
    </row>
    <row r="1307" spans="2:5">
      <c r="B1307" s="43" t="s">
        <v>98</v>
      </c>
      <c r="C1307" s="43" t="s">
        <v>99</v>
      </c>
      <c r="D1307" s="44">
        <v>45730</v>
      </c>
      <c r="E1307" s="45">
        <v>11</v>
      </c>
    </row>
    <row r="1308" spans="2:5">
      <c r="B1308" s="43" t="s">
        <v>38</v>
      </c>
      <c r="C1308" s="43" t="s">
        <v>39</v>
      </c>
      <c r="D1308" s="44">
        <v>45730</v>
      </c>
      <c r="E1308" s="45">
        <v>4</v>
      </c>
    </row>
    <row r="1309" spans="2:5">
      <c r="B1309" s="43" t="s">
        <v>46</v>
      </c>
      <c r="C1309" s="43" t="s">
        <v>47</v>
      </c>
      <c r="D1309" s="44">
        <v>45731</v>
      </c>
      <c r="E1309" s="45">
        <v>339</v>
      </c>
    </row>
    <row r="1310" spans="2:5">
      <c r="B1310" s="43" t="s">
        <v>74</v>
      </c>
      <c r="C1310" s="43" t="s">
        <v>75</v>
      </c>
      <c r="D1310" s="44">
        <v>45731</v>
      </c>
      <c r="E1310" s="45">
        <v>320.31</v>
      </c>
    </row>
    <row r="1311" spans="2:5">
      <c r="B1311" s="43" t="s">
        <v>162</v>
      </c>
      <c r="C1311" s="43" t="s">
        <v>163</v>
      </c>
      <c r="D1311" s="44">
        <v>45731</v>
      </c>
      <c r="E1311" s="45">
        <v>121.2</v>
      </c>
    </row>
    <row r="1312" spans="2:5">
      <c r="B1312" s="43" t="s">
        <v>22</v>
      </c>
      <c r="C1312" s="43" t="s">
        <v>23</v>
      </c>
      <c r="D1312" s="44">
        <v>45731</v>
      </c>
      <c r="E1312" s="45">
        <v>96</v>
      </c>
    </row>
    <row r="1313" spans="2:5">
      <c r="B1313" s="43" t="s">
        <v>80</v>
      </c>
      <c r="C1313" s="43" t="s">
        <v>81</v>
      </c>
      <c r="D1313" s="44">
        <v>45731</v>
      </c>
      <c r="E1313" s="45">
        <v>459.2</v>
      </c>
    </row>
    <row r="1314" spans="2:5">
      <c r="B1314" s="43" t="s">
        <v>24</v>
      </c>
      <c r="C1314" s="43" t="s">
        <v>25</v>
      </c>
      <c r="D1314" s="44">
        <v>45731</v>
      </c>
      <c r="E1314" s="45">
        <v>747.3</v>
      </c>
    </row>
    <row r="1315" spans="2:5">
      <c r="B1315" s="43" t="s">
        <v>26</v>
      </c>
      <c r="C1315" s="43" t="s">
        <v>27</v>
      </c>
      <c r="D1315" s="44">
        <v>45731</v>
      </c>
      <c r="E1315" s="45">
        <v>559.8</v>
      </c>
    </row>
    <row r="1316" spans="2:5">
      <c r="B1316" s="43" t="s">
        <v>60</v>
      </c>
      <c r="C1316" s="43" t="s">
        <v>61</v>
      </c>
      <c r="D1316" s="44">
        <v>45731</v>
      </c>
      <c r="E1316" s="45">
        <v>183</v>
      </c>
    </row>
    <row r="1317" spans="2:5">
      <c r="B1317" s="43" t="s">
        <v>28</v>
      </c>
      <c r="C1317" s="43" t="s">
        <v>29</v>
      </c>
      <c r="D1317" s="44">
        <v>45731</v>
      </c>
      <c r="E1317" s="45">
        <v>626.5</v>
      </c>
    </row>
    <row r="1318" spans="2:5">
      <c r="B1318" s="43" t="s">
        <v>64</v>
      </c>
      <c r="C1318" s="43" t="s">
        <v>65</v>
      </c>
      <c r="D1318" s="44">
        <v>45731</v>
      </c>
      <c r="E1318" s="45">
        <v>300</v>
      </c>
    </row>
    <row r="1319" spans="2:5">
      <c r="B1319" s="43" t="s">
        <v>106</v>
      </c>
      <c r="C1319" s="43" t="s">
        <v>107</v>
      </c>
      <c r="D1319" s="44">
        <v>45731</v>
      </c>
      <c r="E1319" s="45">
        <v>7.7</v>
      </c>
    </row>
    <row r="1320" spans="2:5">
      <c r="B1320" s="43" t="s">
        <v>30</v>
      </c>
      <c r="C1320" s="43" t="s">
        <v>31</v>
      </c>
      <c r="D1320" s="44">
        <v>45731</v>
      </c>
      <c r="E1320" s="45">
        <v>15</v>
      </c>
    </row>
    <row r="1321" spans="2:5">
      <c r="B1321" s="43" t="s">
        <v>96</v>
      </c>
      <c r="C1321" s="43" t="s">
        <v>97</v>
      </c>
      <c r="D1321" s="44">
        <v>45731</v>
      </c>
      <c r="E1321" s="45">
        <v>11</v>
      </c>
    </row>
    <row r="1322" spans="2:5">
      <c r="B1322" s="43" t="s">
        <v>160</v>
      </c>
      <c r="C1322" s="43" t="s">
        <v>161</v>
      </c>
      <c r="D1322" s="44">
        <v>45731</v>
      </c>
      <c r="E1322" s="45">
        <v>4</v>
      </c>
    </row>
    <row r="1323" spans="2:5">
      <c r="B1323" s="43" t="s">
        <v>34</v>
      </c>
      <c r="C1323" s="43" t="s">
        <v>35</v>
      </c>
      <c r="D1323" s="44">
        <v>45731</v>
      </c>
      <c r="E1323" s="45">
        <v>14</v>
      </c>
    </row>
    <row r="1324" spans="2:5">
      <c r="B1324" s="43" t="s">
        <v>8</v>
      </c>
      <c r="C1324" s="43" t="s">
        <v>9</v>
      </c>
      <c r="D1324" s="44">
        <v>45733</v>
      </c>
      <c r="E1324" s="45">
        <v>26.1</v>
      </c>
    </row>
    <row r="1325" spans="2:5">
      <c r="B1325" s="43" t="s">
        <v>46</v>
      </c>
      <c r="C1325" s="43" t="s">
        <v>47</v>
      </c>
      <c r="D1325" s="44">
        <v>45733</v>
      </c>
      <c r="E1325" s="45">
        <v>90.4</v>
      </c>
    </row>
    <row r="1326" spans="2:5">
      <c r="B1326" s="43" t="s">
        <v>74</v>
      </c>
      <c r="C1326" s="43" t="s">
        <v>75</v>
      </c>
      <c r="D1326" s="44">
        <v>45733</v>
      </c>
      <c r="E1326" s="45">
        <v>211.65</v>
      </c>
    </row>
    <row r="1327" spans="2:5">
      <c r="B1327" s="43" t="s">
        <v>48</v>
      </c>
      <c r="C1327" s="43" t="s">
        <v>49</v>
      </c>
      <c r="D1327" s="44">
        <v>45733</v>
      </c>
      <c r="E1327" s="45">
        <v>60.8</v>
      </c>
    </row>
    <row r="1328" spans="2:5">
      <c r="B1328" s="43" t="s">
        <v>138</v>
      </c>
      <c r="C1328" s="43" t="s">
        <v>139</v>
      </c>
      <c r="D1328" s="44">
        <v>45733</v>
      </c>
      <c r="E1328" s="45">
        <v>31.7</v>
      </c>
    </row>
    <row r="1329" spans="2:5">
      <c r="B1329" s="43" t="s">
        <v>130</v>
      </c>
      <c r="C1329" s="43" t="s">
        <v>131</v>
      </c>
      <c r="D1329" s="44">
        <v>45733</v>
      </c>
      <c r="E1329" s="45">
        <v>103.4</v>
      </c>
    </row>
    <row r="1330" spans="2:5">
      <c r="B1330" s="43" t="s">
        <v>20</v>
      </c>
      <c r="C1330" s="43" t="s">
        <v>21</v>
      </c>
      <c r="D1330" s="44">
        <v>45733</v>
      </c>
      <c r="E1330" s="45">
        <v>39.2</v>
      </c>
    </row>
    <row r="1331" spans="2:5">
      <c r="B1331" s="43" t="s">
        <v>22</v>
      </c>
      <c r="C1331" s="43" t="s">
        <v>23</v>
      </c>
      <c r="D1331" s="44">
        <v>45733</v>
      </c>
      <c r="E1331" s="45">
        <v>38.4</v>
      </c>
    </row>
    <row r="1332" spans="2:5">
      <c r="B1332" s="43" t="s">
        <v>58</v>
      </c>
      <c r="C1332" s="43" t="s">
        <v>59</v>
      </c>
      <c r="D1332" s="44">
        <v>45733</v>
      </c>
      <c r="E1332" s="45">
        <v>831.9</v>
      </c>
    </row>
    <row r="1333" spans="2:5">
      <c r="B1333" s="43" t="s">
        <v>26</v>
      </c>
      <c r="C1333" s="43" t="s">
        <v>27</v>
      </c>
      <c r="D1333" s="44">
        <v>45733</v>
      </c>
      <c r="E1333" s="45">
        <v>1834.9</v>
      </c>
    </row>
    <row r="1334" spans="2:5">
      <c r="B1334" s="43" t="s">
        <v>62</v>
      </c>
      <c r="C1334" s="43" t="s">
        <v>63</v>
      </c>
      <c r="D1334" s="44">
        <v>45733</v>
      </c>
      <c r="E1334" s="45">
        <v>1189</v>
      </c>
    </row>
    <row r="1335" spans="2:5">
      <c r="B1335" s="43" t="s">
        <v>64</v>
      </c>
      <c r="C1335" s="43" t="s">
        <v>65</v>
      </c>
      <c r="D1335" s="44">
        <v>45733</v>
      </c>
      <c r="E1335" s="45">
        <v>80.5</v>
      </c>
    </row>
    <row r="1336" spans="2:5">
      <c r="B1336" s="43" t="s">
        <v>96</v>
      </c>
      <c r="C1336" s="43" t="s">
        <v>97</v>
      </c>
      <c r="D1336" s="44">
        <v>45733</v>
      </c>
      <c r="E1336" s="45">
        <v>3</v>
      </c>
    </row>
    <row r="1337" spans="2:5">
      <c r="B1337" s="43" t="s">
        <v>32</v>
      </c>
      <c r="C1337" s="43" t="s">
        <v>33</v>
      </c>
      <c r="D1337" s="44">
        <v>45733</v>
      </c>
      <c r="E1337" s="45">
        <v>10</v>
      </c>
    </row>
    <row r="1338" spans="2:5">
      <c r="B1338" s="43" t="s">
        <v>98</v>
      </c>
      <c r="C1338" s="43" t="s">
        <v>99</v>
      </c>
      <c r="D1338" s="44">
        <v>45733</v>
      </c>
      <c r="E1338" s="45">
        <v>1</v>
      </c>
    </row>
    <row r="1339" spans="2:5">
      <c r="B1339" s="43" t="s">
        <v>34</v>
      </c>
      <c r="C1339" s="43" t="s">
        <v>35</v>
      </c>
      <c r="D1339" s="44">
        <v>45733</v>
      </c>
      <c r="E1339" s="45">
        <v>15</v>
      </c>
    </row>
    <row r="1340" spans="2:5">
      <c r="B1340" s="43" t="s">
        <v>8</v>
      </c>
      <c r="C1340" s="43" t="s">
        <v>9</v>
      </c>
      <c r="D1340" s="44">
        <v>45734</v>
      </c>
      <c r="E1340" s="45">
        <v>52.2</v>
      </c>
    </row>
    <row r="1341" spans="2:5">
      <c r="B1341" s="43" t="s">
        <v>10</v>
      </c>
      <c r="C1341" s="43" t="s">
        <v>11</v>
      </c>
      <c r="D1341" s="44">
        <v>45734</v>
      </c>
      <c r="E1341" s="45">
        <v>22.1</v>
      </c>
    </row>
    <row r="1342" spans="2:5">
      <c r="B1342" s="43" t="s">
        <v>74</v>
      </c>
      <c r="C1342" s="43" t="s">
        <v>75</v>
      </c>
      <c r="D1342" s="44">
        <v>45734</v>
      </c>
      <c r="E1342" s="45">
        <v>62.25</v>
      </c>
    </row>
    <row r="1343" spans="2:5">
      <c r="B1343" s="43" t="s">
        <v>14</v>
      </c>
      <c r="C1343" s="43" t="s">
        <v>15</v>
      </c>
      <c r="D1343" s="44">
        <v>45734</v>
      </c>
      <c r="E1343" s="45">
        <v>67.5</v>
      </c>
    </row>
    <row r="1344" spans="2:5">
      <c r="B1344" s="43" t="s">
        <v>134</v>
      </c>
      <c r="C1344" s="43" t="s">
        <v>135</v>
      </c>
      <c r="D1344" s="44">
        <v>45734</v>
      </c>
      <c r="E1344" s="45">
        <v>98</v>
      </c>
    </row>
    <row r="1345" spans="2:5">
      <c r="B1345" s="43" t="s">
        <v>50</v>
      </c>
      <c r="C1345" s="43" t="s">
        <v>51</v>
      </c>
      <c r="D1345" s="44">
        <v>45734</v>
      </c>
      <c r="E1345" s="45">
        <v>231.2</v>
      </c>
    </row>
    <row r="1346" spans="2:5">
      <c r="B1346" s="43" t="s">
        <v>114</v>
      </c>
      <c r="C1346" s="43" t="s">
        <v>115</v>
      </c>
      <c r="D1346" s="44">
        <v>45734</v>
      </c>
      <c r="E1346" s="45">
        <v>851.2</v>
      </c>
    </row>
    <row r="1347" spans="2:5">
      <c r="B1347" s="43" t="s">
        <v>56</v>
      </c>
      <c r="C1347" s="43" t="s">
        <v>57</v>
      </c>
      <c r="D1347" s="44">
        <v>45734</v>
      </c>
      <c r="E1347" s="45">
        <v>72.4</v>
      </c>
    </row>
    <row r="1348" spans="2:5">
      <c r="B1348" s="43" t="s">
        <v>76</v>
      </c>
      <c r="C1348" s="43" t="s">
        <v>77</v>
      </c>
      <c r="D1348" s="44">
        <v>45734</v>
      </c>
      <c r="E1348" s="45">
        <v>353</v>
      </c>
    </row>
    <row r="1349" spans="2:5">
      <c r="B1349" s="43" t="s">
        <v>20</v>
      </c>
      <c r="C1349" s="43" t="s">
        <v>21</v>
      </c>
      <c r="D1349" s="44">
        <v>45734</v>
      </c>
      <c r="E1349" s="45">
        <v>225.4</v>
      </c>
    </row>
    <row r="1350" spans="2:5">
      <c r="B1350" s="43" t="s">
        <v>22</v>
      </c>
      <c r="C1350" s="43" t="s">
        <v>23</v>
      </c>
      <c r="D1350" s="44">
        <v>45734</v>
      </c>
      <c r="E1350" s="45">
        <v>105.6</v>
      </c>
    </row>
    <row r="1351" spans="2:5">
      <c r="B1351" s="43" t="s">
        <v>80</v>
      </c>
      <c r="C1351" s="43" t="s">
        <v>81</v>
      </c>
      <c r="D1351" s="44">
        <v>45734</v>
      </c>
      <c r="E1351" s="45">
        <v>717.5</v>
      </c>
    </row>
    <row r="1352" spans="2:5">
      <c r="B1352" s="43" t="s">
        <v>24</v>
      </c>
      <c r="C1352" s="43" t="s">
        <v>25</v>
      </c>
      <c r="D1352" s="44">
        <v>45734</v>
      </c>
      <c r="E1352" s="45">
        <v>79.5</v>
      </c>
    </row>
    <row r="1353" spans="2:5">
      <c r="B1353" s="43" t="s">
        <v>58</v>
      </c>
      <c r="C1353" s="43" t="s">
        <v>59</v>
      </c>
      <c r="D1353" s="44">
        <v>45734</v>
      </c>
      <c r="E1353" s="45">
        <v>336.3</v>
      </c>
    </row>
    <row r="1354" spans="2:5">
      <c r="B1354" s="43" t="s">
        <v>26</v>
      </c>
      <c r="C1354" s="43" t="s">
        <v>27</v>
      </c>
      <c r="D1354" s="44">
        <v>45734</v>
      </c>
      <c r="E1354" s="45">
        <v>2021.5</v>
      </c>
    </row>
    <row r="1355" spans="2:5">
      <c r="B1355" s="43" t="s">
        <v>110</v>
      </c>
      <c r="C1355" s="43" t="s">
        <v>111</v>
      </c>
      <c r="D1355" s="44">
        <v>45734</v>
      </c>
      <c r="E1355" s="45">
        <v>330</v>
      </c>
    </row>
    <row r="1356" spans="2:5">
      <c r="B1356" s="43" t="s">
        <v>28</v>
      </c>
      <c r="C1356" s="43" t="s">
        <v>29</v>
      </c>
      <c r="D1356" s="44">
        <v>45734</v>
      </c>
      <c r="E1356" s="45">
        <v>1074</v>
      </c>
    </row>
    <row r="1357" spans="2:5">
      <c r="B1357" s="43" t="s">
        <v>62</v>
      </c>
      <c r="C1357" s="43" t="s">
        <v>63</v>
      </c>
      <c r="D1357" s="44">
        <v>45734</v>
      </c>
      <c r="E1357" s="45">
        <v>943</v>
      </c>
    </row>
    <row r="1358" spans="2:5">
      <c r="B1358" s="43" t="s">
        <v>64</v>
      </c>
      <c r="C1358" s="43" t="s">
        <v>65</v>
      </c>
      <c r="D1358" s="44">
        <v>45734</v>
      </c>
      <c r="E1358" s="45">
        <v>2100</v>
      </c>
    </row>
    <row r="1359" spans="2:5">
      <c r="B1359" s="43" t="s">
        <v>164</v>
      </c>
      <c r="C1359" s="43" t="s">
        <v>165</v>
      </c>
      <c r="D1359" s="44">
        <v>45734</v>
      </c>
      <c r="E1359" s="45">
        <v>33.9</v>
      </c>
    </row>
    <row r="1360" spans="2:5">
      <c r="B1360" s="43" t="s">
        <v>30</v>
      </c>
      <c r="C1360" s="43" t="s">
        <v>31</v>
      </c>
      <c r="D1360" s="44">
        <v>45734</v>
      </c>
      <c r="E1360" s="45">
        <v>7</v>
      </c>
    </row>
    <row r="1361" spans="2:5">
      <c r="B1361" s="43" t="s">
        <v>96</v>
      </c>
      <c r="C1361" s="43" t="s">
        <v>97</v>
      </c>
      <c r="D1361" s="44">
        <v>45734</v>
      </c>
      <c r="E1361" s="45">
        <v>50</v>
      </c>
    </row>
    <row r="1362" spans="2:5">
      <c r="B1362" s="43" t="s">
        <v>32</v>
      </c>
      <c r="C1362" s="43" t="s">
        <v>33</v>
      </c>
      <c r="D1362" s="44">
        <v>45734</v>
      </c>
      <c r="E1362" s="45">
        <v>91</v>
      </c>
    </row>
    <row r="1363" spans="2:5">
      <c r="B1363" s="43" t="s">
        <v>160</v>
      </c>
      <c r="C1363" s="43" t="s">
        <v>161</v>
      </c>
      <c r="D1363" s="44">
        <v>45734</v>
      </c>
      <c r="E1363" s="45">
        <v>3</v>
      </c>
    </row>
    <row r="1364" spans="2:5">
      <c r="B1364" s="43" t="s">
        <v>34</v>
      </c>
      <c r="C1364" s="43" t="s">
        <v>35</v>
      </c>
      <c r="D1364" s="44">
        <v>45734</v>
      </c>
      <c r="E1364" s="45">
        <v>1</v>
      </c>
    </row>
    <row r="1365" spans="2:5">
      <c r="B1365" s="43" t="s">
        <v>38</v>
      </c>
      <c r="C1365" s="43" t="s">
        <v>39</v>
      </c>
      <c r="D1365" s="44">
        <v>45734</v>
      </c>
      <c r="E1365" s="45">
        <v>5</v>
      </c>
    </row>
    <row r="1366" spans="2:5">
      <c r="B1366" s="43" t="s">
        <v>4</v>
      </c>
      <c r="C1366" s="43" t="s">
        <v>5</v>
      </c>
      <c r="D1366" s="44">
        <v>45735</v>
      </c>
      <c r="E1366" s="45">
        <v>67</v>
      </c>
    </row>
    <row r="1367" spans="2:5">
      <c r="B1367" s="43" t="s">
        <v>156</v>
      </c>
      <c r="C1367" s="43" t="s">
        <v>157</v>
      </c>
      <c r="D1367" s="44">
        <v>45735</v>
      </c>
      <c r="E1367" s="45">
        <v>390</v>
      </c>
    </row>
    <row r="1368" spans="2:5">
      <c r="B1368" s="43" t="s">
        <v>8</v>
      </c>
      <c r="C1368" s="43" t="s">
        <v>9</v>
      </c>
      <c r="D1368" s="44">
        <v>45735</v>
      </c>
      <c r="E1368" s="45">
        <v>139.2</v>
      </c>
    </row>
    <row r="1369" spans="2:5">
      <c r="B1369" s="43" t="s">
        <v>46</v>
      </c>
      <c r="C1369" s="43" t="s">
        <v>47</v>
      </c>
      <c r="D1369" s="44">
        <v>45735</v>
      </c>
      <c r="E1369" s="45">
        <v>791</v>
      </c>
    </row>
    <row r="1370" spans="2:5">
      <c r="B1370" s="43" t="s">
        <v>10</v>
      </c>
      <c r="C1370" s="43" t="s">
        <v>11</v>
      </c>
      <c r="D1370" s="44">
        <v>45735</v>
      </c>
      <c r="E1370" s="45">
        <v>784.55</v>
      </c>
    </row>
    <row r="1371" spans="2:5">
      <c r="B1371" s="43" t="s">
        <v>12</v>
      </c>
      <c r="C1371" s="43" t="s">
        <v>13</v>
      </c>
      <c r="D1371" s="44">
        <v>45735</v>
      </c>
      <c r="E1371" s="45">
        <v>110.4</v>
      </c>
    </row>
    <row r="1372" spans="2:5">
      <c r="B1372" s="43" t="s">
        <v>178</v>
      </c>
      <c r="C1372" s="43" t="s">
        <v>179</v>
      </c>
      <c r="D1372" s="44">
        <v>45735</v>
      </c>
      <c r="E1372" s="45">
        <v>36</v>
      </c>
    </row>
    <row r="1373" spans="2:5">
      <c r="B1373" s="43" t="s">
        <v>14</v>
      </c>
      <c r="C1373" s="43" t="s">
        <v>15</v>
      </c>
      <c r="D1373" s="44">
        <v>45735</v>
      </c>
      <c r="E1373" s="45">
        <v>378</v>
      </c>
    </row>
    <row r="1374" spans="2:5">
      <c r="B1374" s="43" t="s">
        <v>50</v>
      </c>
      <c r="C1374" s="43" t="s">
        <v>51</v>
      </c>
      <c r="D1374" s="44">
        <v>45735</v>
      </c>
      <c r="E1374" s="45">
        <v>476</v>
      </c>
    </row>
    <row r="1375" spans="2:5">
      <c r="B1375" s="43" t="s">
        <v>144</v>
      </c>
      <c r="C1375" s="43" t="s">
        <v>145</v>
      </c>
      <c r="D1375" s="44">
        <v>45735</v>
      </c>
      <c r="E1375" s="45">
        <v>453.6</v>
      </c>
    </row>
    <row r="1376" spans="2:5">
      <c r="B1376" s="43" t="s">
        <v>56</v>
      </c>
      <c r="C1376" s="43" t="s">
        <v>57</v>
      </c>
      <c r="D1376" s="44">
        <v>45735</v>
      </c>
      <c r="E1376" s="45">
        <v>18.1</v>
      </c>
    </row>
    <row r="1377" spans="2:5">
      <c r="B1377" s="43" t="s">
        <v>76</v>
      </c>
      <c r="C1377" s="43" t="s">
        <v>77</v>
      </c>
      <c r="D1377" s="44">
        <v>45735</v>
      </c>
      <c r="E1377" s="45">
        <v>70.6</v>
      </c>
    </row>
    <row r="1378" spans="2:5">
      <c r="B1378" s="43" t="s">
        <v>188</v>
      </c>
      <c r="C1378" s="43" t="s">
        <v>189</v>
      </c>
      <c r="D1378" s="44">
        <v>45735</v>
      </c>
      <c r="E1378" s="45">
        <v>69.3</v>
      </c>
    </row>
    <row r="1379" spans="2:5">
      <c r="B1379" s="43" t="s">
        <v>16</v>
      </c>
      <c r="C1379" s="43" t="s">
        <v>17</v>
      </c>
      <c r="D1379" s="44">
        <v>45735</v>
      </c>
      <c r="E1379" s="45">
        <v>22.8</v>
      </c>
    </row>
    <row r="1380" spans="2:5">
      <c r="B1380" s="43" t="s">
        <v>20</v>
      </c>
      <c r="C1380" s="43" t="s">
        <v>21</v>
      </c>
      <c r="D1380" s="44">
        <v>45735</v>
      </c>
      <c r="E1380" s="45">
        <v>499.8</v>
      </c>
    </row>
    <row r="1381" spans="2:5">
      <c r="B1381" s="43" t="s">
        <v>22</v>
      </c>
      <c r="C1381" s="43" t="s">
        <v>23</v>
      </c>
      <c r="D1381" s="44">
        <v>45735</v>
      </c>
      <c r="E1381" s="45">
        <v>67.2</v>
      </c>
    </row>
    <row r="1382" spans="2:5">
      <c r="B1382" s="43" t="s">
        <v>80</v>
      </c>
      <c r="C1382" s="43" t="s">
        <v>81</v>
      </c>
      <c r="D1382" s="44">
        <v>45735</v>
      </c>
      <c r="E1382" s="45">
        <v>430.5</v>
      </c>
    </row>
    <row r="1383" spans="2:5">
      <c r="B1383" s="43" t="s">
        <v>24</v>
      </c>
      <c r="C1383" s="43" t="s">
        <v>25</v>
      </c>
      <c r="D1383" s="44">
        <v>45735</v>
      </c>
      <c r="E1383" s="45">
        <v>892</v>
      </c>
    </row>
    <row r="1384" spans="2:5">
      <c r="B1384" s="43" t="s">
        <v>58</v>
      </c>
      <c r="C1384" s="43" t="s">
        <v>59</v>
      </c>
      <c r="D1384" s="44">
        <v>45735</v>
      </c>
      <c r="E1384" s="45">
        <v>513.3</v>
      </c>
    </row>
    <row r="1385" spans="2:5">
      <c r="B1385" s="43" t="s">
        <v>26</v>
      </c>
      <c r="C1385" s="43" t="s">
        <v>27</v>
      </c>
      <c r="D1385" s="44">
        <v>45735</v>
      </c>
      <c r="E1385" s="45">
        <v>870.8</v>
      </c>
    </row>
    <row r="1386" spans="2:5">
      <c r="B1386" s="43" t="s">
        <v>60</v>
      </c>
      <c r="C1386" s="43" t="s">
        <v>61</v>
      </c>
      <c r="D1386" s="44">
        <v>45735</v>
      </c>
      <c r="E1386" s="45">
        <v>366</v>
      </c>
    </row>
    <row r="1387" spans="2:5">
      <c r="B1387" s="43" t="s">
        <v>184</v>
      </c>
      <c r="C1387" s="43" t="s">
        <v>185</v>
      </c>
      <c r="D1387" s="44">
        <v>45735</v>
      </c>
      <c r="E1387" s="45">
        <v>213.3</v>
      </c>
    </row>
    <row r="1388" spans="2:5">
      <c r="B1388" s="43" t="s">
        <v>28</v>
      </c>
      <c r="C1388" s="43" t="s">
        <v>29</v>
      </c>
      <c r="D1388" s="44">
        <v>45735</v>
      </c>
      <c r="E1388" s="45">
        <v>143.2</v>
      </c>
    </row>
    <row r="1389" spans="2:5">
      <c r="B1389" s="43" t="s">
        <v>62</v>
      </c>
      <c r="C1389" s="43" t="s">
        <v>63</v>
      </c>
      <c r="D1389" s="44">
        <v>45735</v>
      </c>
      <c r="E1389" s="45">
        <v>410</v>
      </c>
    </row>
    <row r="1390" spans="2:5">
      <c r="B1390" s="43" t="s">
        <v>64</v>
      </c>
      <c r="C1390" s="43" t="s">
        <v>65</v>
      </c>
      <c r="D1390" s="44">
        <v>45735</v>
      </c>
      <c r="E1390" s="45">
        <v>540</v>
      </c>
    </row>
    <row r="1391" spans="2:5">
      <c r="B1391" s="43" t="s">
        <v>84</v>
      </c>
      <c r="C1391" s="43" t="s">
        <v>85</v>
      </c>
      <c r="D1391" s="44">
        <v>45735</v>
      </c>
      <c r="E1391" s="45">
        <v>499</v>
      </c>
    </row>
    <row r="1392" spans="2:5">
      <c r="B1392" s="43" t="s">
        <v>66</v>
      </c>
      <c r="C1392" s="43" t="s">
        <v>67</v>
      </c>
      <c r="D1392" s="44">
        <v>45735</v>
      </c>
      <c r="E1392" s="45">
        <v>55.4</v>
      </c>
    </row>
    <row r="1393" spans="2:5">
      <c r="B1393" s="43" t="s">
        <v>96</v>
      </c>
      <c r="C1393" s="43" t="s">
        <v>97</v>
      </c>
      <c r="D1393" s="44">
        <v>45735</v>
      </c>
      <c r="E1393" s="45">
        <v>10</v>
      </c>
    </row>
    <row r="1394" spans="2:5">
      <c r="B1394" s="43" t="s">
        <v>32</v>
      </c>
      <c r="C1394" s="43" t="s">
        <v>33</v>
      </c>
      <c r="D1394" s="44">
        <v>45735</v>
      </c>
      <c r="E1394" s="45">
        <v>57</v>
      </c>
    </row>
    <row r="1395" spans="2:5">
      <c r="B1395" s="43" t="s">
        <v>160</v>
      </c>
      <c r="C1395" s="43" t="s">
        <v>161</v>
      </c>
      <c r="D1395" s="44">
        <v>45735</v>
      </c>
      <c r="E1395" s="45">
        <v>72</v>
      </c>
    </row>
    <row r="1396" spans="2:5">
      <c r="B1396" s="43" t="s">
        <v>34</v>
      </c>
      <c r="C1396" s="43" t="s">
        <v>35</v>
      </c>
      <c r="D1396" s="44">
        <v>45735</v>
      </c>
      <c r="E1396" s="45">
        <v>9</v>
      </c>
    </row>
    <row r="1397" spans="2:5">
      <c r="B1397" s="43" t="s">
        <v>8</v>
      </c>
      <c r="C1397" s="43" t="s">
        <v>9</v>
      </c>
      <c r="D1397" s="44">
        <v>45736</v>
      </c>
      <c r="E1397" s="45">
        <v>8.7</v>
      </c>
    </row>
    <row r="1398" spans="2:5">
      <c r="B1398" s="43" t="s">
        <v>44</v>
      </c>
      <c r="C1398" s="43" t="s">
        <v>45</v>
      </c>
      <c r="D1398" s="44">
        <v>45736</v>
      </c>
      <c r="E1398" s="45">
        <v>17</v>
      </c>
    </row>
    <row r="1399" spans="2:5">
      <c r="B1399" s="43" t="s">
        <v>46</v>
      </c>
      <c r="C1399" s="43" t="s">
        <v>47</v>
      </c>
      <c r="D1399" s="44">
        <v>45736</v>
      </c>
      <c r="E1399" s="45">
        <v>576.3</v>
      </c>
    </row>
    <row r="1400" spans="2:5">
      <c r="B1400" s="43" t="s">
        <v>10</v>
      </c>
      <c r="C1400" s="43" t="s">
        <v>11</v>
      </c>
      <c r="D1400" s="44">
        <v>45736</v>
      </c>
      <c r="E1400" s="45">
        <v>121.55</v>
      </c>
    </row>
    <row r="1401" spans="2:5">
      <c r="B1401" s="43" t="s">
        <v>12</v>
      </c>
      <c r="C1401" s="43" t="s">
        <v>13</v>
      </c>
      <c r="D1401" s="44">
        <v>45736</v>
      </c>
      <c r="E1401" s="45">
        <v>690</v>
      </c>
    </row>
    <row r="1402" spans="2:5">
      <c r="B1402" s="43" t="s">
        <v>50</v>
      </c>
      <c r="C1402" s="43" t="s">
        <v>51</v>
      </c>
      <c r="D1402" s="44">
        <v>45736</v>
      </c>
      <c r="E1402" s="45">
        <v>816</v>
      </c>
    </row>
    <row r="1403" spans="2:5">
      <c r="B1403" s="43" t="s">
        <v>162</v>
      </c>
      <c r="C1403" s="43" t="s">
        <v>163</v>
      </c>
      <c r="D1403" s="44">
        <v>45736</v>
      </c>
      <c r="E1403" s="45">
        <v>707</v>
      </c>
    </row>
    <row r="1404" spans="2:5">
      <c r="B1404" s="43" t="s">
        <v>18</v>
      </c>
      <c r="C1404" s="43" t="s">
        <v>19</v>
      </c>
      <c r="D1404" s="44">
        <v>45736</v>
      </c>
      <c r="E1404" s="45">
        <v>778.75</v>
      </c>
    </row>
    <row r="1405" spans="2:5">
      <c r="B1405" s="43" t="s">
        <v>146</v>
      </c>
      <c r="C1405" s="43" t="s">
        <v>147</v>
      </c>
      <c r="D1405" s="44">
        <v>45736</v>
      </c>
      <c r="E1405" s="45">
        <v>488.4</v>
      </c>
    </row>
    <row r="1406" spans="2:5">
      <c r="B1406" s="43" t="s">
        <v>20</v>
      </c>
      <c r="C1406" s="43" t="s">
        <v>21</v>
      </c>
      <c r="D1406" s="44">
        <v>45736</v>
      </c>
      <c r="E1406" s="45">
        <v>9.8</v>
      </c>
    </row>
    <row r="1407" spans="2:5">
      <c r="B1407" s="43" t="s">
        <v>24</v>
      </c>
      <c r="C1407" s="43" t="s">
        <v>25</v>
      </c>
      <c r="D1407" s="44">
        <v>45736</v>
      </c>
      <c r="E1407" s="45">
        <v>1780.8</v>
      </c>
    </row>
    <row r="1408" spans="2:5">
      <c r="B1408" s="43" t="s">
        <v>58</v>
      </c>
      <c r="C1408" s="43" t="s">
        <v>59</v>
      </c>
      <c r="D1408" s="44">
        <v>45736</v>
      </c>
      <c r="E1408" s="45">
        <v>1646.1</v>
      </c>
    </row>
    <row r="1409" spans="2:5">
      <c r="B1409" s="43" t="s">
        <v>60</v>
      </c>
      <c r="C1409" s="43" t="s">
        <v>61</v>
      </c>
      <c r="D1409" s="44">
        <v>45736</v>
      </c>
      <c r="E1409" s="45">
        <v>146.4</v>
      </c>
    </row>
    <row r="1410" spans="2:5">
      <c r="B1410" s="43" t="s">
        <v>62</v>
      </c>
      <c r="C1410" s="43" t="s">
        <v>63</v>
      </c>
      <c r="D1410" s="44">
        <v>45736</v>
      </c>
      <c r="E1410" s="45">
        <v>635.5</v>
      </c>
    </row>
    <row r="1411" spans="2:5">
      <c r="B1411" s="43" t="s">
        <v>148</v>
      </c>
      <c r="C1411" s="43" t="s">
        <v>149</v>
      </c>
      <c r="D1411" s="44">
        <v>45736</v>
      </c>
      <c r="E1411" s="45">
        <v>1030.5</v>
      </c>
    </row>
    <row r="1412" spans="2:5">
      <c r="B1412" s="43" t="s">
        <v>64</v>
      </c>
      <c r="C1412" s="43" t="s">
        <v>65</v>
      </c>
      <c r="D1412" s="44">
        <v>45736</v>
      </c>
      <c r="E1412" s="45">
        <v>320</v>
      </c>
    </row>
    <row r="1413" spans="2:5">
      <c r="B1413" s="43" t="s">
        <v>164</v>
      </c>
      <c r="C1413" s="43" t="s">
        <v>165</v>
      </c>
      <c r="D1413" s="44">
        <v>45736</v>
      </c>
      <c r="E1413" s="45">
        <v>474.6</v>
      </c>
    </row>
    <row r="1414" spans="2:5">
      <c r="B1414" s="43" t="s">
        <v>84</v>
      </c>
      <c r="C1414" s="43" t="s">
        <v>85</v>
      </c>
      <c r="D1414" s="44">
        <v>45736</v>
      </c>
      <c r="E1414" s="45">
        <v>74.85</v>
      </c>
    </row>
    <row r="1415" spans="2:5">
      <c r="B1415" s="43" t="s">
        <v>150</v>
      </c>
      <c r="C1415" s="43" t="s">
        <v>151</v>
      </c>
      <c r="D1415" s="44">
        <v>45736</v>
      </c>
      <c r="E1415" s="45">
        <v>162.3</v>
      </c>
    </row>
    <row r="1416" spans="2:5">
      <c r="B1416" s="43" t="s">
        <v>96</v>
      </c>
      <c r="C1416" s="43" t="s">
        <v>97</v>
      </c>
      <c r="D1416" s="44">
        <v>45736</v>
      </c>
      <c r="E1416" s="45">
        <v>2</v>
      </c>
    </row>
    <row r="1417" spans="2:5">
      <c r="B1417" s="43" t="s">
        <v>98</v>
      </c>
      <c r="C1417" s="43" t="s">
        <v>99</v>
      </c>
      <c r="D1417" s="44">
        <v>45736</v>
      </c>
      <c r="E1417" s="45">
        <v>1</v>
      </c>
    </row>
    <row r="1418" spans="2:5">
      <c r="B1418" s="43" t="s">
        <v>160</v>
      </c>
      <c r="C1418" s="43" t="s">
        <v>161</v>
      </c>
      <c r="D1418" s="44">
        <v>45736</v>
      </c>
      <c r="E1418" s="45">
        <v>3</v>
      </c>
    </row>
    <row r="1419" spans="2:5">
      <c r="B1419" s="43" t="s">
        <v>34</v>
      </c>
      <c r="C1419" s="43" t="s">
        <v>35</v>
      </c>
      <c r="D1419" s="44">
        <v>45736</v>
      </c>
      <c r="E1419" s="45">
        <v>2</v>
      </c>
    </row>
    <row r="1420" spans="2:5">
      <c r="B1420" s="43" t="s">
        <v>36</v>
      </c>
      <c r="C1420" s="43" t="s">
        <v>37</v>
      </c>
      <c r="D1420" s="44">
        <v>45736</v>
      </c>
      <c r="E1420" s="45">
        <v>8</v>
      </c>
    </row>
    <row r="1421" spans="2:5">
      <c r="B1421" s="43" t="s">
        <v>42</v>
      </c>
      <c r="C1421" s="43" t="s">
        <v>43</v>
      </c>
      <c r="D1421" s="44">
        <v>45737</v>
      </c>
      <c r="E1421" s="45">
        <v>102.85</v>
      </c>
    </row>
    <row r="1422" spans="2:5">
      <c r="B1422" s="43" t="s">
        <v>156</v>
      </c>
      <c r="C1422" s="43" t="s">
        <v>157</v>
      </c>
      <c r="D1422" s="44">
        <v>45737</v>
      </c>
      <c r="E1422" s="45">
        <v>156</v>
      </c>
    </row>
    <row r="1423" spans="2:5">
      <c r="B1423" s="43" t="s">
        <v>8</v>
      </c>
      <c r="C1423" s="43" t="s">
        <v>9</v>
      </c>
      <c r="D1423" s="44">
        <v>45737</v>
      </c>
      <c r="E1423" s="45">
        <v>52.2</v>
      </c>
    </row>
    <row r="1424" spans="2:5">
      <c r="B1424" s="43" t="s">
        <v>44</v>
      </c>
      <c r="C1424" s="43" t="s">
        <v>45</v>
      </c>
      <c r="D1424" s="44">
        <v>45737</v>
      </c>
      <c r="E1424" s="45">
        <v>59.5</v>
      </c>
    </row>
    <row r="1425" spans="2:5">
      <c r="B1425" s="43" t="s">
        <v>46</v>
      </c>
      <c r="C1425" s="43" t="s">
        <v>47</v>
      </c>
      <c r="D1425" s="44">
        <v>45737</v>
      </c>
      <c r="E1425" s="45">
        <v>22.6</v>
      </c>
    </row>
    <row r="1426" spans="2:5">
      <c r="B1426" s="43" t="s">
        <v>74</v>
      </c>
      <c r="C1426" s="43" t="s">
        <v>75</v>
      </c>
      <c r="D1426" s="44">
        <v>45737</v>
      </c>
      <c r="E1426" s="45">
        <v>24.9</v>
      </c>
    </row>
    <row r="1427" spans="2:5">
      <c r="B1427" s="43" t="s">
        <v>134</v>
      </c>
      <c r="C1427" s="43" t="s">
        <v>135</v>
      </c>
      <c r="D1427" s="44">
        <v>45737</v>
      </c>
      <c r="E1427" s="45">
        <v>12.25</v>
      </c>
    </row>
    <row r="1428" spans="2:5">
      <c r="B1428" s="43" t="s">
        <v>50</v>
      </c>
      <c r="C1428" s="43" t="s">
        <v>51</v>
      </c>
      <c r="D1428" s="44">
        <v>45737</v>
      </c>
      <c r="E1428" s="45">
        <v>761.6</v>
      </c>
    </row>
    <row r="1429" spans="2:5">
      <c r="B1429" s="43" t="s">
        <v>144</v>
      </c>
      <c r="C1429" s="43" t="s">
        <v>145</v>
      </c>
      <c r="D1429" s="44">
        <v>45737</v>
      </c>
      <c r="E1429" s="45">
        <v>972</v>
      </c>
    </row>
    <row r="1430" spans="2:5">
      <c r="B1430" s="43" t="s">
        <v>78</v>
      </c>
      <c r="C1430" s="43" t="s">
        <v>79</v>
      </c>
      <c r="D1430" s="44">
        <v>45737</v>
      </c>
      <c r="E1430" s="45">
        <v>17.7</v>
      </c>
    </row>
    <row r="1431" spans="2:5">
      <c r="B1431" s="43" t="s">
        <v>20</v>
      </c>
      <c r="C1431" s="43" t="s">
        <v>21</v>
      </c>
      <c r="D1431" s="44">
        <v>45737</v>
      </c>
      <c r="E1431" s="45">
        <v>78.4</v>
      </c>
    </row>
    <row r="1432" spans="2:5">
      <c r="B1432" s="43" t="s">
        <v>22</v>
      </c>
      <c r="C1432" s="43" t="s">
        <v>23</v>
      </c>
      <c r="D1432" s="44">
        <v>45737</v>
      </c>
      <c r="E1432" s="45">
        <v>86.4</v>
      </c>
    </row>
    <row r="1433" spans="2:5">
      <c r="B1433" s="43" t="s">
        <v>80</v>
      </c>
      <c r="C1433" s="43" t="s">
        <v>81</v>
      </c>
      <c r="D1433" s="44">
        <v>45737</v>
      </c>
      <c r="E1433" s="45">
        <v>846.65</v>
      </c>
    </row>
    <row r="1434" spans="2:5">
      <c r="B1434" s="43" t="s">
        <v>24</v>
      </c>
      <c r="C1434" s="43" t="s">
        <v>25</v>
      </c>
      <c r="D1434" s="44">
        <v>45737</v>
      </c>
      <c r="E1434" s="45">
        <v>1256.1</v>
      </c>
    </row>
    <row r="1435" spans="2:5">
      <c r="B1435" s="43" t="s">
        <v>58</v>
      </c>
      <c r="C1435" s="43" t="s">
        <v>59</v>
      </c>
      <c r="D1435" s="44">
        <v>45737</v>
      </c>
      <c r="E1435" s="45">
        <v>212.4</v>
      </c>
    </row>
    <row r="1436" spans="2:5">
      <c r="B1436" s="43" t="s">
        <v>26</v>
      </c>
      <c r="C1436" s="43" t="s">
        <v>27</v>
      </c>
      <c r="D1436" s="44">
        <v>45737</v>
      </c>
      <c r="E1436" s="45">
        <v>2705.7</v>
      </c>
    </row>
    <row r="1437" spans="2:5">
      <c r="B1437" s="43" t="s">
        <v>28</v>
      </c>
      <c r="C1437" s="43" t="s">
        <v>29</v>
      </c>
      <c r="D1437" s="44">
        <v>45737</v>
      </c>
      <c r="E1437" s="45">
        <v>1324.6</v>
      </c>
    </row>
    <row r="1438" spans="2:5">
      <c r="B1438" s="43" t="s">
        <v>62</v>
      </c>
      <c r="C1438" s="43" t="s">
        <v>63</v>
      </c>
      <c r="D1438" s="44">
        <v>45737</v>
      </c>
      <c r="E1438" s="45">
        <v>205</v>
      </c>
    </row>
    <row r="1439" spans="2:5">
      <c r="B1439" s="43" t="s">
        <v>64</v>
      </c>
      <c r="C1439" s="43" t="s">
        <v>65</v>
      </c>
      <c r="D1439" s="44">
        <v>45737</v>
      </c>
      <c r="E1439" s="45">
        <v>400</v>
      </c>
    </row>
    <row r="1440" spans="2:5">
      <c r="B1440" s="43" t="s">
        <v>96</v>
      </c>
      <c r="C1440" s="43" t="s">
        <v>97</v>
      </c>
      <c r="D1440" s="44">
        <v>45737</v>
      </c>
      <c r="E1440" s="45">
        <v>22</v>
      </c>
    </row>
    <row r="1441" spans="2:5">
      <c r="B1441" s="43" t="s">
        <v>32</v>
      </c>
      <c r="C1441" s="43" t="s">
        <v>33</v>
      </c>
      <c r="D1441" s="44">
        <v>45737</v>
      </c>
      <c r="E1441" s="45">
        <v>7</v>
      </c>
    </row>
    <row r="1442" spans="2:5">
      <c r="B1442" s="43" t="s">
        <v>98</v>
      </c>
      <c r="C1442" s="43" t="s">
        <v>99</v>
      </c>
      <c r="D1442" s="44">
        <v>45737</v>
      </c>
      <c r="E1442" s="45">
        <v>13</v>
      </c>
    </row>
    <row r="1443" spans="2:5">
      <c r="B1443" s="43" t="s">
        <v>160</v>
      </c>
      <c r="C1443" s="43" t="s">
        <v>161</v>
      </c>
      <c r="D1443" s="44">
        <v>45737</v>
      </c>
      <c r="E1443" s="45">
        <v>3</v>
      </c>
    </row>
    <row r="1444" spans="2:5">
      <c r="B1444" s="43" t="s">
        <v>34</v>
      </c>
      <c r="C1444" s="43" t="s">
        <v>35</v>
      </c>
      <c r="D1444" s="44">
        <v>45737</v>
      </c>
      <c r="E1444" s="45">
        <v>6</v>
      </c>
    </row>
    <row r="1445" spans="2:5">
      <c r="B1445" s="43" t="s">
        <v>36</v>
      </c>
      <c r="C1445" s="43" t="s">
        <v>37</v>
      </c>
      <c r="D1445" s="44">
        <v>45737</v>
      </c>
      <c r="E1445" s="45">
        <v>30</v>
      </c>
    </row>
    <row r="1446" spans="2:5">
      <c r="B1446" s="43" t="s">
        <v>102</v>
      </c>
      <c r="C1446" s="43" t="s">
        <v>103</v>
      </c>
      <c r="D1446" s="44">
        <v>45740</v>
      </c>
      <c r="E1446" s="45">
        <v>2</v>
      </c>
    </row>
    <row r="1447" spans="2:5">
      <c r="B1447" s="43" t="s">
        <v>104</v>
      </c>
      <c r="C1447" s="43" t="s">
        <v>105</v>
      </c>
      <c r="D1447" s="44">
        <v>45740</v>
      </c>
      <c r="E1447" s="45">
        <v>16</v>
      </c>
    </row>
    <row r="1448" spans="2:5">
      <c r="B1448" s="43" t="s">
        <v>4</v>
      </c>
      <c r="C1448" s="43" t="s">
        <v>5</v>
      </c>
      <c r="D1448" s="44">
        <v>45740</v>
      </c>
      <c r="E1448" s="45">
        <v>67</v>
      </c>
    </row>
    <row r="1449" spans="2:5">
      <c r="B1449" s="43" t="s">
        <v>8</v>
      </c>
      <c r="C1449" s="43" t="s">
        <v>9</v>
      </c>
      <c r="D1449" s="44">
        <v>45740</v>
      </c>
      <c r="E1449" s="45">
        <v>182.7</v>
      </c>
    </row>
    <row r="1450" spans="2:5">
      <c r="B1450" s="43" t="s">
        <v>46</v>
      </c>
      <c r="C1450" s="43" t="s">
        <v>47</v>
      </c>
      <c r="D1450" s="44">
        <v>45740</v>
      </c>
      <c r="E1450" s="45">
        <v>169.5</v>
      </c>
    </row>
    <row r="1451" spans="2:5">
      <c r="B1451" s="43" t="s">
        <v>12</v>
      </c>
      <c r="C1451" s="43" t="s">
        <v>13</v>
      </c>
      <c r="D1451" s="44">
        <v>45740</v>
      </c>
      <c r="E1451" s="45">
        <v>510.6</v>
      </c>
    </row>
    <row r="1452" spans="2:5">
      <c r="B1452" s="43" t="s">
        <v>48</v>
      </c>
      <c r="C1452" s="43" t="s">
        <v>49</v>
      </c>
      <c r="D1452" s="44">
        <v>45740</v>
      </c>
      <c r="E1452" s="45">
        <v>30.4</v>
      </c>
    </row>
    <row r="1453" spans="2:5">
      <c r="B1453" s="43" t="s">
        <v>190</v>
      </c>
      <c r="C1453" s="43" t="s">
        <v>191</v>
      </c>
      <c r="D1453" s="44">
        <v>45740</v>
      </c>
      <c r="E1453" s="45">
        <v>54</v>
      </c>
    </row>
    <row r="1454" spans="2:5">
      <c r="B1454" s="43" t="s">
        <v>168</v>
      </c>
      <c r="C1454" s="43" t="s">
        <v>169</v>
      </c>
      <c r="D1454" s="44">
        <v>45740</v>
      </c>
      <c r="E1454" s="45">
        <v>40.2</v>
      </c>
    </row>
    <row r="1455" spans="2:5">
      <c r="B1455" s="43" t="s">
        <v>158</v>
      </c>
      <c r="C1455" s="43" t="s">
        <v>159</v>
      </c>
      <c r="D1455" s="44">
        <v>45740</v>
      </c>
      <c r="E1455" s="45">
        <v>102</v>
      </c>
    </row>
    <row r="1456" spans="2:5">
      <c r="B1456" s="43" t="s">
        <v>20</v>
      </c>
      <c r="C1456" s="43" t="s">
        <v>21</v>
      </c>
      <c r="D1456" s="44">
        <v>45740</v>
      </c>
      <c r="E1456" s="45">
        <v>9.8</v>
      </c>
    </row>
    <row r="1457" spans="2:5">
      <c r="B1457" s="43" t="s">
        <v>24</v>
      </c>
      <c r="C1457" s="43" t="s">
        <v>25</v>
      </c>
      <c r="D1457" s="44">
        <v>45740</v>
      </c>
      <c r="E1457" s="45">
        <v>222.6</v>
      </c>
    </row>
    <row r="1458" spans="2:5">
      <c r="B1458" s="43" t="s">
        <v>58</v>
      </c>
      <c r="C1458" s="43" t="s">
        <v>59</v>
      </c>
      <c r="D1458" s="44">
        <v>45740</v>
      </c>
      <c r="E1458" s="45">
        <v>584.1</v>
      </c>
    </row>
    <row r="1459" spans="2:5">
      <c r="B1459" s="43" t="s">
        <v>26</v>
      </c>
      <c r="C1459" s="43" t="s">
        <v>27</v>
      </c>
      <c r="D1459" s="44">
        <v>45740</v>
      </c>
      <c r="E1459" s="45">
        <v>248.8</v>
      </c>
    </row>
    <row r="1460" spans="2:5">
      <c r="B1460" s="43" t="s">
        <v>60</v>
      </c>
      <c r="C1460" s="43" t="s">
        <v>61</v>
      </c>
      <c r="D1460" s="44">
        <v>45740</v>
      </c>
      <c r="E1460" s="45">
        <v>36.6</v>
      </c>
    </row>
    <row r="1461" spans="2:5">
      <c r="B1461" s="43" t="s">
        <v>62</v>
      </c>
      <c r="C1461" s="43" t="s">
        <v>63</v>
      </c>
      <c r="D1461" s="44">
        <v>45740</v>
      </c>
      <c r="E1461" s="45">
        <v>164</v>
      </c>
    </row>
    <row r="1462" spans="2:5">
      <c r="B1462" s="43" t="s">
        <v>64</v>
      </c>
      <c r="C1462" s="43" t="s">
        <v>65</v>
      </c>
      <c r="D1462" s="44">
        <v>45740</v>
      </c>
      <c r="E1462" s="45">
        <v>360</v>
      </c>
    </row>
    <row r="1463" spans="2:5">
      <c r="B1463" s="43" t="s">
        <v>124</v>
      </c>
      <c r="C1463" s="43" t="s">
        <v>125</v>
      </c>
      <c r="D1463" s="44">
        <v>45740</v>
      </c>
      <c r="E1463" s="45">
        <v>80.6</v>
      </c>
    </row>
    <row r="1464" spans="2:5">
      <c r="B1464" s="43" t="s">
        <v>30</v>
      </c>
      <c r="C1464" s="43" t="s">
        <v>31</v>
      </c>
      <c r="D1464" s="44">
        <v>45740</v>
      </c>
      <c r="E1464" s="45">
        <v>7</v>
      </c>
    </row>
    <row r="1465" spans="2:5">
      <c r="B1465" s="43" t="s">
        <v>196</v>
      </c>
      <c r="C1465" s="43" t="s">
        <v>197</v>
      </c>
      <c r="D1465" s="44">
        <v>45740</v>
      </c>
      <c r="E1465" s="45">
        <v>4</v>
      </c>
    </row>
    <row r="1466" spans="2:5">
      <c r="B1466" s="43" t="s">
        <v>96</v>
      </c>
      <c r="C1466" s="43" t="s">
        <v>97</v>
      </c>
      <c r="D1466" s="44">
        <v>45740</v>
      </c>
      <c r="E1466" s="45">
        <v>80</v>
      </c>
    </row>
    <row r="1467" spans="2:5">
      <c r="B1467" s="43" t="s">
        <v>160</v>
      </c>
      <c r="C1467" s="43" t="s">
        <v>161</v>
      </c>
      <c r="D1467" s="44">
        <v>45740</v>
      </c>
      <c r="E1467" s="45">
        <v>8</v>
      </c>
    </row>
    <row r="1468" spans="2:5">
      <c r="B1468" s="43" t="s">
        <v>34</v>
      </c>
      <c r="C1468" s="43" t="s">
        <v>35</v>
      </c>
      <c r="D1468" s="44">
        <v>45740</v>
      </c>
      <c r="E1468" s="45">
        <v>3</v>
      </c>
    </row>
    <row r="1469" spans="2:5">
      <c r="B1469" s="43" t="s">
        <v>170</v>
      </c>
      <c r="C1469" s="43" t="s">
        <v>171</v>
      </c>
      <c r="D1469" s="44">
        <v>45740</v>
      </c>
      <c r="E1469" s="45">
        <v>1</v>
      </c>
    </row>
    <row r="1470" spans="2:5">
      <c r="B1470" s="43" t="s">
        <v>38</v>
      </c>
      <c r="C1470" s="43" t="s">
        <v>39</v>
      </c>
      <c r="D1470" s="44">
        <v>45740</v>
      </c>
      <c r="E1470" s="45">
        <v>20</v>
      </c>
    </row>
    <row r="1471" spans="2:5">
      <c r="B1471" s="43" t="s">
        <v>4</v>
      </c>
      <c r="C1471" s="43" t="s">
        <v>5</v>
      </c>
      <c r="D1471" s="44">
        <v>45741</v>
      </c>
      <c r="E1471" s="45">
        <v>100.5</v>
      </c>
    </row>
    <row r="1472" spans="2:5">
      <c r="B1472" s="43" t="s">
        <v>6</v>
      </c>
      <c r="C1472" s="43" t="s">
        <v>7</v>
      </c>
      <c r="D1472" s="44">
        <v>45741</v>
      </c>
      <c r="E1472" s="45">
        <v>150.65</v>
      </c>
    </row>
    <row r="1473" spans="2:5">
      <c r="B1473" s="43" t="s">
        <v>8</v>
      </c>
      <c r="C1473" s="43" t="s">
        <v>9</v>
      </c>
      <c r="D1473" s="44">
        <v>45741</v>
      </c>
      <c r="E1473" s="45">
        <v>243.6</v>
      </c>
    </row>
    <row r="1474" spans="2:5">
      <c r="B1474" s="43" t="s">
        <v>44</v>
      </c>
      <c r="C1474" s="43" t="s">
        <v>45</v>
      </c>
      <c r="D1474" s="44">
        <v>45741</v>
      </c>
      <c r="E1474" s="45">
        <v>127.5</v>
      </c>
    </row>
    <row r="1475" spans="2:5">
      <c r="B1475" s="43" t="s">
        <v>46</v>
      </c>
      <c r="C1475" s="43" t="s">
        <v>47</v>
      </c>
      <c r="D1475" s="44">
        <v>45741</v>
      </c>
      <c r="E1475" s="45">
        <v>56.5</v>
      </c>
    </row>
    <row r="1476" spans="2:5">
      <c r="B1476" s="43" t="s">
        <v>10</v>
      </c>
      <c r="C1476" s="43" t="s">
        <v>11</v>
      </c>
      <c r="D1476" s="44">
        <v>45741</v>
      </c>
      <c r="E1476" s="45">
        <v>77.35</v>
      </c>
    </row>
    <row r="1477" spans="2:5">
      <c r="B1477" s="43" t="s">
        <v>12</v>
      </c>
      <c r="C1477" s="43" t="s">
        <v>13</v>
      </c>
      <c r="D1477" s="44">
        <v>45741</v>
      </c>
      <c r="E1477" s="45">
        <v>82.8</v>
      </c>
    </row>
    <row r="1478" spans="2:5">
      <c r="B1478" s="43" t="s">
        <v>50</v>
      </c>
      <c r="C1478" s="43" t="s">
        <v>51</v>
      </c>
      <c r="D1478" s="44">
        <v>45741</v>
      </c>
      <c r="E1478" s="45">
        <v>13.6</v>
      </c>
    </row>
    <row r="1479" spans="2:5">
      <c r="B1479" s="43" t="s">
        <v>182</v>
      </c>
      <c r="C1479" s="43" t="s">
        <v>183</v>
      </c>
      <c r="D1479" s="44">
        <v>45741</v>
      </c>
      <c r="E1479" s="45">
        <v>211</v>
      </c>
    </row>
    <row r="1480" spans="2:5">
      <c r="B1480" s="43" t="s">
        <v>128</v>
      </c>
      <c r="C1480" s="43" t="s">
        <v>129</v>
      </c>
      <c r="D1480" s="44">
        <v>45741</v>
      </c>
      <c r="E1480" s="45">
        <v>119.2</v>
      </c>
    </row>
    <row r="1481" spans="2:5">
      <c r="B1481" s="43" t="s">
        <v>20</v>
      </c>
      <c r="C1481" s="43" t="s">
        <v>21</v>
      </c>
      <c r="D1481" s="44">
        <v>45741</v>
      </c>
      <c r="E1481" s="45">
        <v>529.2</v>
      </c>
    </row>
    <row r="1482" spans="2:5">
      <c r="B1482" s="43" t="s">
        <v>22</v>
      </c>
      <c r="C1482" s="43" t="s">
        <v>23</v>
      </c>
      <c r="D1482" s="44">
        <v>45741</v>
      </c>
      <c r="E1482" s="45">
        <v>288</v>
      </c>
    </row>
    <row r="1483" spans="2:5">
      <c r="B1483" s="43" t="s">
        <v>80</v>
      </c>
      <c r="C1483" s="43" t="s">
        <v>81</v>
      </c>
      <c r="D1483" s="44">
        <v>45741</v>
      </c>
      <c r="E1483" s="45">
        <v>172.2</v>
      </c>
    </row>
    <row r="1484" spans="2:5">
      <c r="B1484" s="43" t="s">
        <v>24</v>
      </c>
      <c r="C1484" s="43" t="s">
        <v>25</v>
      </c>
      <c r="D1484" s="44">
        <v>45741</v>
      </c>
      <c r="E1484" s="45">
        <v>1065.3</v>
      </c>
    </row>
    <row r="1485" spans="2:5">
      <c r="B1485" s="43" t="s">
        <v>58</v>
      </c>
      <c r="C1485" s="43" t="s">
        <v>59</v>
      </c>
      <c r="D1485" s="44">
        <v>45741</v>
      </c>
      <c r="E1485" s="45">
        <v>619.5</v>
      </c>
    </row>
    <row r="1486" spans="2:5">
      <c r="B1486" s="43" t="s">
        <v>26</v>
      </c>
      <c r="C1486" s="43" t="s">
        <v>27</v>
      </c>
      <c r="D1486" s="44">
        <v>45741</v>
      </c>
      <c r="E1486" s="45">
        <v>839.7</v>
      </c>
    </row>
    <row r="1487" spans="2:5">
      <c r="B1487" s="43" t="s">
        <v>110</v>
      </c>
      <c r="C1487" s="43" t="s">
        <v>111</v>
      </c>
      <c r="D1487" s="44">
        <v>45741</v>
      </c>
      <c r="E1487" s="45">
        <v>330</v>
      </c>
    </row>
    <row r="1488" spans="2:5">
      <c r="B1488" s="43" t="s">
        <v>60</v>
      </c>
      <c r="C1488" s="43" t="s">
        <v>61</v>
      </c>
      <c r="D1488" s="44">
        <v>45741</v>
      </c>
      <c r="E1488" s="45">
        <v>36.6</v>
      </c>
    </row>
    <row r="1489" spans="2:5">
      <c r="B1489" s="43" t="s">
        <v>28</v>
      </c>
      <c r="C1489" s="43" t="s">
        <v>29</v>
      </c>
      <c r="D1489" s="44">
        <v>45741</v>
      </c>
      <c r="E1489" s="45">
        <v>554.9</v>
      </c>
    </row>
    <row r="1490" spans="2:5">
      <c r="B1490" s="43" t="s">
        <v>62</v>
      </c>
      <c r="C1490" s="43" t="s">
        <v>63</v>
      </c>
      <c r="D1490" s="44">
        <v>45741</v>
      </c>
      <c r="E1490" s="45">
        <v>697</v>
      </c>
    </row>
    <row r="1491" spans="2:5">
      <c r="B1491" s="43" t="s">
        <v>64</v>
      </c>
      <c r="C1491" s="43" t="s">
        <v>65</v>
      </c>
      <c r="D1491" s="44">
        <v>45741</v>
      </c>
      <c r="E1491" s="45">
        <v>320</v>
      </c>
    </row>
    <row r="1492" spans="2:5">
      <c r="B1492" s="43" t="s">
        <v>96</v>
      </c>
      <c r="C1492" s="43" t="s">
        <v>97</v>
      </c>
      <c r="D1492" s="44">
        <v>45741</v>
      </c>
      <c r="E1492" s="45">
        <v>15</v>
      </c>
    </row>
    <row r="1493" spans="2:5">
      <c r="B1493" s="43" t="s">
        <v>32</v>
      </c>
      <c r="C1493" s="43" t="s">
        <v>33</v>
      </c>
      <c r="D1493" s="44">
        <v>45741</v>
      </c>
      <c r="E1493" s="45">
        <v>18</v>
      </c>
    </row>
    <row r="1494" spans="2:5">
      <c r="B1494" s="43" t="s">
        <v>98</v>
      </c>
      <c r="C1494" s="43" t="s">
        <v>99</v>
      </c>
      <c r="D1494" s="44">
        <v>45741</v>
      </c>
      <c r="E1494" s="45">
        <v>1</v>
      </c>
    </row>
    <row r="1495" spans="2:5">
      <c r="B1495" s="43" t="s">
        <v>34</v>
      </c>
      <c r="C1495" s="43" t="s">
        <v>35</v>
      </c>
      <c r="D1495" s="44">
        <v>45741</v>
      </c>
      <c r="E1495" s="45">
        <v>27</v>
      </c>
    </row>
    <row r="1496" spans="2:5">
      <c r="B1496" s="43" t="s">
        <v>36</v>
      </c>
      <c r="C1496" s="43" t="s">
        <v>37</v>
      </c>
      <c r="D1496" s="44">
        <v>45741</v>
      </c>
      <c r="E1496" s="45">
        <v>3</v>
      </c>
    </row>
    <row r="1497" spans="2:5">
      <c r="B1497" s="43" t="s">
        <v>38</v>
      </c>
      <c r="C1497" s="43" t="s">
        <v>39</v>
      </c>
      <c r="D1497" s="44">
        <v>45741</v>
      </c>
      <c r="E1497" s="45">
        <v>80</v>
      </c>
    </row>
    <row r="1498" spans="2:5">
      <c r="B1498" s="43" t="s">
        <v>8</v>
      </c>
      <c r="C1498" s="43" t="s">
        <v>9</v>
      </c>
      <c r="D1498" s="44">
        <v>45742</v>
      </c>
      <c r="E1498" s="45">
        <v>78.3</v>
      </c>
    </row>
    <row r="1499" spans="2:5">
      <c r="B1499" s="43" t="s">
        <v>44</v>
      </c>
      <c r="C1499" s="43" t="s">
        <v>45</v>
      </c>
      <c r="D1499" s="44">
        <v>45742</v>
      </c>
      <c r="E1499" s="45">
        <v>8.5</v>
      </c>
    </row>
    <row r="1500" spans="2:5">
      <c r="B1500" s="43" t="s">
        <v>46</v>
      </c>
      <c r="C1500" s="43" t="s">
        <v>47</v>
      </c>
      <c r="D1500" s="44">
        <v>45742</v>
      </c>
      <c r="E1500" s="45">
        <v>146.9</v>
      </c>
    </row>
    <row r="1501" spans="2:5">
      <c r="B1501" s="43" t="s">
        <v>12</v>
      </c>
      <c r="C1501" s="43" t="s">
        <v>13</v>
      </c>
      <c r="D1501" s="44">
        <v>45742</v>
      </c>
      <c r="E1501" s="45">
        <v>234.6</v>
      </c>
    </row>
    <row r="1502" spans="2:5">
      <c r="B1502" s="43" t="s">
        <v>50</v>
      </c>
      <c r="C1502" s="43" t="s">
        <v>51</v>
      </c>
      <c r="D1502" s="44">
        <v>45742</v>
      </c>
      <c r="E1502" s="45">
        <v>244.8</v>
      </c>
    </row>
    <row r="1503" spans="2:5">
      <c r="B1503" s="43" t="s">
        <v>162</v>
      </c>
      <c r="C1503" s="43" t="s">
        <v>163</v>
      </c>
      <c r="D1503" s="44">
        <v>45742</v>
      </c>
      <c r="E1503" s="45">
        <v>20.2</v>
      </c>
    </row>
    <row r="1504" spans="2:5">
      <c r="B1504" s="43" t="s">
        <v>76</v>
      </c>
      <c r="C1504" s="43" t="s">
        <v>77</v>
      </c>
      <c r="D1504" s="44">
        <v>45742</v>
      </c>
      <c r="E1504" s="45">
        <v>70.6</v>
      </c>
    </row>
    <row r="1505" spans="2:5">
      <c r="B1505" s="43" t="s">
        <v>152</v>
      </c>
      <c r="C1505" s="43" t="s">
        <v>153</v>
      </c>
      <c r="D1505" s="44">
        <v>45742</v>
      </c>
      <c r="E1505" s="45">
        <v>279</v>
      </c>
    </row>
    <row r="1506" spans="2:5">
      <c r="B1506" s="43" t="s">
        <v>20</v>
      </c>
      <c r="C1506" s="43" t="s">
        <v>21</v>
      </c>
      <c r="D1506" s="44">
        <v>45742</v>
      </c>
      <c r="E1506" s="45">
        <v>39.2</v>
      </c>
    </row>
    <row r="1507" spans="2:5">
      <c r="B1507" s="43" t="s">
        <v>22</v>
      </c>
      <c r="C1507" s="43" t="s">
        <v>23</v>
      </c>
      <c r="D1507" s="44">
        <v>45742</v>
      </c>
      <c r="E1507" s="45">
        <v>19.2</v>
      </c>
    </row>
    <row r="1508" spans="2:5">
      <c r="B1508" s="43" t="s">
        <v>24</v>
      </c>
      <c r="C1508" s="43" t="s">
        <v>25</v>
      </c>
      <c r="D1508" s="44">
        <v>45742</v>
      </c>
      <c r="E1508" s="45">
        <v>1637.7</v>
      </c>
    </row>
    <row r="1509" spans="2:5">
      <c r="B1509" s="43" t="s">
        <v>110</v>
      </c>
      <c r="C1509" s="43" t="s">
        <v>111</v>
      </c>
      <c r="D1509" s="44">
        <v>45742</v>
      </c>
      <c r="E1509" s="45">
        <v>165</v>
      </c>
    </row>
    <row r="1510" spans="2:5">
      <c r="B1510" s="43" t="s">
        <v>122</v>
      </c>
      <c r="C1510" s="43" t="s">
        <v>123</v>
      </c>
      <c r="D1510" s="44">
        <v>45742</v>
      </c>
      <c r="E1510" s="45">
        <v>60.4</v>
      </c>
    </row>
    <row r="1511" spans="2:5">
      <c r="B1511" s="43" t="s">
        <v>62</v>
      </c>
      <c r="C1511" s="43" t="s">
        <v>63</v>
      </c>
      <c r="D1511" s="44">
        <v>45742</v>
      </c>
      <c r="E1511" s="45">
        <v>1722</v>
      </c>
    </row>
    <row r="1512" spans="2:5">
      <c r="B1512" s="43" t="s">
        <v>90</v>
      </c>
      <c r="C1512" s="43" t="s">
        <v>91</v>
      </c>
      <c r="D1512" s="44">
        <v>45742</v>
      </c>
      <c r="E1512" s="45">
        <v>427.2</v>
      </c>
    </row>
    <row r="1513" spans="2:5">
      <c r="B1513" s="43" t="s">
        <v>64</v>
      </c>
      <c r="C1513" s="43" t="s">
        <v>65</v>
      </c>
      <c r="D1513" s="44">
        <v>45742</v>
      </c>
      <c r="E1513" s="45">
        <v>120</v>
      </c>
    </row>
    <row r="1514" spans="2:5">
      <c r="B1514" s="43" t="s">
        <v>84</v>
      </c>
      <c r="C1514" s="43" t="s">
        <v>85</v>
      </c>
      <c r="D1514" s="44">
        <v>45742</v>
      </c>
      <c r="E1514" s="45">
        <v>49.9</v>
      </c>
    </row>
    <row r="1515" spans="2:5">
      <c r="B1515" s="43" t="s">
        <v>96</v>
      </c>
      <c r="C1515" s="43" t="s">
        <v>97</v>
      </c>
      <c r="D1515" s="44">
        <v>45742</v>
      </c>
      <c r="E1515" s="45">
        <v>8</v>
      </c>
    </row>
    <row r="1516" spans="2:5">
      <c r="B1516" s="43" t="s">
        <v>32</v>
      </c>
      <c r="C1516" s="43" t="s">
        <v>33</v>
      </c>
      <c r="D1516" s="44">
        <v>45742</v>
      </c>
      <c r="E1516" s="45">
        <v>1</v>
      </c>
    </row>
    <row r="1517" spans="2:5">
      <c r="B1517" s="43" t="s">
        <v>34</v>
      </c>
      <c r="C1517" s="43" t="s">
        <v>35</v>
      </c>
      <c r="D1517" s="44">
        <v>45742</v>
      </c>
      <c r="E1517" s="45">
        <v>2</v>
      </c>
    </row>
    <row r="1518" spans="2:5">
      <c r="B1518" s="43" t="s">
        <v>36</v>
      </c>
      <c r="C1518" s="43" t="s">
        <v>37</v>
      </c>
      <c r="D1518" s="44">
        <v>45742</v>
      </c>
      <c r="E1518" s="45">
        <v>2</v>
      </c>
    </row>
    <row r="1519" spans="2:5">
      <c r="B1519" s="43" t="s">
        <v>104</v>
      </c>
      <c r="C1519" s="43" t="s">
        <v>105</v>
      </c>
      <c r="D1519" s="44">
        <v>45743</v>
      </c>
      <c r="E1519" s="45">
        <v>30</v>
      </c>
    </row>
    <row r="1520" spans="2:5">
      <c r="B1520" s="43" t="s">
        <v>40</v>
      </c>
      <c r="C1520" s="43" t="s">
        <v>41</v>
      </c>
      <c r="D1520" s="44">
        <v>45743</v>
      </c>
      <c r="E1520" s="45">
        <v>5</v>
      </c>
    </row>
    <row r="1521" spans="2:5">
      <c r="B1521" s="43" t="s">
        <v>6</v>
      </c>
      <c r="C1521" s="43" t="s">
        <v>7</v>
      </c>
      <c r="D1521" s="44">
        <v>45743</v>
      </c>
      <c r="E1521" s="45">
        <v>78.6</v>
      </c>
    </row>
    <row r="1522" spans="2:5">
      <c r="B1522" s="43" t="s">
        <v>156</v>
      </c>
      <c r="C1522" s="43" t="s">
        <v>157</v>
      </c>
      <c r="D1522" s="44">
        <v>45743</v>
      </c>
      <c r="E1522" s="45">
        <v>7.8</v>
      </c>
    </row>
    <row r="1523" spans="2:5">
      <c r="B1523" s="43" t="s">
        <v>8</v>
      </c>
      <c r="C1523" s="43" t="s">
        <v>9</v>
      </c>
      <c r="D1523" s="44">
        <v>45743</v>
      </c>
      <c r="E1523" s="45">
        <v>17.4</v>
      </c>
    </row>
    <row r="1524" spans="2:5">
      <c r="B1524" s="43" t="s">
        <v>44</v>
      </c>
      <c r="C1524" s="43" t="s">
        <v>45</v>
      </c>
      <c r="D1524" s="44">
        <v>45743</v>
      </c>
      <c r="E1524" s="45">
        <v>25.5</v>
      </c>
    </row>
    <row r="1525" spans="2:5">
      <c r="B1525" s="43" t="s">
        <v>46</v>
      </c>
      <c r="C1525" s="43" t="s">
        <v>47</v>
      </c>
      <c r="D1525" s="44">
        <v>45743</v>
      </c>
      <c r="E1525" s="45">
        <v>67.8</v>
      </c>
    </row>
    <row r="1526" spans="2:5">
      <c r="B1526" s="43" t="s">
        <v>74</v>
      </c>
      <c r="C1526" s="43" t="s">
        <v>75</v>
      </c>
      <c r="D1526" s="44">
        <v>45743</v>
      </c>
      <c r="E1526" s="45">
        <v>37.35</v>
      </c>
    </row>
    <row r="1527" spans="2:5">
      <c r="B1527" s="43" t="s">
        <v>114</v>
      </c>
      <c r="C1527" s="43" t="s">
        <v>115</v>
      </c>
      <c r="D1527" s="44">
        <v>45743</v>
      </c>
      <c r="E1527" s="45">
        <v>279.3</v>
      </c>
    </row>
    <row r="1528" spans="2:5">
      <c r="B1528" s="43" t="s">
        <v>138</v>
      </c>
      <c r="C1528" s="43" t="s">
        <v>139</v>
      </c>
      <c r="D1528" s="44">
        <v>45743</v>
      </c>
      <c r="E1528" s="45">
        <v>348.7</v>
      </c>
    </row>
    <row r="1529" spans="2:5">
      <c r="B1529" s="43" t="s">
        <v>56</v>
      </c>
      <c r="C1529" s="43" t="s">
        <v>57</v>
      </c>
      <c r="D1529" s="44">
        <v>45743</v>
      </c>
      <c r="E1529" s="45">
        <v>181</v>
      </c>
    </row>
    <row r="1530" spans="2:5">
      <c r="B1530" s="43" t="s">
        <v>162</v>
      </c>
      <c r="C1530" s="43" t="s">
        <v>163</v>
      </c>
      <c r="D1530" s="44">
        <v>45743</v>
      </c>
      <c r="E1530" s="45">
        <v>80.8</v>
      </c>
    </row>
    <row r="1531" spans="2:5">
      <c r="B1531" s="43" t="s">
        <v>76</v>
      </c>
      <c r="C1531" s="43" t="s">
        <v>77</v>
      </c>
      <c r="D1531" s="44">
        <v>45743</v>
      </c>
      <c r="E1531" s="45">
        <v>194.15</v>
      </c>
    </row>
    <row r="1532" spans="2:5">
      <c r="B1532" s="43" t="s">
        <v>18</v>
      </c>
      <c r="C1532" s="43" t="s">
        <v>19</v>
      </c>
      <c r="D1532" s="44">
        <v>45743</v>
      </c>
      <c r="E1532" s="45">
        <v>89</v>
      </c>
    </row>
    <row r="1533" spans="2:5">
      <c r="B1533" s="43" t="s">
        <v>20</v>
      </c>
      <c r="C1533" s="43" t="s">
        <v>21</v>
      </c>
      <c r="D1533" s="44">
        <v>45743</v>
      </c>
      <c r="E1533" s="45">
        <v>19.6</v>
      </c>
    </row>
    <row r="1534" spans="2:5">
      <c r="B1534" s="43" t="s">
        <v>22</v>
      </c>
      <c r="C1534" s="43" t="s">
        <v>23</v>
      </c>
      <c r="D1534" s="44">
        <v>45743</v>
      </c>
      <c r="E1534" s="45">
        <v>28.8</v>
      </c>
    </row>
    <row r="1535" spans="2:5">
      <c r="B1535" s="43" t="s">
        <v>80</v>
      </c>
      <c r="C1535" s="43" t="s">
        <v>81</v>
      </c>
      <c r="D1535" s="44">
        <v>45743</v>
      </c>
      <c r="E1535" s="45">
        <v>258.3</v>
      </c>
    </row>
    <row r="1536" spans="2:5">
      <c r="B1536" s="43" t="s">
        <v>24</v>
      </c>
      <c r="C1536" s="43" t="s">
        <v>25</v>
      </c>
      <c r="D1536" s="44">
        <v>45743</v>
      </c>
      <c r="E1536" s="45">
        <v>79.5</v>
      </c>
    </row>
    <row r="1537" spans="2:5">
      <c r="B1537" s="43" t="s">
        <v>26</v>
      </c>
      <c r="C1537" s="43" t="s">
        <v>27</v>
      </c>
      <c r="D1537" s="44">
        <v>45743</v>
      </c>
      <c r="E1537" s="45">
        <v>808.6</v>
      </c>
    </row>
    <row r="1538" spans="2:5">
      <c r="B1538" s="43" t="s">
        <v>60</v>
      </c>
      <c r="C1538" s="43" t="s">
        <v>61</v>
      </c>
      <c r="D1538" s="44">
        <v>45743</v>
      </c>
      <c r="E1538" s="45">
        <v>36.6</v>
      </c>
    </row>
    <row r="1539" spans="2:5">
      <c r="B1539" s="43" t="s">
        <v>28</v>
      </c>
      <c r="C1539" s="43" t="s">
        <v>29</v>
      </c>
      <c r="D1539" s="44">
        <v>45743</v>
      </c>
      <c r="E1539" s="45">
        <v>966.6</v>
      </c>
    </row>
    <row r="1540" spans="2:5">
      <c r="B1540" s="43" t="s">
        <v>62</v>
      </c>
      <c r="C1540" s="43" t="s">
        <v>63</v>
      </c>
      <c r="D1540" s="44">
        <v>45743</v>
      </c>
      <c r="E1540" s="45">
        <v>410</v>
      </c>
    </row>
    <row r="1541" spans="2:5">
      <c r="B1541" s="43" t="s">
        <v>90</v>
      </c>
      <c r="C1541" s="43" t="s">
        <v>91</v>
      </c>
      <c r="D1541" s="44">
        <v>45743</v>
      </c>
      <c r="E1541" s="45">
        <v>640.8</v>
      </c>
    </row>
    <row r="1542" spans="2:5">
      <c r="B1542" s="43" t="s">
        <v>64</v>
      </c>
      <c r="C1542" s="43" t="s">
        <v>65</v>
      </c>
      <c r="D1542" s="44">
        <v>45743</v>
      </c>
      <c r="E1542" s="45">
        <v>320</v>
      </c>
    </row>
    <row r="1543" spans="2:5">
      <c r="B1543" s="43" t="s">
        <v>172</v>
      </c>
      <c r="C1543" s="43" t="s">
        <v>173</v>
      </c>
      <c r="D1543" s="44">
        <v>45743</v>
      </c>
      <c r="E1543" s="45">
        <v>338.25</v>
      </c>
    </row>
    <row r="1544" spans="2:5">
      <c r="B1544" s="43" t="s">
        <v>66</v>
      </c>
      <c r="C1544" s="43" t="s">
        <v>67</v>
      </c>
      <c r="D1544" s="44">
        <v>45743</v>
      </c>
      <c r="E1544" s="45">
        <v>83.1</v>
      </c>
    </row>
    <row r="1545" spans="2:5">
      <c r="B1545" s="43" t="s">
        <v>132</v>
      </c>
      <c r="C1545" s="43" t="s">
        <v>133</v>
      </c>
      <c r="D1545" s="44">
        <v>45743</v>
      </c>
      <c r="E1545" s="45">
        <v>6995.76</v>
      </c>
    </row>
    <row r="1546" spans="2:5">
      <c r="B1546" s="43" t="s">
        <v>150</v>
      </c>
      <c r="C1546" s="43" t="s">
        <v>151</v>
      </c>
      <c r="D1546" s="44">
        <v>45743</v>
      </c>
      <c r="E1546" s="45">
        <v>27.05</v>
      </c>
    </row>
    <row r="1547" spans="2:5">
      <c r="B1547" s="43" t="s">
        <v>68</v>
      </c>
      <c r="C1547" s="43" t="s">
        <v>69</v>
      </c>
      <c r="D1547" s="44">
        <v>45743</v>
      </c>
      <c r="E1547" s="45">
        <v>71.8</v>
      </c>
    </row>
    <row r="1548" spans="2:5">
      <c r="B1548" s="43" t="s">
        <v>196</v>
      </c>
      <c r="C1548" s="43" t="s">
        <v>197</v>
      </c>
      <c r="D1548" s="44">
        <v>45743</v>
      </c>
      <c r="E1548" s="45">
        <v>12</v>
      </c>
    </row>
    <row r="1549" spans="2:5">
      <c r="B1549" s="43" t="s">
        <v>32</v>
      </c>
      <c r="C1549" s="43" t="s">
        <v>33</v>
      </c>
      <c r="D1549" s="44">
        <v>45743</v>
      </c>
      <c r="E1549" s="45">
        <v>25</v>
      </c>
    </row>
    <row r="1550" spans="2:5">
      <c r="B1550" s="43" t="s">
        <v>34</v>
      </c>
      <c r="C1550" s="43" t="s">
        <v>35</v>
      </c>
      <c r="D1550" s="44">
        <v>45743</v>
      </c>
      <c r="E1550" s="45">
        <v>28</v>
      </c>
    </row>
    <row r="1551" spans="2:5">
      <c r="B1551" s="43" t="s">
        <v>36</v>
      </c>
      <c r="C1551" s="43" t="s">
        <v>37</v>
      </c>
      <c r="D1551" s="44">
        <v>45743</v>
      </c>
      <c r="E1551" s="45">
        <v>17</v>
      </c>
    </row>
    <row r="1552" spans="2:5">
      <c r="B1552" s="43" t="s">
        <v>38</v>
      </c>
      <c r="C1552" s="43" t="s">
        <v>39</v>
      </c>
      <c r="D1552" s="44">
        <v>45743</v>
      </c>
      <c r="E1552" s="45">
        <v>60</v>
      </c>
    </row>
    <row r="1553" spans="2:5">
      <c r="B1553" s="43" t="s">
        <v>8</v>
      </c>
      <c r="C1553" s="43" t="s">
        <v>9</v>
      </c>
      <c r="D1553" s="44">
        <v>45744</v>
      </c>
      <c r="E1553" s="45">
        <v>582.9</v>
      </c>
    </row>
    <row r="1554" spans="2:5">
      <c r="B1554" s="43" t="s">
        <v>44</v>
      </c>
      <c r="C1554" s="43" t="s">
        <v>45</v>
      </c>
      <c r="D1554" s="44">
        <v>45744</v>
      </c>
      <c r="E1554" s="45">
        <v>42.5</v>
      </c>
    </row>
    <row r="1555" spans="2:5">
      <c r="B1555" s="43" t="s">
        <v>46</v>
      </c>
      <c r="C1555" s="43" t="s">
        <v>47</v>
      </c>
      <c r="D1555" s="44">
        <v>45744</v>
      </c>
      <c r="E1555" s="45">
        <v>745.8</v>
      </c>
    </row>
    <row r="1556" spans="2:5">
      <c r="B1556" s="43" t="s">
        <v>12</v>
      </c>
      <c r="C1556" s="43" t="s">
        <v>13</v>
      </c>
      <c r="D1556" s="44">
        <v>45744</v>
      </c>
      <c r="E1556" s="45">
        <v>1559.4</v>
      </c>
    </row>
    <row r="1557" spans="2:5">
      <c r="B1557" s="43" t="s">
        <v>108</v>
      </c>
      <c r="C1557" s="43" t="s">
        <v>109</v>
      </c>
      <c r="D1557" s="44">
        <v>45744</v>
      </c>
      <c r="E1557" s="45">
        <v>775</v>
      </c>
    </row>
    <row r="1558" spans="2:5">
      <c r="B1558" s="43" t="s">
        <v>178</v>
      </c>
      <c r="C1558" s="43" t="s">
        <v>179</v>
      </c>
      <c r="D1558" s="44">
        <v>45744</v>
      </c>
      <c r="E1558" s="45">
        <v>90</v>
      </c>
    </row>
    <row r="1559" spans="2:5">
      <c r="B1559" s="43" t="s">
        <v>50</v>
      </c>
      <c r="C1559" s="43" t="s">
        <v>51</v>
      </c>
      <c r="D1559" s="44">
        <v>45744</v>
      </c>
      <c r="E1559" s="45">
        <v>544</v>
      </c>
    </row>
    <row r="1560" spans="2:5">
      <c r="B1560" s="43" t="s">
        <v>56</v>
      </c>
      <c r="C1560" s="43" t="s">
        <v>57</v>
      </c>
      <c r="D1560" s="44">
        <v>45744</v>
      </c>
      <c r="E1560" s="45">
        <v>543</v>
      </c>
    </row>
    <row r="1561" spans="2:5">
      <c r="B1561" s="43" t="s">
        <v>118</v>
      </c>
      <c r="C1561" s="43" t="s">
        <v>119</v>
      </c>
      <c r="D1561" s="44">
        <v>45744</v>
      </c>
      <c r="E1561" s="45">
        <v>60.8</v>
      </c>
    </row>
    <row r="1562" spans="2:5">
      <c r="B1562" s="43" t="s">
        <v>146</v>
      </c>
      <c r="C1562" s="43" t="s">
        <v>147</v>
      </c>
      <c r="D1562" s="44">
        <v>45744</v>
      </c>
      <c r="E1562" s="45">
        <v>40.7</v>
      </c>
    </row>
    <row r="1563" spans="2:5">
      <c r="B1563" s="43" t="s">
        <v>20</v>
      </c>
      <c r="C1563" s="43" t="s">
        <v>21</v>
      </c>
      <c r="D1563" s="44">
        <v>45744</v>
      </c>
      <c r="E1563" s="45">
        <v>9.8</v>
      </c>
    </row>
    <row r="1564" spans="2:5">
      <c r="B1564" s="43" t="s">
        <v>22</v>
      </c>
      <c r="C1564" s="43" t="s">
        <v>23</v>
      </c>
      <c r="D1564" s="44">
        <v>45744</v>
      </c>
      <c r="E1564" s="45">
        <v>105.6</v>
      </c>
    </row>
    <row r="1565" spans="2:5">
      <c r="B1565" s="43" t="s">
        <v>24</v>
      </c>
      <c r="C1565" s="43" t="s">
        <v>25</v>
      </c>
      <c r="D1565" s="44">
        <v>45744</v>
      </c>
      <c r="E1565" s="45">
        <v>1764.9</v>
      </c>
    </row>
    <row r="1566" spans="2:5">
      <c r="B1566" s="43" t="s">
        <v>58</v>
      </c>
      <c r="C1566" s="43" t="s">
        <v>59</v>
      </c>
      <c r="D1566" s="44">
        <v>45744</v>
      </c>
      <c r="E1566" s="45">
        <v>1239</v>
      </c>
    </row>
    <row r="1567" spans="2:5">
      <c r="B1567" s="43" t="s">
        <v>26</v>
      </c>
      <c r="C1567" s="43" t="s">
        <v>27</v>
      </c>
      <c r="D1567" s="44">
        <v>45744</v>
      </c>
      <c r="E1567" s="45">
        <v>1632.75</v>
      </c>
    </row>
    <row r="1568" spans="2:5">
      <c r="B1568" s="43" t="s">
        <v>28</v>
      </c>
      <c r="C1568" s="43" t="s">
        <v>29</v>
      </c>
      <c r="D1568" s="44">
        <v>45744</v>
      </c>
      <c r="E1568" s="45">
        <v>447.5</v>
      </c>
    </row>
    <row r="1569" spans="2:5">
      <c r="B1569" s="43" t="s">
        <v>62</v>
      </c>
      <c r="C1569" s="43" t="s">
        <v>63</v>
      </c>
      <c r="D1569" s="44">
        <v>45744</v>
      </c>
      <c r="E1569" s="45">
        <v>1558</v>
      </c>
    </row>
    <row r="1570" spans="2:5">
      <c r="B1570" s="43" t="s">
        <v>172</v>
      </c>
      <c r="C1570" s="43" t="s">
        <v>173</v>
      </c>
      <c r="D1570" s="44">
        <v>45744</v>
      </c>
      <c r="E1570" s="45">
        <v>135.3</v>
      </c>
    </row>
    <row r="1571" spans="2:5">
      <c r="B1571" s="43" t="s">
        <v>96</v>
      </c>
      <c r="C1571" s="43" t="s">
        <v>97</v>
      </c>
      <c r="D1571" s="44">
        <v>45744</v>
      </c>
      <c r="E1571" s="45">
        <v>5</v>
      </c>
    </row>
    <row r="1572" spans="2:5">
      <c r="B1572" s="43" t="s">
        <v>34</v>
      </c>
      <c r="C1572" s="43" t="s">
        <v>35</v>
      </c>
      <c r="D1572" s="44">
        <v>45744</v>
      </c>
      <c r="E1572" s="45">
        <v>11</v>
      </c>
    </row>
    <row r="1573" spans="2:5">
      <c r="B1573" s="43" t="s">
        <v>170</v>
      </c>
      <c r="C1573" s="43" t="s">
        <v>171</v>
      </c>
      <c r="D1573" s="44">
        <v>45744</v>
      </c>
      <c r="E1573" s="45">
        <v>2</v>
      </c>
    </row>
    <row r="1574" spans="2:5">
      <c r="B1574" s="43" t="s">
        <v>8</v>
      </c>
      <c r="C1574" s="43" t="s">
        <v>9</v>
      </c>
      <c r="D1574" s="44">
        <v>45747</v>
      </c>
      <c r="E1574" s="45">
        <v>78.3</v>
      </c>
    </row>
    <row r="1575" spans="2:5">
      <c r="B1575" s="43" t="s">
        <v>46</v>
      </c>
      <c r="C1575" s="43" t="s">
        <v>47</v>
      </c>
      <c r="D1575" s="44">
        <v>45747</v>
      </c>
      <c r="E1575" s="45">
        <v>259.9</v>
      </c>
    </row>
    <row r="1576" spans="2:5">
      <c r="B1576" s="43" t="s">
        <v>10</v>
      </c>
      <c r="C1576" s="43" t="s">
        <v>11</v>
      </c>
      <c r="D1576" s="44">
        <v>45747</v>
      </c>
      <c r="E1576" s="45">
        <v>110.5</v>
      </c>
    </row>
    <row r="1577" spans="2:5">
      <c r="B1577" s="43" t="s">
        <v>12</v>
      </c>
      <c r="C1577" s="43" t="s">
        <v>13</v>
      </c>
      <c r="D1577" s="44">
        <v>45747</v>
      </c>
      <c r="E1577" s="45">
        <v>731.4</v>
      </c>
    </row>
    <row r="1578" spans="2:5">
      <c r="B1578" s="43" t="s">
        <v>48</v>
      </c>
      <c r="C1578" s="43" t="s">
        <v>49</v>
      </c>
      <c r="D1578" s="44">
        <v>45747</v>
      </c>
      <c r="E1578" s="45">
        <v>243.2</v>
      </c>
    </row>
    <row r="1579" spans="2:5">
      <c r="B1579" s="43" t="s">
        <v>14</v>
      </c>
      <c r="C1579" s="43" t="s">
        <v>15</v>
      </c>
      <c r="D1579" s="44">
        <v>45747</v>
      </c>
      <c r="E1579" s="45">
        <v>135</v>
      </c>
    </row>
    <row r="1580" spans="2:5">
      <c r="B1580" s="43" t="s">
        <v>114</v>
      </c>
      <c r="C1580" s="43" t="s">
        <v>115</v>
      </c>
      <c r="D1580" s="44">
        <v>45747</v>
      </c>
      <c r="E1580" s="45">
        <v>159.6</v>
      </c>
    </row>
    <row r="1581" spans="2:5">
      <c r="B1581" s="43" t="s">
        <v>138</v>
      </c>
      <c r="C1581" s="43" t="s">
        <v>139</v>
      </c>
      <c r="D1581" s="44">
        <v>45747</v>
      </c>
      <c r="E1581" s="45">
        <v>190.2</v>
      </c>
    </row>
    <row r="1582" spans="2:5">
      <c r="B1582" s="43" t="s">
        <v>20</v>
      </c>
      <c r="C1582" s="43" t="s">
        <v>21</v>
      </c>
      <c r="D1582" s="44">
        <v>45747</v>
      </c>
      <c r="E1582" s="45">
        <v>68.6</v>
      </c>
    </row>
    <row r="1583" spans="2:5">
      <c r="B1583" s="43" t="s">
        <v>22</v>
      </c>
      <c r="C1583" s="43" t="s">
        <v>23</v>
      </c>
      <c r="D1583" s="44">
        <v>45747</v>
      </c>
      <c r="E1583" s="45">
        <v>38.4</v>
      </c>
    </row>
    <row r="1584" spans="2:5">
      <c r="B1584" s="43" t="s">
        <v>24</v>
      </c>
      <c r="C1584" s="43" t="s">
        <v>25</v>
      </c>
      <c r="D1584" s="44">
        <v>45747</v>
      </c>
      <c r="E1584" s="45">
        <v>874.5</v>
      </c>
    </row>
    <row r="1585" spans="2:5">
      <c r="B1585" s="43" t="s">
        <v>58</v>
      </c>
      <c r="C1585" s="43" t="s">
        <v>59</v>
      </c>
      <c r="D1585" s="44">
        <v>45747</v>
      </c>
      <c r="E1585" s="45">
        <v>123.9</v>
      </c>
    </row>
    <row r="1586" spans="2:5">
      <c r="B1586" s="43" t="s">
        <v>26</v>
      </c>
      <c r="C1586" s="43" t="s">
        <v>27</v>
      </c>
      <c r="D1586" s="44">
        <v>45747</v>
      </c>
      <c r="E1586" s="45">
        <v>590.9</v>
      </c>
    </row>
    <row r="1587" spans="2:5">
      <c r="B1587" s="43" t="s">
        <v>28</v>
      </c>
      <c r="C1587" s="43" t="s">
        <v>29</v>
      </c>
      <c r="D1587" s="44">
        <v>45747</v>
      </c>
      <c r="E1587" s="45">
        <v>537</v>
      </c>
    </row>
    <row r="1588" spans="2:5">
      <c r="B1588" s="43" t="s">
        <v>62</v>
      </c>
      <c r="C1588" s="43" t="s">
        <v>63</v>
      </c>
      <c r="D1588" s="44">
        <v>45747</v>
      </c>
      <c r="E1588" s="45">
        <v>287</v>
      </c>
    </row>
    <row r="1589" spans="2:5">
      <c r="B1589" s="43" t="s">
        <v>148</v>
      </c>
      <c r="C1589" s="43" t="s">
        <v>149</v>
      </c>
      <c r="D1589" s="44">
        <v>45747</v>
      </c>
      <c r="E1589" s="45">
        <v>412.2</v>
      </c>
    </row>
    <row r="1590" spans="2:5">
      <c r="B1590" s="43" t="s">
        <v>64</v>
      </c>
      <c r="C1590" s="43" t="s">
        <v>65</v>
      </c>
      <c r="D1590" s="44">
        <v>45747</v>
      </c>
      <c r="E1590" s="45">
        <v>360</v>
      </c>
    </row>
    <row r="1591" spans="2:5">
      <c r="B1591" s="43" t="s">
        <v>172</v>
      </c>
      <c r="C1591" s="43" t="s">
        <v>173</v>
      </c>
      <c r="D1591" s="44">
        <v>45747</v>
      </c>
      <c r="E1591" s="45">
        <v>563.75</v>
      </c>
    </row>
    <row r="1592" spans="2:5">
      <c r="B1592" s="43" t="s">
        <v>66</v>
      </c>
      <c r="C1592" s="43" t="s">
        <v>67</v>
      </c>
      <c r="D1592" s="44">
        <v>45747</v>
      </c>
      <c r="E1592" s="45">
        <v>193.9</v>
      </c>
    </row>
    <row r="1593" spans="2:5">
      <c r="B1593" s="43" t="s">
        <v>106</v>
      </c>
      <c r="C1593" s="43" t="s">
        <v>107</v>
      </c>
      <c r="D1593" s="44">
        <v>45747</v>
      </c>
      <c r="E1593" s="45">
        <v>7.7</v>
      </c>
    </row>
    <row r="1594" spans="2:5">
      <c r="B1594" s="43" t="s">
        <v>30</v>
      </c>
      <c r="C1594" s="43" t="s">
        <v>31</v>
      </c>
      <c r="D1594" s="44">
        <v>45747</v>
      </c>
      <c r="E1594" s="45">
        <v>1</v>
      </c>
    </row>
    <row r="1595" spans="2:5">
      <c r="B1595" s="43" t="s">
        <v>196</v>
      </c>
      <c r="C1595" s="43" t="s">
        <v>197</v>
      </c>
      <c r="D1595" s="44">
        <v>45747</v>
      </c>
      <c r="E1595" s="45">
        <v>4</v>
      </c>
    </row>
    <row r="1596" spans="2:5">
      <c r="B1596" s="43" t="s">
        <v>96</v>
      </c>
      <c r="C1596" s="43" t="s">
        <v>97</v>
      </c>
      <c r="D1596" s="44">
        <v>45747</v>
      </c>
      <c r="E1596" s="45">
        <v>23</v>
      </c>
    </row>
    <row r="1597" spans="2:5">
      <c r="B1597" s="43" t="s">
        <v>32</v>
      </c>
      <c r="C1597" s="43" t="s">
        <v>33</v>
      </c>
      <c r="D1597" s="44">
        <v>45747</v>
      </c>
      <c r="E1597" s="45">
        <v>17</v>
      </c>
    </row>
    <row r="1598" spans="2:5">
      <c r="B1598" s="43" t="s">
        <v>34</v>
      </c>
      <c r="C1598" s="43" t="s">
        <v>35</v>
      </c>
      <c r="D1598" s="44">
        <v>45747</v>
      </c>
      <c r="E1598" s="45">
        <v>13</v>
      </c>
    </row>
    <row r="1599" spans="2:5">
      <c r="B1599" s="43" t="s">
        <v>170</v>
      </c>
      <c r="C1599" s="43" t="s">
        <v>171</v>
      </c>
      <c r="D1599" s="44">
        <v>45747</v>
      </c>
      <c r="E1599" s="45">
        <v>3</v>
      </c>
    </row>
    <row r="1600" spans="2:5">
      <c r="B1600" s="43" t="s">
        <v>8</v>
      </c>
      <c r="C1600" s="43" t="s">
        <v>9</v>
      </c>
      <c r="D1600" s="44">
        <v>45748</v>
      </c>
      <c r="E1600" s="45">
        <v>461.1</v>
      </c>
    </row>
    <row r="1601" spans="2:5">
      <c r="B1601" s="43" t="s">
        <v>10</v>
      </c>
      <c r="C1601" s="43" t="s">
        <v>11</v>
      </c>
      <c r="D1601" s="44">
        <v>45748</v>
      </c>
      <c r="E1601" s="45">
        <v>176.8</v>
      </c>
    </row>
    <row r="1602" spans="2:5">
      <c r="B1602" s="43" t="s">
        <v>12</v>
      </c>
      <c r="C1602" s="43" t="s">
        <v>13</v>
      </c>
      <c r="D1602" s="44">
        <v>45748</v>
      </c>
      <c r="E1602" s="45">
        <v>193.2</v>
      </c>
    </row>
    <row r="1603" spans="2:5">
      <c r="B1603" s="43" t="s">
        <v>138</v>
      </c>
      <c r="C1603" s="43" t="s">
        <v>139</v>
      </c>
      <c r="D1603" s="44">
        <v>45748</v>
      </c>
      <c r="E1603" s="45">
        <v>47.55</v>
      </c>
    </row>
    <row r="1604" spans="2:5">
      <c r="B1604" s="43" t="s">
        <v>56</v>
      </c>
      <c r="C1604" s="43" t="s">
        <v>57</v>
      </c>
      <c r="D1604" s="44">
        <v>45748</v>
      </c>
      <c r="E1604" s="45">
        <v>18.1</v>
      </c>
    </row>
    <row r="1605" spans="2:5">
      <c r="B1605" s="43" t="s">
        <v>76</v>
      </c>
      <c r="C1605" s="43" t="s">
        <v>77</v>
      </c>
      <c r="D1605" s="44">
        <v>45748</v>
      </c>
      <c r="E1605" s="45">
        <v>105.9</v>
      </c>
    </row>
    <row r="1606" spans="2:5">
      <c r="B1606" s="43" t="s">
        <v>118</v>
      </c>
      <c r="C1606" s="43" t="s">
        <v>119</v>
      </c>
      <c r="D1606" s="44">
        <v>45748</v>
      </c>
      <c r="E1606" s="45">
        <v>608</v>
      </c>
    </row>
    <row r="1607" spans="2:5">
      <c r="B1607" s="43" t="s">
        <v>128</v>
      </c>
      <c r="C1607" s="43" t="s">
        <v>129</v>
      </c>
      <c r="D1607" s="44">
        <v>45748</v>
      </c>
      <c r="E1607" s="45">
        <v>59.6</v>
      </c>
    </row>
    <row r="1608" spans="2:5">
      <c r="B1608" s="43" t="s">
        <v>130</v>
      </c>
      <c r="C1608" s="43" t="s">
        <v>131</v>
      </c>
      <c r="D1608" s="44">
        <v>45748</v>
      </c>
      <c r="E1608" s="45">
        <v>517</v>
      </c>
    </row>
    <row r="1609" spans="2:5">
      <c r="B1609" s="43" t="s">
        <v>20</v>
      </c>
      <c r="C1609" s="43" t="s">
        <v>21</v>
      </c>
      <c r="D1609" s="44">
        <v>45748</v>
      </c>
      <c r="E1609" s="45">
        <v>176.4</v>
      </c>
    </row>
    <row r="1610" spans="2:5">
      <c r="B1610" s="43" t="s">
        <v>22</v>
      </c>
      <c r="C1610" s="43" t="s">
        <v>23</v>
      </c>
      <c r="D1610" s="44">
        <v>45748</v>
      </c>
      <c r="E1610" s="45">
        <v>96</v>
      </c>
    </row>
    <row r="1611" spans="2:5">
      <c r="B1611" s="43" t="s">
        <v>24</v>
      </c>
      <c r="C1611" s="43" t="s">
        <v>25</v>
      </c>
      <c r="D1611" s="44">
        <v>45748</v>
      </c>
      <c r="E1611" s="45">
        <v>238.5</v>
      </c>
    </row>
    <row r="1612" spans="2:5">
      <c r="B1612" s="43" t="s">
        <v>26</v>
      </c>
      <c r="C1612" s="43" t="s">
        <v>27</v>
      </c>
      <c r="D1612" s="44">
        <v>45748</v>
      </c>
      <c r="E1612" s="45">
        <v>1197.35</v>
      </c>
    </row>
    <row r="1613" spans="2:5">
      <c r="B1613" s="43" t="s">
        <v>28</v>
      </c>
      <c r="C1613" s="43" t="s">
        <v>29</v>
      </c>
      <c r="D1613" s="44">
        <v>45748</v>
      </c>
      <c r="E1613" s="45">
        <v>214.8</v>
      </c>
    </row>
    <row r="1614" spans="2:5">
      <c r="B1614" s="43" t="s">
        <v>62</v>
      </c>
      <c r="C1614" s="43" t="s">
        <v>63</v>
      </c>
      <c r="D1614" s="44">
        <v>45748</v>
      </c>
      <c r="E1614" s="45">
        <v>123</v>
      </c>
    </row>
    <row r="1615" spans="2:5">
      <c r="B1615" s="43" t="s">
        <v>198</v>
      </c>
      <c r="C1615" s="43" t="s">
        <v>199</v>
      </c>
      <c r="D1615" s="44">
        <v>45748</v>
      </c>
      <c r="E1615" s="45">
        <v>23.1</v>
      </c>
    </row>
    <row r="1616" spans="2:5">
      <c r="B1616" s="43" t="s">
        <v>150</v>
      </c>
      <c r="C1616" s="43" t="s">
        <v>151</v>
      </c>
      <c r="D1616" s="44">
        <v>45748</v>
      </c>
      <c r="E1616" s="45">
        <v>162.3</v>
      </c>
    </row>
    <row r="1617" spans="2:5">
      <c r="B1617" s="43" t="s">
        <v>96</v>
      </c>
      <c r="C1617" s="43" t="s">
        <v>97</v>
      </c>
      <c r="D1617" s="44">
        <v>45748</v>
      </c>
      <c r="E1617" s="45">
        <v>170</v>
      </c>
    </row>
    <row r="1618" spans="2:5">
      <c r="B1618" s="43" t="s">
        <v>32</v>
      </c>
      <c r="C1618" s="43" t="s">
        <v>33</v>
      </c>
      <c r="D1618" s="44">
        <v>45748</v>
      </c>
      <c r="E1618" s="45">
        <v>23</v>
      </c>
    </row>
    <row r="1619" spans="2:5">
      <c r="B1619" s="43" t="s">
        <v>160</v>
      </c>
      <c r="C1619" s="43" t="s">
        <v>161</v>
      </c>
      <c r="D1619" s="44">
        <v>45748</v>
      </c>
      <c r="E1619" s="45">
        <v>2</v>
      </c>
    </row>
    <row r="1620" spans="2:5">
      <c r="B1620" s="43" t="s">
        <v>34</v>
      </c>
      <c r="C1620" s="43" t="s">
        <v>35</v>
      </c>
      <c r="D1620" s="44">
        <v>45748</v>
      </c>
      <c r="E1620" s="45">
        <v>13</v>
      </c>
    </row>
    <row r="1621" spans="2:5">
      <c r="B1621" s="43" t="s">
        <v>38</v>
      </c>
      <c r="C1621" s="43" t="s">
        <v>39</v>
      </c>
      <c r="D1621" s="44">
        <v>45748</v>
      </c>
      <c r="E1621" s="45">
        <v>25</v>
      </c>
    </row>
    <row r="1622" spans="2:5">
      <c r="B1622" s="43" t="s">
        <v>42</v>
      </c>
      <c r="C1622" s="43" t="s">
        <v>43</v>
      </c>
      <c r="D1622" s="44">
        <v>45749</v>
      </c>
      <c r="E1622" s="45">
        <v>381.15</v>
      </c>
    </row>
    <row r="1623" spans="2:5">
      <c r="B1623" s="43" t="s">
        <v>156</v>
      </c>
      <c r="C1623" s="43" t="s">
        <v>157</v>
      </c>
      <c r="D1623" s="44">
        <v>45749</v>
      </c>
      <c r="E1623" s="45">
        <v>538.2</v>
      </c>
    </row>
    <row r="1624" spans="2:5">
      <c r="B1624" s="43" t="s">
        <v>8</v>
      </c>
      <c r="C1624" s="43" t="s">
        <v>9</v>
      </c>
      <c r="D1624" s="44">
        <v>45749</v>
      </c>
      <c r="E1624" s="45">
        <v>95.7</v>
      </c>
    </row>
    <row r="1625" spans="2:5">
      <c r="B1625" s="43" t="s">
        <v>72</v>
      </c>
      <c r="C1625" s="43" t="s">
        <v>73</v>
      </c>
      <c r="D1625" s="44">
        <v>45749</v>
      </c>
      <c r="E1625" s="45">
        <v>122.4</v>
      </c>
    </row>
    <row r="1626" spans="2:5">
      <c r="B1626" s="43" t="s">
        <v>46</v>
      </c>
      <c r="C1626" s="43" t="s">
        <v>47</v>
      </c>
      <c r="D1626" s="44">
        <v>45749</v>
      </c>
      <c r="E1626" s="45">
        <v>45.2</v>
      </c>
    </row>
    <row r="1627" spans="2:5">
      <c r="B1627" s="43" t="s">
        <v>10</v>
      </c>
      <c r="C1627" s="43" t="s">
        <v>11</v>
      </c>
      <c r="D1627" s="44">
        <v>45749</v>
      </c>
      <c r="E1627" s="45">
        <v>66.3</v>
      </c>
    </row>
    <row r="1628" spans="2:5">
      <c r="B1628" s="43" t="s">
        <v>74</v>
      </c>
      <c r="C1628" s="43" t="s">
        <v>75</v>
      </c>
      <c r="D1628" s="44">
        <v>45749</v>
      </c>
      <c r="E1628" s="45">
        <v>186.75</v>
      </c>
    </row>
    <row r="1629" spans="2:5">
      <c r="B1629" s="43" t="s">
        <v>12</v>
      </c>
      <c r="C1629" s="43" t="s">
        <v>13</v>
      </c>
      <c r="D1629" s="44">
        <v>45749</v>
      </c>
      <c r="E1629" s="45">
        <v>82.8</v>
      </c>
    </row>
    <row r="1630" spans="2:5">
      <c r="B1630" s="43" t="s">
        <v>14</v>
      </c>
      <c r="C1630" s="43" t="s">
        <v>15</v>
      </c>
      <c r="D1630" s="44">
        <v>45749</v>
      </c>
      <c r="E1630" s="45">
        <v>297</v>
      </c>
    </row>
    <row r="1631" spans="2:5">
      <c r="B1631" s="43" t="s">
        <v>76</v>
      </c>
      <c r="C1631" s="43" t="s">
        <v>77</v>
      </c>
      <c r="D1631" s="44">
        <v>45749</v>
      </c>
      <c r="E1631" s="45">
        <v>105.9</v>
      </c>
    </row>
    <row r="1632" spans="2:5">
      <c r="B1632" s="43" t="s">
        <v>188</v>
      </c>
      <c r="C1632" s="43" t="s">
        <v>189</v>
      </c>
      <c r="D1632" s="44">
        <v>45749</v>
      </c>
      <c r="E1632" s="45">
        <v>23.1</v>
      </c>
    </row>
    <row r="1633" spans="2:5">
      <c r="B1633" s="43" t="s">
        <v>158</v>
      </c>
      <c r="C1633" s="43" t="s">
        <v>159</v>
      </c>
      <c r="D1633" s="44">
        <v>45749</v>
      </c>
      <c r="E1633" s="45">
        <v>51</v>
      </c>
    </row>
    <row r="1634" spans="2:5">
      <c r="B1634" s="43" t="s">
        <v>200</v>
      </c>
      <c r="C1634" s="43" t="s">
        <v>201</v>
      </c>
      <c r="D1634" s="44">
        <v>45749</v>
      </c>
      <c r="E1634" s="45">
        <v>275</v>
      </c>
    </row>
    <row r="1635" spans="2:5">
      <c r="B1635" s="43" t="s">
        <v>20</v>
      </c>
      <c r="C1635" s="43" t="s">
        <v>21</v>
      </c>
      <c r="D1635" s="44">
        <v>45749</v>
      </c>
      <c r="E1635" s="45">
        <v>107.8</v>
      </c>
    </row>
    <row r="1636" spans="2:5">
      <c r="B1636" s="43" t="s">
        <v>22</v>
      </c>
      <c r="C1636" s="43" t="s">
        <v>23</v>
      </c>
      <c r="D1636" s="44">
        <v>45749</v>
      </c>
      <c r="E1636" s="45">
        <v>201.6</v>
      </c>
    </row>
    <row r="1637" spans="2:5">
      <c r="B1637" s="43" t="s">
        <v>140</v>
      </c>
      <c r="C1637" s="43" t="s">
        <v>141</v>
      </c>
      <c r="D1637" s="44">
        <v>45749</v>
      </c>
      <c r="E1637" s="45">
        <v>510.4</v>
      </c>
    </row>
    <row r="1638" spans="2:5">
      <c r="B1638" s="43" t="s">
        <v>80</v>
      </c>
      <c r="C1638" s="43" t="s">
        <v>81</v>
      </c>
      <c r="D1638" s="44">
        <v>45749</v>
      </c>
      <c r="E1638" s="45">
        <v>1420.65</v>
      </c>
    </row>
    <row r="1639" spans="2:5">
      <c r="B1639" s="43" t="s">
        <v>24</v>
      </c>
      <c r="C1639" s="43" t="s">
        <v>25</v>
      </c>
      <c r="D1639" s="44">
        <v>45749</v>
      </c>
      <c r="E1639" s="45">
        <v>810.9</v>
      </c>
    </row>
    <row r="1640" spans="2:5">
      <c r="B1640" s="43" t="s">
        <v>58</v>
      </c>
      <c r="C1640" s="43" t="s">
        <v>59</v>
      </c>
      <c r="D1640" s="44">
        <v>45749</v>
      </c>
      <c r="E1640" s="45">
        <v>389.4</v>
      </c>
    </row>
    <row r="1641" spans="2:5">
      <c r="B1641" s="43" t="s">
        <v>26</v>
      </c>
      <c r="C1641" s="43" t="s">
        <v>27</v>
      </c>
      <c r="D1641" s="44">
        <v>45749</v>
      </c>
      <c r="E1641" s="45">
        <v>2705.7</v>
      </c>
    </row>
    <row r="1642" spans="2:5">
      <c r="B1642" s="43" t="s">
        <v>28</v>
      </c>
      <c r="C1642" s="43" t="s">
        <v>29</v>
      </c>
      <c r="D1642" s="44">
        <v>45749</v>
      </c>
      <c r="E1642" s="45">
        <v>196.9</v>
      </c>
    </row>
    <row r="1643" spans="2:5">
      <c r="B1643" s="43" t="s">
        <v>66</v>
      </c>
      <c r="C1643" s="43" t="s">
        <v>67</v>
      </c>
      <c r="D1643" s="44">
        <v>45749</v>
      </c>
      <c r="E1643" s="45">
        <v>166.2</v>
      </c>
    </row>
    <row r="1644" spans="2:5">
      <c r="B1644" s="43" t="s">
        <v>30</v>
      </c>
      <c r="C1644" s="43" t="s">
        <v>31</v>
      </c>
      <c r="D1644" s="44">
        <v>45749</v>
      </c>
      <c r="E1644" s="45">
        <v>1</v>
      </c>
    </row>
    <row r="1645" spans="2:5">
      <c r="B1645" s="43" t="s">
        <v>96</v>
      </c>
      <c r="C1645" s="43" t="s">
        <v>97</v>
      </c>
      <c r="D1645" s="44">
        <v>45749</v>
      </c>
      <c r="E1645" s="45">
        <v>347</v>
      </c>
    </row>
    <row r="1646" spans="2:5">
      <c r="B1646" s="43" t="s">
        <v>32</v>
      </c>
      <c r="C1646" s="43" t="s">
        <v>33</v>
      </c>
      <c r="D1646" s="44">
        <v>45749</v>
      </c>
      <c r="E1646" s="45">
        <v>10</v>
      </c>
    </row>
    <row r="1647" spans="2:5">
      <c r="B1647" s="43" t="s">
        <v>98</v>
      </c>
      <c r="C1647" s="43" t="s">
        <v>99</v>
      </c>
      <c r="D1647" s="44">
        <v>45749</v>
      </c>
      <c r="E1647" s="45">
        <v>10</v>
      </c>
    </row>
    <row r="1648" spans="2:5">
      <c r="B1648" s="43" t="s">
        <v>34</v>
      </c>
      <c r="C1648" s="43" t="s">
        <v>35</v>
      </c>
      <c r="D1648" s="44">
        <v>45749</v>
      </c>
      <c r="E1648" s="45">
        <v>7</v>
      </c>
    </row>
    <row r="1649" spans="2:5">
      <c r="B1649" s="43" t="s">
        <v>36</v>
      </c>
      <c r="C1649" s="43" t="s">
        <v>37</v>
      </c>
      <c r="D1649" s="44">
        <v>45749</v>
      </c>
      <c r="E1649" s="45">
        <v>22</v>
      </c>
    </row>
    <row r="1650" spans="2:5">
      <c r="B1650" s="43" t="s">
        <v>38</v>
      </c>
      <c r="C1650" s="43" t="s">
        <v>39</v>
      </c>
      <c r="D1650" s="44">
        <v>45749</v>
      </c>
      <c r="E1650" s="45">
        <v>6</v>
      </c>
    </row>
    <row r="1651" spans="2:5">
      <c r="B1651" s="43" t="s">
        <v>8</v>
      </c>
      <c r="C1651" s="43" t="s">
        <v>9</v>
      </c>
      <c r="D1651" s="44">
        <v>45750</v>
      </c>
      <c r="E1651" s="45">
        <v>8.7</v>
      </c>
    </row>
    <row r="1652" spans="2:5">
      <c r="B1652" s="43" t="s">
        <v>46</v>
      </c>
      <c r="C1652" s="43" t="s">
        <v>47</v>
      </c>
      <c r="D1652" s="44">
        <v>45750</v>
      </c>
      <c r="E1652" s="45">
        <v>158.2</v>
      </c>
    </row>
    <row r="1653" spans="2:5">
      <c r="B1653" s="43" t="s">
        <v>10</v>
      </c>
      <c r="C1653" s="43" t="s">
        <v>11</v>
      </c>
      <c r="D1653" s="44">
        <v>45750</v>
      </c>
      <c r="E1653" s="45">
        <v>66.3</v>
      </c>
    </row>
    <row r="1654" spans="2:5">
      <c r="B1654" s="43" t="s">
        <v>12</v>
      </c>
      <c r="C1654" s="43" t="s">
        <v>13</v>
      </c>
      <c r="D1654" s="44">
        <v>45750</v>
      </c>
      <c r="E1654" s="45">
        <v>358.8</v>
      </c>
    </row>
    <row r="1655" spans="2:5">
      <c r="B1655" s="43" t="s">
        <v>178</v>
      </c>
      <c r="C1655" s="43" t="s">
        <v>179</v>
      </c>
      <c r="D1655" s="44">
        <v>45750</v>
      </c>
      <c r="E1655" s="45">
        <v>324</v>
      </c>
    </row>
    <row r="1656" spans="2:5">
      <c r="B1656" s="43" t="s">
        <v>14</v>
      </c>
      <c r="C1656" s="43" t="s">
        <v>15</v>
      </c>
      <c r="D1656" s="44">
        <v>45750</v>
      </c>
      <c r="E1656" s="45">
        <v>55.2</v>
      </c>
    </row>
    <row r="1657" spans="2:5">
      <c r="B1657" s="43" t="s">
        <v>50</v>
      </c>
      <c r="C1657" s="43" t="s">
        <v>51</v>
      </c>
      <c r="D1657" s="44">
        <v>45750</v>
      </c>
      <c r="E1657" s="45">
        <v>217.6</v>
      </c>
    </row>
    <row r="1658" spans="2:5">
      <c r="B1658" s="43" t="s">
        <v>182</v>
      </c>
      <c r="C1658" s="43" t="s">
        <v>183</v>
      </c>
      <c r="D1658" s="44">
        <v>45750</v>
      </c>
      <c r="E1658" s="45">
        <v>168.8</v>
      </c>
    </row>
    <row r="1659" spans="2:5">
      <c r="B1659" s="43" t="s">
        <v>76</v>
      </c>
      <c r="C1659" s="43" t="s">
        <v>77</v>
      </c>
      <c r="D1659" s="44">
        <v>45750</v>
      </c>
      <c r="E1659" s="45">
        <v>17.65</v>
      </c>
    </row>
    <row r="1660" spans="2:5">
      <c r="B1660" s="43" t="s">
        <v>78</v>
      </c>
      <c r="C1660" s="43" t="s">
        <v>79</v>
      </c>
      <c r="D1660" s="44">
        <v>45750</v>
      </c>
      <c r="E1660" s="45">
        <v>8.85</v>
      </c>
    </row>
    <row r="1661" spans="2:5">
      <c r="B1661" s="43" t="s">
        <v>20</v>
      </c>
      <c r="C1661" s="43" t="s">
        <v>21</v>
      </c>
      <c r="D1661" s="44">
        <v>45750</v>
      </c>
      <c r="E1661" s="45">
        <v>245</v>
      </c>
    </row>
    <row r="1662" spans="2:5">
      <c r="B1662" s="43" t="s">
        <v>22</v>
      </c>
      <c r="C1662" s="43" t="s">
        <v>23</v>
      </c>
      <c r="D1662" s="44">
        <v>45750</v>
      </c>
      <c r="E1662" s="45">
        <v>28.8</v>
      </c>
    </row>
    <row r="1663" spans="2:5">
      <c r="B1663" s="43" t="s">
        <v>80</v>
      </c>
      <c r="C1663" s="43" t="s">
        <v>81</v>
      </c>
      <c r="D1663" s="44">
        <v>45750</v>
      </c>
      <c r="E1663" s="45">
        <v>143.5</v>
      </c>
    </row>
    <row r="1664" spans="2:5">
      <c r="B1664" s="43" t="s">
        <v>24</v>
      </c>
      <c r="C1664" s="43" t="s">
        <v>25</v>
      </c>
      <c r="D1664" s="44">
        <v>45750</v>
      </c>
      <c r="E1664" s="45">
        <v>3275.4</v>
      </c>
    </row>
    <row r="1665" spans="2:5">
      <c r="B1665" s="43" t="s">
        <v>26</v>
      </c>
      <c r="C1665" s="43" t="s">
        <v>27</v>
      </c>
      <c r="D1665" s="44">
        <v>45750</v>
      </c>
      <c r="E1665" s="45">
        <v>1321.75</v>
      </c>
    </row>
    <row r="1666" spans="2:5">
      <c r="B1666" s="43" t="s">
        <v>62</v>
      </c>
      <c r="C1666" s="43" t="s">
        <v>63</v>
      </c>
      <c r="D1666" s="44">
        <v>45750</v>
      </c>
      <c r="E1666" s="45">
        <v>430.5</v>
      </c>
    </row>
    <row r="1667" spans="2:5">
      <c r="B1667" s="43" t="s">
        <v>148</v>
      </c>
      <c r="C1667" s="43" t="s">
        <v>149</v>
      </c>
      <c r="D1667" s="44">
        <v>45750</v>
      </c>
      <c r="E1667" s="45">
        <v>343.5</v>
      </c>
    </row>
    <row r="1668" spans="2:5">
      <c r="B1668" s="43" t="s">
        <v>90</v>
      </c>
      <c r="C1668" s="43" t="s">
        <v>91</v>
      </c>
      <c r="D1668" s="44">
        <v>45750</v>
      </c>
      <c r="E1668" s="45">
        <v>347.1</v>
      </c>
    </row>
    <row r="1669" spans="2:5">
      <c r="B1669" s="43" t="s">
        <v>64</v>
      </c>
      <c r="C1669" s="43" t="s">
        <v>65</v>
      </c>
      <c r="D1669" s="44">
        <v>45750</v>
      </c>
      <c r="E1669" s="45">
        <v>200</v>
      </c>
    </row>
    <row r="1670" spans="2:5">
      <c r="B1670" s="43" t="s">
        <v>92</v>
      </c>
      <c r="C1670" s="43" t="s">
        <v>93</v>
      </c>
      <c r="D1670" s="44">
        <v>45750</v>
      </c>
      <c r="E1670" s="45">
        <v>144.4</v>
      </c>
    </row>
    <row r="1671" spans="2:5">
      <c r="B1671" s="43" t="s">
        <v>196</v>
      </c>
      <c r="C1671" s="43" t="s">
        <v>197</v>
      </c>
      <c r="D1671" s="44">
        <v>45750</v>
      </c>
      <c r="E1671" s="45">
        <v>2</v>
      </c>
    </row>
    <row r="1672" spans="2:5">
      <c r="B1672" s="43" t="s">
        <v>96</v>
      </c>
      <c r="C1672" s="43" t="s">
        <v>97</v>
      </c>
      <c r="D1672" s="44">
        <v>45750</v>
      </c>
      <c r="E1672" s="45">
        <v>7</v>
      </c>
    </row>
    <row r="1673" spans="2:5">
      <c r="B1673" s="43" t="s">
        <v>160</v>
      </c>
      <c r="C1673" s="43" t="s">
        <v>161</v>
      </c>
      <c r="D1673" s="44">
        <v>45750</v>
      </c>
      <c r="E1673" s="45">
        <v>4</v>
      </c>
    </row>
    <row r="1674" spans="2:5">
      <c r="B1674" s="43" t="s">
        <v>34</v>
      </c>
      <c r="C1674" s="43" t="s">
        <v>35</v>
      </c>
      <c r="D1674" s="44">
        <v>45750</v>
      </c>
      <c r="E1674" s="45">
        <v>5</v>
      </c>
    </row>
    <row r="1675" spans="2:5">
      <c r="B1675" s="43" t="s">
        <v>36</v>
      </c>
      <c r="C1675" s="43" t="s">
        <v>37</v>
      </c>
      <c r="D1675" s="44">
        <v>45750</v>
      </c>
      <c r="E1675" s="45">
        <v>5</v>
      </c>
    </row>
    <row r="1676" spans="2:5">
      <c r="B1676" s="43" t="s">
        <v>4</v>
      </c>
      <c r="C1676" s="43" t="s">
        <v>5</v>
      </c>
      <c r="D1676" s="44">
        <v>45751</v>
      </c>
      <c r="E1676" s="45">
        <v>53.6</v>
      </c>
    </row>
    <row r="1677" spans="2:5">
      <c r="B1677" s="43" t="s">
        <v>6</v>
      </c>
      <c r="C1677" s="43" t="s">
        <v>7</v>
      </c>
      <c r="D1677" s="44">
        <v>45751</v>
      </c>
      <c r="E1677" s="45">
        <v>13.1</v>
      </c>
    </row>
    <row r="1678" spans="2:5">
      <c r="B1678" s="43" t="s">
        <v>8</v>
      </c>
      <c r="C1678" s="43" t="s">
        <v>9</v>
      </c>
      <c r="D1678" s="44">
        <v>45751</v>
      </c>
      <c r="E1678" s="45">
        <v>78.3</v>
      </c>
    </row>
    <row r="1679" spans="2:5">
      <c r="B1679" s="43" t="s">
        <v>44</v>
      </c>
      <c r="C1679" s="43" t="s">
        <v>45</v>
      </c>
      <c r="D1679" s="44">
        <v>45751</v>
      </c>
      <c r="E1679" s="45">
        <v>51</v>
      </c>
    </row>
    <row r="1680" spans="2:5">
      <c r="B1680" s="43" t="s">
        <v>46</v>
      </c>
      <c r="C1680" s="43" t="s">
        <v>47</v>
      </c>
      <c r="D1680" s="44">
        <v>45751</v>
      </c>
      <c r="E1680" s="45">
        <v>485.9</v>
      </c>
    </row>
    <row r="1681" spans="2:5">
      <c r="B1681" s="43" t="s">
        <v>74</v>
      </c>
      <c r="C1681" s="43" t="s">
        <v>75</v>
      </c>
      <c r="D1681" s="44">
        <v>45751</v>
      </c>
      <c r="E1681" s="45">
        <v>871.5</v>
      </c>
    </row>
    <row r="1682" spans="2:5">
      <c r="B1682" s="43" t="s">
        <v>12</v>
      </c>
      <c r="C1682" s="43" t="s">
        <v>13</v>
      </c>
      <c r="D1682" s="44">
        <v>45751</v>
      </c>
      <c r="E1682" s="45">
        <v>841.8</v>
      </c>
    </row>
    <row r="1683" spans="2:5">
      <c r="B1683" s="43" t="s">
        <v>50</v>
      </c>
      <c r="C1683" s="43" t="s">
        <v>51</v>
      </c>
      <c r="D1683" s="44">
        <v>45751</v>
      </c>
      <c r="E1683" s="45">
        <v>272</v>
      </c>
    </row>
    <row r="1684" spans="2:5">
      <c r="B1684" s="43" t="s">
        <v>114</v>
      </c>
      <c r="C1684" s="43" t="s">
        <v>115</v>
      </c>
      <c r="D1684" s="44">
        <v>45751</v>
      </c>
      <c r="E1684" s="45">
        <v>39.9</v>
      </c>
    </row>
    <row r="1685" spans="2:5">
      <c r="B1685" s="43" t="s">
        <v>202</v>
      </c>
      <c r="C1685" s="43" t="s">
        <v>203</v>
      </c>
      <c r="D1685" s="44">
        <v>45751</v>
      </c>
      <c r="E1685" s="45">
        <v>18.1</v>
      </c>
    </row>
    <row r="1686" spans="2:5">
      <c r="B1686" s="43" t="s">
        <v>138</v>
      </c>
      <c r="C1686" s="43" t="s">
        <v>139</v>
      </c>
      <c r="D1686" s="44">
        <v>45751</v>
      </c>
      <c r="E1686" s="45">
        <v>95.1</v>
      </c>
    </row>
    <row r="1687" spans="2:5">
      <c r="B1687" s="43" t="s">
        <v>56</v>
      </c>
      <c r="C1687" s="43" t="s">
        <v>57</v>
      </c>
      <c r="D1687" s="44">
        <v>45751</v>
      </c>
      <c r="E1687" s="45">
        <v>416.3</v>
      </c>
    </row>
    <row r="1688" spans="2:5">
      <c r="B1688" s="43" t="s">
        <v>162</v>
      </c>
      <c r="C1688" s="43" t="s">
        <v>163</v>
      </c>
      <c r="D1688" s="44">
        <v>45751</v>
      </c>
      <c r="E1688" s="45">
        <v>40.4</v>
      </c>
    </row>
    <row r="1689" spans="2:5">
      <c r="B1689" s="43" t="s">
        <v>18</v>
      </c>
      <c r="C1689" s="43" t="s">
        <v>19</v>
      </c>
      <c r="D1689" s="44">
        <v>45751</v>
      </c>
      <c r="E1689" s="45">
        <v>44.5</v>
      </c>
    </row>
    <row r="1690" spans="2:5">
      <c r="B1690" s="43" t="s">
        <v>20</v>
      </c>
      <c r="C1690" s="43" t="s">
        <v>21</v>
      </c>
      <c r="D1690" s="44">
        <v>45751</v>
      </c>
      <c r="E1690" s="45">
        <v>58.8</v>
      </c>
    </row>
    <row r="1691" spans="2:5">
      <c r="B1691" s="43" t="s">
        <v>22</v>
      </c>
      <c r="C1691" s="43" t="s">
        <v>23</v>
      </c>
      <c r="D1691" s="44">
        <v>45751</v>
      </c>
      <c r="E1691" s="45">
        <v>67.2</v>
      </c>
    </row>
    <row r="1692" spans="2:5">
      <c r="B1692" s="43" t="s">
        <v>24</v>
      </c>
      <c r="C1692" s="43" t="s">
        <v>25</v>
      </c>
      <c r="D1692" s="44">
        <v>45751</v>
      </c>
      <c r="E1692" s="45">
        <v>1542.3</v>
      </c>
    </row>
    <row r="1693" spans="2:5">
      <c r="B1693" s="43" t="s">
        <v>26</v>
      </c>
      <c r="C1693" s="43" t="s">
        <v>27</v>
      </c>
      <c r="D1693" s="44">
        <v>45751</v>
      </c>
      <c r="E1693" s="45">
        <v>497.6</v>
      </c>
    </row>
    <row r="1694" spans="2:5">
      <c r="B1694" s="43" t="s">
        <v>28</v>
      </c>
      <c r="C1694" s="43" t="s">
        <v>29</v>
      </c>
      <c r="D1694" s="44">
        <v>45751</v>
      </c>
      <c r="E1694" s="45">
        <v>143.2</v>
      </c>
    </row>
    <row r="1695" spans="2:5">
      <c r="B1695" s="43" t="s">
        <v>64</v>
      </c>
      <c r="C1695" s="43" t="s">
        <v>65</v>
      </c>
      <c r="D1695" s="44">
        <v>45751</v>
      </c>
      <c r="E1695" s="45">
        <v>340</v>
      </c>
    </row>
    <row r="1696" spans="2:5">
      <c r="B1696" s="43" t="s">
        <v>172</v>
      </c>
      <c r="C1696" s="43" t="s">
        <v>173</v>
      </c>
      <c r="D1696" s="44">
        <v>45751</v>
      </c>
      <c r="E1696" s="45">
        <v>22.55</v>
      </c>
    </row>
    <row r="1697" spans="2:5">
      <c r="B1697" s="43" t="s">
        <v>96</v>
      </c>
      <c r="C1697" s="43" t="s">
        <v>97</v>
      </c>
      <c r="D1697" s="44">
        <v>45751</v>
      </c>
      <c r="E1697" s="45">
        <v>7</v>
      </c>
    </row>
    <row r="1698" spans="2:5">
      <c r="B1698" s="43" t="s">
        <v>32</v>
      </c>
      <c r="C1698" s="43" t="s">
        <v>33</v>
      </c>
      <c r="D1698" s="44">
        <v>45751</v>
      </c>
      <c r="E1698" s="45">
        <v>6</v>
      </c>
    </row>
    <row r="1699" spans="2:5">
      <c r="B1699" s="43" t="s">
        <v>98</v>
      </c>
      <c r="C1699" s="43" t="s">
        <v>99</v>
      </c>
      <c r="D1699" s="44">
        <v>45751</v>
      </c>
      <c r="E1699" s="45">
        <v>4</v>
      </c>
    </row>
    <row r="1700" spans="2:5">
      <c r="B1700" s="43" t="s">
        <v>160</v>
      </c>
      <c r="C1700" s="43" t="s">
        <v>161</v>
      </c>
      <c r="D1700" s="44">
        <v>45751</v>
      </c>
      <c r="E1700" s="45">
        <v>24</v>
      </c>
    </row>
    <row r="1701" spans="2:5">
      <c r="B1701" s="43" t="s">
        <v>34</v>
      </c>
      <c r="C1701" s="43" t="s">
        <v>35</v>
      </c>
      <c r="D1701" s="44">
        <v>45751</v>
      </c>
      <c r="E1701" s="45">
        <v>28</v>
      </c>
    </row>
    <row r="1702" spans="2:5">
      <c r="B1702" s="43" t="s">
        <v>38</v>
      </c>
      <c r="C1702" s="43" t="s">
        <v>39</v>
      </c>
      <c r="D1702" s="44">
        <v>45751</v>
      </c>
      <c r="E1702" s="45">
        <v>7</v>
      </c>
    </row>
    <row r="1703" spans="2:5">
      <c r="B1703" s="43" t="s">
        <v>4</v>
      </c>
      <c r="C1703" s="43" t="s">
        <v>5</v>
      </c>
      <c r="D1703" s="44">
        <v>45754</v>
      </c>
      <c r="E1703" s="45">
        <v>13.4</v>
      </c>
    </row>
    <row r="1704" spans="2:5">
      <c r="B1704" s="43" t="s">
        <v>8</v>
      </c>
      <c r="C1704" s="43" t="s">
        <v>9</v>
      </c>
      <c r="D1704" s="44">
        <v>45754</v>
      </c>
      <c r="E1704" s="45">
        <v>139.2</v>
      </c>
    </row>
    <row r="1705" spans="2:5">
      <c r="B1705" s="43" t="s">
        <v>72</v>
      </c>
      <c r="C1705" s="43" t="s">
        <v>73</v>
      </c>
      <c r="D1705" s="44">
        <v>45754</v>
      </c>
      <c r="E1705" s="45">
        <v>163.2</v>
      </c>
    </row>
    <row r="1706" spans="2:5">
      <c r="B1706" s="43" t="s">
        <v>46</v>
      </c>
      <c r="C1706" s="43" t="s">
        <v>47</v>
      </c>
      <c r="D1706" s="44">
        <v>45754</v>
      </c>
      <c r="E1706" s="45">
        <v>33.9041</v>
      </c>
    </row>
    <row r="1707" spans="2:5">
      <c r="B1707" s="43" t="s">
        <v>74</v>
      </c>
      <c r="C1707" s="43" t="s">
        <v>75</v>
      </c>
      <c r="D1707" s="44">
        <v>45754</v>
      </c>
      <c r="E1707" s="45">
        <v>149.4</v>
      </c>
    </row>
    <row r="1708" spans="2:5">
      <c r="B1708" s="43" t="s">
        <v>12</v>
      </c>
      <c r="C1708" s="43" t="s">
        <v>13</v>
      </c>
      <c r="D1708" s="44">
        <v>45754</v>
      </c>
      <c r="E1708" s="45">
        <v>138</v>
      </c>
    </row>
    <row r="1709" spans="2:5">
      <c r="B1709" s="43" t="s">
        <v>134</v>
      </c>
      <c r="C1709" s="43" t="s">
        <v>135</v>
      </c>
      <c r="D1709" s="44">
        <v>45754</v>
      </c>
      <c r="E1709" s="45">
        <v>122.5</v>
      </c>
    </row>
    <row r="1710" spans="2:5">
      <c r="B1710" s="43" t="s">
        <v>114</v>
      </c>
      <c r="C1710" s="43" t="s">
        <v>115</v>
      </c>
      <c r="D1710" s="44">
        <v>45754</v>
      </c>
      <c r="E1710" s="45">
        <v>13.3</v>
      </c>
    </row>
    <row r="1711" spans="2:5">
      <c r="B1711" s="43" t="s">
        <v>18</v>
      </c>
      <c r="C1711" s="43" t="s">
        <v>19</v>
      </c>
      <c r="D1711" s="44">
        <v>45754</v>
      </c>
      <c r="E1711" s="45">
        <v>66.75</v>
      </c>
    </row>
    <row r="1712" spans="2:5">
      <c r="B1712" s="43" t="s">
        <v>146</v>
      </c>
      <c r="C1712" s="43" t="s">
        <v>147</v>
      </c>
      <c r="D1712" s="44">
        <v>45754</v>
      </c>
      <c r="E1712" s="45">
        <v>284.9</v>
      </c>
    </row>
    <row r="1713" spans="2:5">
      <c r="B1713" s="43" t="s">
        <v>22</v>
      </c>
      <c r="C1713" s="43" t="s">
        <v>23</v>
      </c>
      <c r="D1713" s="44">
        <v>45754</v>
      </c>
      <c r="E1713" s="45">
        <v>2899.2</v>
      </c>
    </row>
    <row r="1714" spans="2:5">
      <c r="B1714" s="43" t="s">
        <v>80</v>
      </c>
      <c r="C1714" s="43" t="s">
        <v>81</v>
      </c>
      <c r="D1714" s="44">
        <v>45754</v>
      </c>
      <c r="E1714" s="45">
        <v>1693.3</v>
      </c>
    </row>
    <row r="1715" spans="2:5">
      <c r="B1715" s="43" t="s">
        <v>24</v>
      </c>
      <c r="C1715" s="43" t="s">
        <v>25</v>
      </c>
      <c r="D1715" s="44">
        <v>45754</v>
      </c>
      <c r="E1715" s="45">
        <v>667.8</v>
      </c>
    </row>
    <row r="1716" spans="2:5">
      <c r="B1716" s="43" t="s">
        <v>26</v>
      </c>
      <c r="C1716" s="43" t="s">
        <v>27</v>
      </c>
      <c r="D1716" s="44">
        <v>45754</v>
      </c>
      <c r="E1716" s="45">
        <v>1555</v>
      </c>
    </row>
    <row r="1717" spans="2:5">
      <c r="B1717" s="43" t="s">
        <v>28</v>
      </c>
      <c r="C1717" s="43" t="s">
        <v>29</v>
      </c>
      <c r="D1717" s="44">
        <v>45754</v>
      </c>
      <c r="E1717" s="45">
        <v>1897.4</v>
      </c>
    </row>
    <row r="1718" spans="2:5">
      <c r="B1718" s="43" t="s">
        <v>62</v>
      </c>
      <c r="C1718" s="43" t="s">
        <v>63</v>
      </c>
      <c r="D1718" s="44">
        <v>45754</v>
      </c>
      <c r="E1718" s="45">
        <v>307.5</v>
      </c>
    </row>
    <row r="1719" spans="2:5">
      <c r="B1719" s="43" t="s">
        <v>84</v>
      </c>
      <c r="C1719" s="43" t="s">
        <v>85</v>
      </c>
      <c r="D1719" s="44">
        <v>45754</v>
      </c>
      <c r="E1719" s="45">
        <v>24.95</v>
      </c>
    </row>
    <row r="1720" spans="2:5">
      <c r="B1720" s="43" t="s">
        <v>142</v>
      </c>
      <c r="C1720" s="43" t="s">
        <v>143</v>
      </c>
      <c r="D1720" s="44">
        <v>45754</v>
      </c>
      <c r="E1720" s="45">
        <v>6</v>
      </c>
    </row>
    <row r="1721" spans="2:5">
      <c r="B1721" s="43" t="s">
        <v>30</v>
      </c>
      <c r="C1721" s="43" t="s">
        <v>31</v>
      </c>
      <c r="D1721" s="44">
        <v>45754</v>
      </c>
      <c r="E1721" s="45">
        <v>7</v>
      </c>
    </row>
    <row r="1722" spans="2:5">
      <c r="B1722" s="43" t="s">
        <v>96</v>
      </c>
      <c r="C1722" s="43" t="s">
        <v>97</v>
      </c>
      <c r="D1722" s="44">
        <v>45754</v>
      </c>
      <c r="E1722" s="45">
        <v>15</v>
      </c>
    </row>
    <row r="1723" spans="2:5">
      <c r="B1723" s="43" t="s">
        <v>32</v>
      </c>
      <c r="C1723" s="43" t="s">
        <v>33</v>
      </c>
      <c r="D1723" s="44">
        <v>45754</v>
      </c>
      <c r="E1723" s="45">
        <v>5</v>
      </c>
    </row>
    <row r="1724" spans="2:5">
      <c r="B1724" s="43" t="s">
        <v>34</v>
      </c>
      <c r="C1724" s="43" t="s">
        <v>35</v>
      </c>
      <c r="D1724" s="44">
        <v>45754</v>
      </c>
      <c r="E1724" s="45">
        <v>1</v>
      </c>
    </row>
    <row r="1725" spans="2:5">
      <c r="B1725" s="43" t="s">
        <v>38</v>
      </c>
      <c r="C1725" s="43" t="s">
        <v>39</v>
      </c>
      <c r="D1725" s="44">
        <v>45754</v>
      </c>
      <c r="E1725" s="45">
        <v>119</v>
      </c>
    </row>
    <row r="1726" spans="2:5">
      <c r="B1726" s="43" t="s">
        <v>4</v>
      </c>
      <c r="C1726" s="43" t="s">
        <v>5</v>
      </c>
      <c r="D1726" s="44">
        <v>45755</v>
      </c>
      <c r="E1726" s="45">
        <v>100.5</v>
      </c>
    </row>
    <row r="1727" spans="2:5">
      <c r="B1727" s="43" t="s">
        <v>8</v>
      </c>
      <c r="C1727" s="43" t="s">
        <v>9</v>
      </c>
      <c r="D1727" s="44">
        <v>45755</v>
      </c>
      <c r="E1727" s="45">
        <v>217.5</v>
      </c>
    </row>
    <row r="1728" spans="2:5">
      <c r="B1728" s="43" t="s">
        <v>44</v>
      </c>
      <c r="C1728" s="43" t="s">
        <v>45</v>
      </c>
      <c r="D1728" s="44">
        <v>45755</v>
      </c>
      <c r="E1728" s="45">
        <v>51</v>
      </c>
    </row>
    <row r="1729" spans="2:5">
      <c r="B1729" s="43" t="s">
        <v>74</v>
      </c>
      <c r="C1729" s="43" t="s">
        <v>75</v>
      </c>
      <c r="D1729" s="44">
        <v>45755</v>
      </c>
      <c r="E1729" s="45">
        <v>373.5</v>
      </c>
    </row>
    <row r="1730" spans="2:5">
      <c r="B1730" s="43" t="s">
        <v>178</v>
      </c>
      <c r="C1730" s="43" t="s">
        <v>179</v>
      </c>
      <c r="D1730" s="44">
        <v>45755</v>
      </c>
      <c r="E1730" s="45">
        <v>18</v>
      </c>
    </row>
    <row r="1731" spans="2:5">
      <c r="B1731" s="43" t="s">
        <v>48</v>
      </c>
      <c r="C1731" s="43" t="s">
        <v>49</v>
      </c>
      <c r="D1731" s="44">
        <v>45755</v>
      </c>
      <c r="E1731" s="45">
        <v>152</v>
      </c>
    </row>
    <row r="1732" spans="2:5">
      <c r="B1732" s="43" t="s">
        <v>138</v>
      </c>
      <c r="C1732" s="43" t="s">
        <v>139</v>
      </c>
      <c r="D1732" s="44">
        <v>45755</v>
      </c>
      <c r="E1732" s="45">
        <v>15.85</v>
      </c>
    </row>
    <row r="1733" spans="2:5">
      <c r="B1733" s="43" t="s">
        <v>76</v>
      </c>
      <c r="C1733" s="43" t="s">
        <v>77</v>
      </c>
      <c r="D1733" s="44">
        <v>45755</v>
      </c>
      <c r="E1733" s="45">
        <v>706</v>
      </c>
    </row>
    <row r="1734" spans="2:5">
      <c r="B1734" s="43" t="s">
        <v>200</v>
      </c>
      <c r="C1734" s="43" t="s">
        <v>201</v>
      </c>
      <c r="D1734" s="44">
        <v>45755</v>
      </c>
      <c r="E1734" s="45">
        <v>27.5</v>
      </c>
    </row>
    <row r="1735" spans="2:5">
      <c r="B1735" s="43" t="s">
        <v>22</v>
      </c>
      <c r="C1735" s="43" t="s">
        <v>23</v>
      </c>
      <c r="D1735" s="44">
        <v>45755</v>
      </c>
      <c r="E1735" s="45">
        <v>19.2</v>
      </c>
    </row>
    <row r="1736" spans="2:5">
      <c r="B1736" s="43" t="s">
        <v>24</v>
      </c>
      <c r="C1736" s="43" t="s">
        <v>25</v>
      </c>
      <c r="D1736" s="44">
        <v>45755</v>
      </c>
      <c r="E1736" s="45">
        <v>1001.7</v>
      </c>
    </row>
    <row r="1737" spans="2:5">
      <c r="B1737" s="43" t="s">
        <v>26</v>
      </c>
      <c r="C1737" s="43" t="s">
        <v>27</v>
      </c>
      <c r="D1737" s="44">
        <v>45755</v>
      </c>
      <c r="E1737" s="45">
        <v>233.25</v>
      </c>
    </row>
    <row r="1738" spans="2:5">
      <c r="B1738" s="43" t="s">
        <v>60</v>
      </c>
      <c r="C1738" s="43" t="s">
        <v>61</v>
      </c>
      <c r="D1738" s="44">
        <v>45755</v>
      </c>
      <c r="E1738" s="45">
        <v>54.9</v>
      </c>
    </row>
    <row r="1739" spans="2:5">
      <c r="B1739" s="43" t="s">
        <v>28</v>
      </c>
      <c r="C1739" s="43" t="s">
        <v>29</v>
      </c>
      <c r="D1739" s="44">
        <v>45755</v>
      </c>
      <c r="E1739" s="45">
        <v>143.2</v>
      </c>
    </row>
    <row r="1740" spans="2:5">
      <c r="B1740" s="43" t="s">
        <v>64</v>
      </c>
      <c r="C1740" s="43" t="s">
        <v>65</v>
      </c>
      <c r="D1740" s="44">
        <v>45755</v>
      </c>
      <c r="E1740" s="45">
        <v>1400</v>
      </c>
    </row>
    <row r="1741" spans="2:5">
      <c r="B1741" s="43" t="s">
        <v>172</v>
      </c>
      <c r="C1741" s="43" t="s">
        <v>173</v>
      </c>
      <c r="D1741" s="44">
        <v>45755</v>
      </c>
      <c r="E1741" s="45">
        <v>631.4</v>
      </c>
    </row>
    <row r="1742" spans="2:5">
      <c r="B1742" s="43" t="s">
        <v>96</v>
      </c>
      <c r="C1742" s="43" t="s">
        <v>97</v>
      </c>
      <c r="D1742" s="44">
        <v>45755</v>
      </c>
      <c r="E1742" s="45">
        <v>34</v>
      </c>
    </row>
    <row r="1743" spans="2:5">
      <c r="B1743" s="43" t="s">
        <v>32</v>
      </c>
      <c r="C1743" s="43" t="s">
        <v>33</v>
      </c>
      <c r="D1743" s="44">
        <v>45755</v>
      </c>
      <c r="E1743" s="45">
        <v>5</v>
      </c>
    </row>
    <row r="1744" spans="2:5">
      <c r="B1744" s="43" t="s">
        <v>98</v>
      </c>
      <c r="C1744" s="43" t="s">
        <v>99</v>
      </c>
      <c r="D1744" s="44">
        <v>45755</v>
      </c>
      <c r="E1744" s="45">
        <v>3</v>
      </c>
    </row>
    <row r="1745" spans="2:5">
      <c r="B1745" s="43" t="s">
        <v>160</v>
      </c>
      <c r="C1745" s="43" t="s">
        <v>161</v>
      </c>
      <c r="D1745" s="44">
        <v>45755</v>
      </c>
      <c r="E1745" s="45">
        <v>1</v>
      </c>
    </row>
    <row r="1746" spans="2:5">
      <c r="B1746" s="43" t="s">
        <v>34</v>
      </c>
      <c r="C1746" s="43" t="s">
        <v>35</v>
      </c>
      <c r="D1746" s="44">
        <v>45755</v>
      </c>
      <c r="E1746" s="45">
        <v>3</v>
      </c>
    </row>
    <row r="1747" spans="2:5">
      <c r="B1747" s="43" t="s">
        <v>38</v>
      </c>
      <c r="C1747" s="43" t="s">
        <v>39</v>
      </c>
      <c r="D1747" s="44">
        <v>45755</v>
      </c>
      <c r="E1747" s="45">
        <v>36</v>
      </c>
    </row>
    <row r="1748" spans="2:5">
      <c r="B1748" s="43" t="s">
        <v>104</v>
      </c>
      <c r="C1748" s="43" t="s">
        <v>105</v>
      </c>
      <c r="D1748" s="44">
        <v>45756</v>
      </c>
      <c r="E1748" s="45">
        <v>2</v>
      </c>
    </row>
    <row r="1749" spans="2:5">
      <c r="B1749" s="43" t="s">
        <v>4</v>
      </c>
      <c r="C1749" s="43" t="s">
        <v>5</v>
      </c>
      <c r="D1749" s="44">
        <v>45756</v>
      </c>
      <c r="E1749" s="45">
        <v>20.1</v>
      </c>
    </row>
    <row r="1750" spans="2:5">
      <c r="B1750" s="43" t="s">
        <v>8</v>
      </c>
      <c r="C1750" s="43" t="s">
        <v>9</v>
      </c>
      <c r="D1750" s="44">
        <v>45756</v>
      </c>
      <c r="E1750" s="45">
        <v>495.9</v>
      </c>
    </row>
    <row r="1751" spans="2:5">
      <c r="B1751" s="43" t="s">
        <v>44</v>
      </c>
      <c r="C1751" s="43" t="s">
        <v>45</v>
      </c>
      <c r="D1751" s="44">
        <v>45756</v>
      </c>
      <c r="E1751" s="45">
        <v>59.5</v>
      </c>
    </row>
    <row r="1752" spans="2:5">
      <c r="B1752" s="43" t="s">
        <v>46</v>
      </c>
      <c r="C1752" s="43" t="s">
        <v>47</v>
      </c>
      <c r="D1752" s="44">
        <v>45756</v>
      </c>
      <c r="E1752" s="45">
        <v>1028.3</v>
      </c>
    </row>
    <row r="1753" spans="2:5">
      <c r="B1753" s="43" t="s">
        <v>10</v>
      </c>
      <c r="C1753" s="43" t="s">
        <v>11</v>
      </c>
      <c r="D1753" s="44">
        <v>45756</v>
      </c>
      <c r="E1753" s="45">
        <v>176.8</v>
      </c>
    </row>
    <row r="1754" spans="2:5">
      <c r="B1754" s="43" t="s">
        <v>12</v>
      </c>
      <c r="C1754" s="43" t="s">
        <v>13</v>
      </c>
      <c r="D1754" s="44">
        <v>45756</v>
      </c>
      <c r="E1754" s="45">
        <v>966</v>
      </c>
    </row>
    <row r="1755" spans="2:5">
      <c r="B1755" s="43" t="s">
        <v>108</v>
      </c>
      <c r="C1755" s="43" t="s">
        <v>109</v>
      </c>
      <c r="D1755" s="44">
        <v>45756</v>
      </c>
      <c r="E1755" s="45">
        <v>124</v>
      </c>
    </row>
    <row r="1756" spans="2:5">
      <c r="B1756" s="43" t="s">
        <v>14</v>
      </c>
      <c r="C1756" s="43" t="s">
        <v>15</v>
      </c>
      <c r="D1756" s="44">
        <v>45756</v>
      </c>
      <c r="E1756" s="45">
        <v>67.5</v>
      </c>
    </row>
    <row r="1757" spans="2:5">
      <c r="B1757" s="43" t="s">
        <v>50</v>
      </c>
      <c r="C1757" s="43" t="s">
        <v>51</v>
      </c>
      <c r="D1757" s="44">
        <v>45756</v>
      </c>
      <c r="E1757" s="45">
        <v>163.2</v>
      </c>
    </row>
    <row r="1758" spans="2:5">
      <c r="B1758" s="43" t="s">
        <v>114</v>
      </c>
      <c r="C1758" s="43" t="s">
        <v>115</v>
      </c>
      <c r="D1758" s="44">
        <v>45756</v>
      </c>
      <c r="E1758" s="45">
        <v>266</v>
      </c>
    </row>
    <row r="1759" spans="2:5">
      <c r="B1759" s="43" t="s">
        <v>144</v>
      </c>
      <c r="C1759" s="43" t="s">
        <v>145</v>
      </c>
      <c r="D1759" s="44">
        <v>45756</v>
      </c>
      <c r="E1759" s="45">
        <v>291.6</v>
      </c>
    </row>
    <row r="1760" spans="2:5">
      <c r="B1760" s="43" t="s">
        <v>56</v>
      </c>
      <c r="C1760" s="43" t="s">
        <v>57</v>
      </c>
      <c r="D1760" s="44">
        <v>45756</v>
      </c>
      <c r="E1760" s="45">
        <v>108.6</v>
      </c>
    </row>
    <row r="1761" spans="2:5">
      <c r="B1761" s="43" t="s">
        <v>76</v>
      </c>
      <c r="C1761" s="43" t="s">
        <v>77</v>
      </c>
      <c r="D1761" s="44">
        <v>45756</v>
      </c>
      <c r="E1761" s="45">
        <v>264.75</v>
      </c>
    </row>
    <row r="1762" spans="2:5">
      <c r="B1762" s="43" t="s">
        <v>78</v>
      </c>
      <c r="C1762" s="43" t="s">
        <v>79</v>
      </c>
      <c r="D1762" s="44">
        <v>45756</v>
      </c>
      <c r="E1762" s="45">
        <v>26.55</v>
      </c>
    </row>
    <row r="1763" spans="2:5">
      <c r="B1763" s="43" t="s">
        <v>20</v>
      </c>
      <c r="C1763" s="43" t="s">
        <v>21</v>
      </c>
      <c r="D1763" s="44">
        <v>45756</v>
      </c>
      <c r="E1763" s="45">
        <v>88.2</v>
      </c>
    </row>
    <row r="1764" spans="2:5">
      <c r="B1764" s="43" t="s">
        <v>22</v>
      </c>
      <c r="C1764" s="43" t="s">
        <v>23</v>
      </c>
      <c r="D1764" s="44">
        <v>45756</v>
      </c>
      <c r="E1764" s="45">
        <v>28.8</v>
      </c>
    </row>
    <row r="1765" spans="2:5">
      <c r="B1765" s="43" t="s">
        <v>80</v>
      </c>
      <c r="C1765" s="43" t="s">
        <v>81</v>
      </c>
      <c r="D1765" s="44">
        <v>45756</v>
      </c>
      <c r="E1765" s="45">
        <v>57.4</v>
      </c>
    </row>
    <row r="1766" spans="2:5">
      <c r="B1766" s="43" t="s">
        <v>24</v>
      </c>
      <c r="C1766" s="43" t="s">
        <v>25</v>
      </c>
      <c r="D1766" s="44">
        <v>45756</v>
      </c>
      <c r="E1766" s="45">
        <v>1860.3</v>
      </c>
    </row>
    <row r="1767" spans="2:5">
      <c r="B1767" s="43" t="s">
        <v>26</v>
      </c>
      <c r="C1767" s="43" t="s">
        <v>27</v>
      </c>
      <c r="D1767" s="44">
        <v>45756</v>
      </c>
      <c r="E1767" s="45">
        <v>559.8</v>
      </c>
    </row>
    <row r="1768" spans="2:5">
      <c r="B1768" s="43" t="s">
        <v>62</v>
      </c>
      <c r="C1768" s="43" t="s">
        <v>63</v>
      </c>
      <c r="D1768" s="44">
        <v>45756</v>
      </c>
      <c r="E1768" s="45">
        <v>963.5</v>
      </c>
    </row>
    <row r="1769" spans="2:5">
      <c r="B1769" s="43" t="s">
        <v>64</v>
      </c>
      <c r="C1769" s="43" t="s">
        <v>65</v>
      </c>
      <c r="D1769" s="44">
        <v>45756</v>
      </c>
      <c r="E1769" s="45">
        <v>2740</v>
      </c>
    </row>
    <row r="1770" spans="2:5">
      <c r="B1770" s="43" t="s">
        <v>186</v>
      </c>
      <c r="C1770" s="43" t="s">
        <v>187</v>
      </c>
      <c r="D1770" s="44">
        <v>45756</v>
      </c>
      <c r="E1770" s="45">
        <v>40.7</v>
      </c>
    </row>
    <row r="1771" spans="2:5">
      <c r="B1771" s="43" t="s">
        <v>150</v>
      </c>
      <c r="C1771" s="43" t="s">
        <v>151</v>
      </c>
      <c r="D1771" s="44">
        <v>45756</v>
      </c>
      <c r="E1771" s="45">
        <v>486.9</v>
      </c>
    </row>
    <row r="1772" spans="2:5">
      <c r="B1772" s="43" t="s">
        <v>96</v>
      </c>
      <c r="C1772" s="43" t="s">
        <v>97</v>
      </c>
      <c r="D1772" s="44">
        <v>45756</v>
      </c>
      <c r="E1772" s="45">
        <v>18</v>
      </c>
    </row>
    <row r="1773" spans="2:5">
      <c r="B1773" s="43" t="s">
        <v>98</v>
      </c>
      <c r="C1773" s="43" t="s">
        <v>99</v>
      </c>
      <c r="D1773" s="44">
        <v>45756</v>
      </c>
      <c r="E1773" s="45">
        <v>3</v>
      </c>
    </row>
    <row r="1774" spans="2:5">
      <c r="B1774" s="43" t="s">
        <v>160</v>
      </c>
      <c r="C1774" s="43" t="s">
        <v>161</v>
      </c>
      <c r="D1774" s="44">
        <v>45756</v>
      </c>
      <c r="E1774" s="45">
        <v>4</v>
      </c>
    </row>
    <row r="1775" spans="2:5">
      <c r="B1775" s="43" t="s">
        <v>34</v>
      </c>
      <c r="C1775" s="43" t="s">
        <v>35</v>
      </c>
      <c r="D1775" s="44">
        <v>45756</v>
      </c>
      <c r="E1775" s="45">
        <v>3</v>
      </c>
    </row>
    <row r="1776" spans="2:5">
      <c r="B1776" s="43" t="s">
        <v>36</v>
      </c>
      <c r="C1776" s="43" t="s">
        <v>37</v>
      </c>
      <c r="D1776" s="44">
        <v>45756</v>
      </c>
      <c r="E1776" s="45">
        <v>3</v>
      </c>
    </row>
    <row r="1777" spans="2:5">
      <c r="B1777" s="43" t="s">
        <v>4</v>
      </c>
      <c r="C1777" s="43" t="s">
        <v>5</v>
      </c>
      <c r="D1777" s="44">
        <v>45757</v>
      </c>
      <c r="E1777" s="45">
        <v>100.5</v>
      </c>
    </row>
    <row r="1778" spans="2:5">
      <c r="B1778" s="43" t="s">
        <v>8</v>
      </c>
      <c r="C1778" s="43" t="s">
        <v>9</v>
      </c>
      <c r="D1778" s="44">
        <v>45757</v>
      </c>
      <c r="E1778" s="45">
        <v>87</v>
      </c>
    </row>
    <row r="1779" spans="2:5">
      <c r="B1779" s="43" t="s">
        <v>44</v>
      </c>
      <c r="C1779" s="43" t="s">
        <v>45</v>
      </c>
      <c r="D1779" s="44">
        <v>45757</v>
      </c>
      <c r="E1779" s="45">
        <v>8.5</v>
      </c>
    </row>
    <row r="1780" spans="2:5">
      <c r="B1780" s="43" t="s">
        <v>46</v>
      </c>
      <c r="C1780" s="43" t="s">
        <v>47</v>
      </c>
      <c r="D1780" s="44">
        <v>45757</v>
      </c>
      <c r="E1780" s="45">
        <v>90.4</v>
      </c>
    </row>
    <row r="1781" spans="2:5">
      <c r="B1781" s="43" t="s">
        <v>12</v>
      </c>
      <c r="C1781" s="43" t="s">
        <v>13</v>
      </c>
      <c r="D1781" s="44">
        <v>45757</v>
      </c>
      <c r="E1781" s="45">
        <v>193.2</v>
      </c>
    </row>
    <row r="1782" spans="2:5">
      <c r="B1782" s="43" t="s">
        <v>108</v>
      </c>
      <c r="C1782" s="43" t="s">
        <v>109</v>
      </c>
      <c r="D1782" s="44">
        <v>45757</v>
      </c>
      <c r="E1782" s="45">
        <v>15.5</v>
      </c>
    </row>
    <row r="1783" spans="2:5">
      <c r="B1783" s="43" t="s">
        <v>14</v>
      </c>
      <c r="C1783" s="43" t="s">
        <v>15</v>
      </c>
      <c r="D1783" s="44">
        <v>45757</v>
      </c>
      <c r="E1783" s="45">
        <v>13.5</v>
      </c>
    </row>
    <row r="1784" spans="2:5">
      <c r="B1784" s="43" t="s">
        <v>134</v>
      </c>
      <c r="C1784" s="43" t="s">
        <v>135</v>
      </c>
      <c r="D1784" s="44">
        <v>45757</v>
      </c>
      <c r="E1784" s="45">
        <v>36.75</v>
      </c>
    </row>
    <row r="1785" spans="2:5">
      <c r="B1785" s="43" t="s">
        <v>50</v>
      </c>
      <c r="C1785" s="43" t="s">
        <v>51</v>
      </c>
      <c r="D1785" s="44">
        <v>45757</v>
      </c>
      <c r="E1785" s="45">
        <v>244.8</v>
      </c>
    </row>
    <row r="1786" spans="2:5">
      <c r="B1786" s="43" t="s">
        <v>144</v>
      </c>
      <c r="C1786" s="43" t="s">
        <v>145</v>
      </c>
      <c r="D1786" s="44">
        <v>45757</v>
      </c>
      <c r="E1786" s="45">
        <v>48.6</v>
      </c>
    </row>
    <row r="1787" spans="2:5">
      <c r="B1787" s="43" t="s">
        <v>182</v>
      </c>
      <c r="C1787" s="43" t="s">
        <v>183</v>
      </c>
      <c r="D1787" s="44">
        <v>45757</v>
      </c>
      <c r="E1787" s="45">
        <v>21.1</v>
      </c>
    </row>
    <row r="1788" spans="2:5">
      <c r="B1788" s="43" t="s">
        <v>56</v>
      </c>
      <c r="C1788" s="43" t="s">
        <v>57</v>
      </c>
      <c r="D1788" s="44">
        <v>45757</v>
      </c>
      <c r="E1788" s="45">
        <v>181</v>
      </c>
    </row>
    <row r="1789" spans="2:5">
      <c r="B1789" s="43" t="s">
        <v>126</v>
      </c>
      <c r="C1789" s="43" t="s">
        <v>127</v>
      </c>
      <c r="D1789" s="44">
        <v>45757</v>
      </c>
      <c r="E1789" s="45">
        <v>377.6</v>
      </c>
    </row>
    <row r="1790" spans="2:5">
      <c r="B1790" s="43" t="s">
        <v>18</v>
      </c>
      <c r="C1790" s="43" t="s">
        <v>19</v>
      </c>
      <c r="D1790" s="44">
        <v>45757</v>
      </c>
      <c r="E1790" s="45">
        <v>22.25</v>
      </c>
    </row>
    <row r="1791" spans="2:5">
      <c r="B1791" s="43" t="s">
        <v>20</v>
      </c>
      <c r="C1791" s="43" t="s">
        <v>21</v>
      </c>
      <c r="D1791" s="44">
        <v>45757</v>
      </c>
      <c r="E1791" s="45">
        <v>156.8</v>
      </c>
    </row>
    <row r="1792" spans="2:5">
      <c r="B1792" s="43" t="s">
        <v>22</v>
      </c>
      <c r="C1792" s="43" t="s">
        <v>23</v>
      </c>
      <c r="D1792" s="44">
        <v>45757</v>
      </c>
      <c r="E1792" s="45">
        <v>508.8</v>
      </c>
    </row>
    <row r="1793" spans="2:5">
      <c r="B1793" s="43" t="s">
        <v>24</v>
      </c>
      <c r="C1793" s="43" t="s">
        <v>25</v>
      </c>
      <c r="D1793" s="44">
        <v>45757</v>
      </c>
      <c r="E1793" s="45">
        <v>2194.2</v>
      </c>
    </row>
    <row r="1794" spans="2:5">
      <c r="B1794" s="43" t="s">
        <v>26</v>
      </c>
      <c r="C1794" s="43" t="s">
        <v>27</v>
      </c>
      <c r="D1794" s="44">
        <v>45757</v>
      </c>
      <c r="E1794" s="45">
        <v>559.8</v>
      </c>
    </row>
    <row r="1795" spans="2:5">
      <c r="B1795" s="43" t="s">
        <v>60</v>
      </c>
      <c r="C1795" s="43" t="s">
        <v>61</v>
      </c>
      <c r="D1795" s="44">
        <v>45757</v>
      </c>
      <c r="E1795" s="45">
        <v>164.7</v>
      </c>
    </row>
    <row r="1796" spans="2:5">
      <c r="B1796" s="43" t="s">
        <v>62</v>
      </c>
      <c r="C1796" s="43" t="s">
        <v>63</v>
      </c>
      <c r="D1796" s="44">
        <v>45757</v>
      </c>
      <c r="E1796" s="45">
        <v>225.5</v>
      </c>
    </row>
    <row r="1797" spans="2:5">
      <c r="B1797" s="43" t="s">
        <v>198</v>
      </c>
      <c r="C1797" s="43" t="s">
        <v>199</v>
      </c>
      <c r="D1797" s="44">
        <v>45757</v>
      </c>
      <c r="E1797" s="45">
        <v>577.5</v>
      </c>
    </row>
    <row r="1798" spans="2:5">
      <c r="B1798" s="43" t="s">
        <v>132</v>
      </c>
      <c r="C1798" s="43" t="s">
        <v>133</v>
      </c>
      <c r="D1798" s="44">
        <v>45757</v>
      </c>
      <c r="E1798" s="45">
        <v>278.1</v>
      </c>
    </row>
    <row r="1799" spans="2:5">
      <c r="B1799" s="43" t="s">
        <v>96</v>
      </c>
      <c r="C1799" s="43" t="s">
        <v>97</v>
      </c>
      <c r="D1799" s="44">
        <v>45757</v>
      </c>
      <c r="E1799" s="45">
        <v>3</v>
      </c>
    </row>
    <row r="1800" spans="2:5">
      <c r="B1800" s="43" t="s">
        <v>98</v>
      </c>
      <c r="C1800" s="43" t="s">
        <v>99</v>
      </c>
      <c r="D1800" s="44">
        <v>45757</v>
      </c>
      <c r="E1800" s="45">
        <v>1</v>
      </c>
    </row>
    <row r="1801" spans="2:5">
      <c r="B1801" s="43" t="s">
        <v>34</v>
      </c>
      <c r="C1801" s="43" t="s">
        <v>35</v>
      </c>
      <c r="D1801" s="44">
        <v>45757</v>
      </c>
      <c r="E1801" s="45">
        <v>6</v>
      </c>
    </row>
    <row r="1802" spans="2:5">
      <c r="B1802" s="43" t="s">
        <v>156</v>
      </c>
      <c r="C1802" s="43" t="s">
        <v>157</v>
      </c>
      <c r="D1802" s="44">
        <v>45758</v>
      </c>
      <c r="E1802" s="45">
        <v>78</v>
      </c>
    </row>
    <row r="1803" spans="2:5">
      <c r="B1803" s="43" t="s">
        <v>8</v>
      </c>
      <c r="C1803" s="43" t="s">
        <v>9</v>
      </c>
      <c r="D1803" s="44">
        <v>45758</v>
      </c>
      <c r="E1803" s="45">
        <v>34.8</v>
      </c>
    </row>
    <row r="1804" spans="2:5">
      <c r="B1804" s="43" t="s">
        <v>44</v>
      </c>
      <c r="C1804" s="43" t="s">
        <v>45</v>
      </c>
      <c r="D1804" s="44">
        <v>45758</v>
      </c>
      <c r="E1804" s="45">
        <v>34</v>
      </c>
    </row>
    <row r="1805" spans="2:5">
      <c r="B1805" s="43" t="s">
        <v>72</v>
      </c>
      <c r="C1805" s="43" t="s">
        <v>73</v>
      </c>
      <c r="D1805" s="44">
        <v>45758</v>
      </c>
      <c r="E1805" s="45">
        <v>173.4</v>
      </c>
    </row>
    <row r="1806" spans="2:5">
      <c r="B1806" s="43" t="s">
        <v>46</v>
      </c>
      <c r="C1806" s="43" t="s">
        <v>47</v>
      </c>
      <c r="D1806" s="44">
        <v>45758</v>
      </c>
      <c r="E1806" s="45">
        <v>158.2</v>
      </c>
    </row>
    <row r="1807" spans="2:5">
      <c r="B1807" s="43" t="s">
        <v>10</v>
      </c>
      <c r="C1807" s="43" t="s">
        <v>11</v>
      </c>
      <c r="D1807" s="44">
        <v>45758</v>
      </c>
      <c r="E1807" s="45">
        <v>110.5</v>
      </c>
    </row>
    <row r="1808" spans="2:5">
      <c r="B1808" s="43" t="s">
        <v>74</v>
      </c>
      <c r="C1808" s="43" t="s">
        <v>75</v>
      </c>
      <c r="D1808" s="44">
        <v>45758</v>
      </c>
      <c r="E1808" s="45">
        <v>448.2</v>
      </c>
    </row>
    <row r="1809" spans="2:5">
      <c r="B1809" s="43" t="s">
        <v>14</v>
      </c>
      <c r="C1809" s="43" t="s">
        <v>15</v>
      </c>
      <c r="D1809" s="44">
        <v>45758</v>
      </c>
      <c r="E1809" s="45">
        <v>243</v>
      </c>
    </row>
    <row r="1810" spans="2:5">
      <c r="B1810" s="43" t="s">
        <v>50</v>
      </c>
      <c r="C1810" s="43" t="s">
        <v>51</v>
      </c>
      <c r="D1810" s="44">
        <v>45758</v>
      </c>
      <c r="E1810" s="45">
        <v>13.6</v>
      </c>
    </row>
    <row r="1811" spans="2:5">
      <c r="B1811" s="43" t="s">
        <v>114</v>
      </c>
      <c r="C1811" s="43" t="s">
        <v>115</v>
      </c>
      <c r="D1811" s="44">
        <v>45758</v>
      </c>
      <c r="E1811" s="45">
        <v>79.8</v>
      </c>
    </row>
    <row r="1812" spans="2:5">
      <c r="B1812" s="43" t="s">
        <v>144</v>
      </c>
      <c r="C1812" s="43" t="s">
        <v>145</v>
      </c>
      <c r="D1812" s="44">
        <v>45758</v>
      </c>
      <c r="E1812" s="45">
        <v>64.8</v>
      </c>
    </row>
    <row r="1813" spans="2:5">
      <c r="B1813" s="43" t="s">
        <v>138</v>
      </c>
      <c r="C1813" s="43" t="s">
        <v>139</v>
      </c>
      <c r="D1813" s="44">
        <v>45758</v>
      </c>
      <c r="E1813" s="45">
        <v>15.55</v>
      </c>
    </row>
    <row r="1814" spans="2:5">
      <c r="B1814" s="43" t="s">
        <v>56</v>
      </c>
      <c r="C1814" s="43" t="s">
        <v>57</v>
      </c>
      <c r="D1814" s="44">
        <v>45758</v>
      </c>
      <c r="E1814" s="45">
        <v>36.2</v>
      </c>
    </row>
    <row r="1815" spans="2:5">
      <c r="B1815" s="43" t="s">
        <v>76</v>
      </c>
      <c r="C1815" s="43" t="s">
        <v>77</v>
      </c>
      <c r="D1815" s="44">
        <v>45758</v>
      </c>
      <c r="E1815" s="45">
        <v>247.1</v>
      </c>
    </row>
    <row r="1816" spans="2:5">
      <c r="B1816" s="43" t="s">
        <v>188</v>
      </c>
      <c r="C1816" s="43" t="s">
        <v>189</v>
      </c>
      <c r="D1816" s="44">
        <v>45758</v>
      </c>
      <c r="E1816" s="45">
        <v>254.1</v>
      </c>
    </row>
    <row r="1817" spans="2:5">
      <c r="B1817" s="43" t="s">
        <v>78</v>
      </c>
      <c r="C1817" s="43" t="s">
        <v>79</v>
      </c>
      <c r="D1817" s="44">
        <v>45758</v>
      </c>
      <c r="E1817" s="45">
        <v>17.7</v>
      </c>
    </row>
    <row r="1818" spans="2:5">
      <c r="B1818" s="43" t="s">
        <v>20</v>
      </c>
      <c r="C1818" s="43" t="s">
        <v>21</v>
      </c>
      <c r="D1818" s="44">
        <v>45758</v>
      </c>
      <c r="E1818" s="45">
        <v>205.8</v>
      </c>
    </row>
    <row r="1819" spans="2:5">
      <c r="B1819" s="43" t="s">
        <v>80</v>
      </c>
      <c r="C1819" s="43" t="s">
        <v>81</v>
      </c>
      <c r="D1819" s="44">
        <v>45758</v>
      </c>
      <c r="E1819" s="45">
        <v>760.55</v>
      </c>
    </row>
    <row r="1820" spans="2:5">
      <c r="B1820" s="43" t="s">
        <v>24</v>
      </c>
      <c r="C1820" s="43" t="s">
        <v>25</v>
      </c>
      <c r="D1820" s="44">
        <v>45758</v>
      </c>
      <c r="E1820" s="45">
        <v>1605.9</v>
      </c>
    </row>
    <row r="1821" spans="2:5">
      <c r="B1821" s="43" t="s">
        <v>26</v>
      </c>
      <c r="C1821" s="43" t="s">
        <v>27</v>
      </c>
      <c r="D1821" s="44">
        <v>45758</v>
      </c>
      <c r="E1821" s="45">
        <v>1337.3</v>
      </c>
    </row>
    <row r="1822" spans="2:5">
      <c r="B1822" s="43" t="s">
        <v>28</v>
      </c>
      <c r="C1822" s="43" t="s">
        <v>29</v>
      </c>
      <c r="D1822" s="44">
        <v>45758</v>
      </c>
      <c r="E1822" s="45">
        <v>572.8</v>
      </c>
    </row>
    <row r="1823" spans="2:5">
      <c r="B1823" s="43" t="s">
        <v>82</v>
      </c>
      <c r="C1823" s="43" t="s">
        <v>83</v>
      </c>
      <c r="D1823" s="44">
        <v>45758</v>
      </c>
      <c r="E1823" s="45">
        <v>36.9</v>
      </c>
    </row>
    <row r="1824" spans="2:5">
      <c r="B1824" s="43" t="s">
        <v>62</v>
      </c>
      <c r="C1824" s="43" t="s">
        <v>63</v>
      </c>
      <c r="D1824" s="44">
        <v>45758</v>
      </c>
      <c r="E1824" s="45">
        <v>984</v>
      </c>
    </row>
    <row r="1825" spans="2:5">
      <c r="B1825" s="43" t="s">
        <v>90</v>
      </c>
      <c r="C1825" s="43" t="s">
        <v>91</v>
      </c>
      <c r="D1825" s="44">
        <v>45758</v>
      </c>
      <c r="E1825" s="45">
        <v>106.8</v>
      </c>
    </row>
    <row r="1826" spans="2:5">
      <c r="B1826" s="43" t="s">
        <v>64</v>
      </c>
      <c r="C1826" s="43" t="s">
        <v>65</v>
      </c>
      <c r="D1826" s="44">
        <v>45758</v>
      </c>
      <c r="E1826" s="45">
        <v>40</v>
      </c>
    </row>
    <row r="1827" spans="2:5">
      <c r="B1827" s="43" t="s">
        <v>172</v>
      </c>
      <c r="C1827" s="43" t="s">
        <v>173</v>
      </c>
      <c r="D1827" s="44">
        <v>45758</v>
      </c>
      <c r="E1827" s="45">
        <v>67.65</v>
      </c>
    </row>
    <row r="1828" spans="2:5">
      <c r="B1828" s="43" t="s">
        <v>84</v>
      </c>
      <c r="C1828" s="43" t="s">
        <v>85</v>
      </c>
      <c r="D1828" s="44">
        <v>45758</v>
      </c>
      <c r="E1828" s="45">
        <v>124.75</v>
      </c>
    </row>
    <row r="1829" spans="2:5">
      <c r="B1829" s="43" t="s">
        <v>66</v>
      </c>
      <c r="C1829" s="43" t="s">
        <v>67</v>
      </c>
      <c r="D1829" s="44">
        <v>45758</v>
      </c>
      <c r="E1829" s="45">
        <v>277</v>
      </c>
    </row>
    <row r="1830" spans="2:5">
      <c r="B1830" s="43" t="s">
        <v>96</v>
      </c>
      <c r="C1830" s="43" t="s">
        <v>97</v>
      </c>
      <c r="D1830" s="44">
        <v>45758</v>
      </c>
      <c r="E1830" s="45">
        <v>24</v>
      </c>
    </row>
    <row r="1831" spans="2:5">
      <c r="B1831" s="43" t="s">
        <v>32</v>
      </c>
      <c r="C1831" s="43" t="s">
        <v>33</v>
      </c>
      <c r="D1831" s="44">
        <v>45758</v>
      </c>
      <c r="E1831" s="45">
        <v>6</v>
      </c>
    </row>
    <row r="1832" spans="2:5">
      <c r="B1832" s="43" t="s">
        <v>98</v>
      </c>
      <c r="C1832" s="43" t="s">
        <v>99</v>
      </c>
      <c r="D1832" s="44">
        <v>45758</v>
      </c>
      <c r="E1832" s="45">
        <v>3</v>
      </c>
    </row>
    <row r="1833" spans="2:5">
      <c r="B1833" s="43" t="s">
        <v>34</v>
      </c>
      <c r="C1833" s="43" t="s">
        <v>35</v>
      </c>
      <c r="D1833" s="44">
        <v>45758</v>
      </c>
      <c r="E1833" s="45">
        <v>16</v>
      </c>
    </row>
    <row r="1834" spans="2:5">
      <c r="B1834" s="43" t="s">
        <v>38</v>
      </c>
      <c r="C1834" s="43" t="s">
        <v>39</v>
      </c>
      <c r="D1834" s="44">
        <v>45758</v>
      </c>
      <c r="E1834" s="45">
        <v>9</v>
      </c>
    </row>
    <row r="1835" spans="2:5">
      <c r="B1835" s="43" t="s">
        <v>4</v>
      </c>
      <c r="C1835" s="43" t="s">
        <v>5</v>
      </c>
      <c r="D1835" s="44">
        <v>45761</v>
      </c>
      <c r="E1835" s="45">
        <v>67</v>
      </c>
    </row>
    <row r="1836" spans="2:5">
      <c r="B1836" s="43" t="s">
        <v>156</v>
      </c>
      <c r="C1836" s="43" t="s">
        <v>157</v>
      </c>
      <c r="D1836" s="44">
        <v>45761</v>
      </c>
      <c r="E1836" s="45">
        <v>2184</v>
      </c>
    </row>
    <row r="1837" spans="2:5">
      <c r="B1837" s="43" t="s">
        <v>8</v>
      </c>
      <c r="C1837" s="43" t="s">
        <v>9</v>
      </c>
      <c r="D1837" s="44">
        <v>45761</v>
      </c>
      <c r="E1837" s="45">
        <v>95.7</v>
      </c>
    </row>
    <row r="1838" spans="2:5">
      <c r="B1838" s="43" t="s">
        <v>44</v>
      </c>
      <c r="C1838" s="43" t="s">
        <v>45</v>
      </c>
      <c r="D1838" s="44">
        <v>45761</v>
      </c>
      <c r="E1838" s="45">
        <v>8.5</v>
      </c>
    </row>
    <row r="1839" spans="2:5">
      <c r="B1839" s="43" t="s">
        <v>72</v>
      </c>
      <c r="C1839" s="43" t="s">
        <v>73</v>
      </c>
      <c r="D1839" s="44">
        <v>45761</v>
      </c>
      <c r="E1839" s="45">
        <v>102</v>
      </c>
    </row>
    <row r="1840" spans="2:5">
      <c r="B1840" s="43" t="s">
        <v>10</v>
      </c>
      <c r="C1840" s="43" t="s">
        <v>11</v>
      </c>
      <c r="D1840" s="44">
        <v>45761</v>
      </c>
      <c r="E1840" s="45">
        <v>397.8</v>
      </c>
    </row>
    <row r="1841" spans="2:5">
      <c r="B1841" s="43" t="s">
        <v>74</v>
      </c>
      <c r="C1841" s="43" t="s">
        <v>75</v>
      </c>
      <c r="D1841" s="44">
        <v>45761</v>
      </c>
      <c r="E1841" s="45">
        <v>124.5</v>
      </c>
    </row>
    <row r="1842" spans="2:5">
      <c r="B1842" s="43" t="s">
        <v>12</v>
      </c>
      <c r="C1842" s="43" t="s">
        <v>13</v>
      </c>
      <c r="D1842" s="44">
        <v>45761</v>
      </c>
      <c r="E1842" s="45">
        <v>165.6</v>
      </c>
    </row>
    <row r="1843" spans="2:5">
      <c r="B1843" s="43" t="s">
        <v>14</v>
      </c>
      <c r="C1843" s="43" t="s">
        <v>15</v>
      </c>
      <c r="D1843" s="44">
        <v>45761</v>
      </c>
      <c r="E1843" s="45">
        <v>310.5</v>
      </c>
    </row>
    <row r="1844" spans="2:5">
      <c r="B1844" s="43" t="s">
        <v>50</v>
      </c>
      <c r="C1844" s="43" t="s">
        <v>51</v>
      </c>
      <c r="D1844" s="44">
        <v>45761</v>
      </c>
      <c r="E1844" s="45">
        <v>136</v>
      </c>
    </row>
    <row r="1845" spans="2:5">
      <c r="B1845" s="43" t="s">
        <v>56</v>
      </c>
      <c r="C1845" s="43" t="s">
        <v>57</v>
      </c>
      <c r="D1845" s="44">
        <v>45761</v>
      </c>
      <c r="E1845" s="45">
        <v>144.8</v>
      </c>
    </row>
    <row r="1846" spans="2:5">
      <c r="B1846" s="43" t="s">
        <v>162</v>
      </c>
      <c r="C1846" s="43" t="s">
        <v>163</v>
      </c>
      <c r="D1846" s="44">
        <v>45761</v>
      </c>
      <c r="E1846" s="45">
        <v>404</v>
      </c>
    </row>
    <row r="1847" spans="2:5">
      <c r="B1847" s="43" t="s">
        <v>78</v>
      </c>
      <c r="C1847" s="43" t="s">
        <v>79</v>
      </c>
      <c r="D1847" s="44">
        <v>45761</v>
      </c>
      <c r="E1847" s="45">
        <v>2150.0686</v>
      </c>
    </row>
    <row r="1848" spans="2:5">
      <c r="B1848" s="43" t="s">
        <v>20</v>
      </c>
      <c r="C1848" s="43" t="s">
        <v>21</v>
      </c>
      <c r="D1848" s="44">
        <v>45761</v>
      </c>
      <c r="E1848" s="45">
        <v>1156.4</v>
      </c>
    </row>
    <row r="1849" spans="2:5">
      <c r="B1849" s="43" t="s">
        <v>140</v>
      </c>
      <c r="C1849" s="43" t="s">
        <v>141</v>
      </c>
      <c r="D1849" s="44">
        <v>45761</v>
      </c>
      <c r="E1849" s="45">
        <v>92.8</v>
      </c>
    </row>
    <row r="1850" spans="2:5">
      <c r="B1850" s="43" t="s">
        <v>80</v>
      </c>
      <c r="C1850" s="43" t="s">
        <v>81</v>
      </c>
      <c r="D1850" s="44">
        <v>45761</v>
      </c>
      <c r="E1850" s="45">
        <v>143.5</v>
      </c>
    </row>
    <row r="1851" spans="2:5">
      <c r="B1851" s="43" t="s">
        <v>24</v>
      </c>
      <c r="C1851" s="43" t="s">
        <v>25</v>
      </c>
      <c r="D1851" s="44">
        <v>45761</v>
      </c>
      <c r="E1851" s="45">
        <v>556.5</v>
      </c>
    </row>
    <row r="1852" spans="2:5">
      <c r="B1852" s="43" t="s">
        <v>26</v>
      </c>
      <c r="C1852" s="43" t="s">
        <v>27</v>
      </c>
      <c r="D1852" s="44">
        <v>45761</v>
      </c>
      <c r="E1852" s="45">
        <v>933</v>
      </c>
    </row>
    <row r="1853" spans="2:5">
      <c r="B1853" s="43" t="s">
        <v>28</v>
      </c>
      <c r="C1853" s="43" t="s">
        <v>29</v>
      </c>
      <c r="D1853" s="44">
        <v>45761</v>
      </c>
      <c r="E1853" s="45">
        <v>393.8</v>
      </c>
    </row>
    <row r="1854" spans="2:5">
      <c r="B1854" s="43" t="s">
        <v>62</v>
      </c>
      <c r="C1854" s="43" t="s">
        <v>63</v>
      </c>
      <c r="D1854" s="44">
        <v>45761</v>
      </c>
      <c r="E1854" s="45">
        <v>41</v>
      </c>
    </row>
    <row r="1855" spans="2:5">
      <c r="B1855" s="43" t="s">
        <v>64</v>
      </c>
      <c r="C1855" s="43" t="s">
        <v>65</v>
      </c>
      <c r="D1855" s="44">
        <v>45761</v>
      </c>
      <c r="E1855" s="45">
        <v>180</v>
      </c>
    </row>
    <row r="1856" spans="2:5">
      <c r="B1856" s="43" t="s">
        <v>84</v>
      </c>
      <c r="C1856" s="43" t="s">
        <v>85</v>
      </c>
      <c r="D1856" s="44">
        <v>45761</v>
      </c>
      <c r="E1856" s="45">
        <v>249.5</v>
      </c>
    </row>
    <row r="1857" spans="2:5">
      <c r="B1857" s="43" t="s">
        <v>66</v>
      </c>
      <c r="C1857" s="43" t="s">
        <v>67</v>
      </c>
      <c r="D1857" s="44">
        <v>45761</v>
      </c>
      <c r="E1857" s="45">
        <v>138.5</v>
      </c>
    </row>
    <row r="1858" spans="2:5">
      <c r="B1858" s="43" t="s">
        <v>30</v>
      </c>
      <c r="C1858" s="43" t="s">
        <v>31</v>
      </c>
      <c r="D1858" s="44">
        <v>45761</v>
      </c>
      <c r="E1858" s="45">
        <v>100</v>
      </c>
    </row>
    <row r="1859" spans="2:5">
      <c r="B1859" s="43" t="s">
        <v>96</v>
      </c>
      <c r="C1859" s="43" t="s">
        <v>97</v>
      </c>
      <c r="D1859" s="44">
        <v>45761</v>
      </c>
      <c r="E1859" s="45">
        <v>103</v>
      </c>
    </row>
    <row r="1860" spans="2:5">
      <c r="B1860" s="43" t="s">
        <v>34</v>
      </c>
      <c r="C1860" s="43" t="s">
        <v>35</v>
      </c>
      <c r="D1860" s="44">
        <v>45761</v>
      </c>
      <c r="E1860" s="45">
        <v>5</v>
      </c>
    </row>
    <row r="1861" spans="2:5">
      <c r="B1861" s="43" t="s">
        <v>104</v>
      </c>
      <c r="C1861" s="43" t="s">
        <v>105</v>
      </c>
      <c r="D1861" s="44">
        <v>45762</v>
      </c>
      <c r="E1861" s="45">
        <v>10</v>
      </c>
    </row>
    <row r="1862" spans="2:5">
      <c r="B1862" s="43" t="s">
        <v>42</v>
      </c>
      <c r="C1862" s="43" t="s">
        <v>43</v>
      </c>
      <c r="D1862" s="44">
        <v>45762</v>
      </c>
      <c r="E1862" s="45">
        <v>157.3</v>
      </c>
    </row>
    <row r="1863" spans="2:5">
      <c r="B1863" s="43" t="s">
        <v>6</v>
      </c>
      <c r="C1863" s="43" t="s">
        <v>7</v>
      </c>
      <c r="D1863" s="44">
        <v>45762</v>
      </c>
      <c r="E1863" s="45">
        <v>314.4</v>
      </c>
    </row>
    <row r="1864" spans="2:5">
      <c r="B1864" s="43" t="s">
        <v>156</v>
      </c>
      <c r="C1864" s="43" t="s">
        <v>157</v>
      </c>
      <c r="D1864" s="44">
        <v>45762</v>
      </c>
      <c r="E1864" s="45">
        <v>327.6</v>
      </c>
    </row>
    <row r="1865" spans="2:5">
      <c r="B1865" s="43" t="s">
        <v>8</v>
      </c>
      <c r="C1865" s="43" t="s">
        <v>9</v>
      </c>
      <c r="D1865" s="44">
        <v>45762</v>
      </c>
      <c r="E1865" s="45">
        <v>60.9</v>
      </c>
    </row>
    <row r="1866" spans="2:5">
      <c r="B1866" s="43" t="s">
        <v>46</v>
      </c>
      <c r="C1866" s="43" t="s">
        <v>47</v>
      </c>
      <c r="D1866" s="44">
        <v>45762</v>
      </c>
      <c r="E1866" s="45">
        <v>926.6</v>
      </c>
    </row>
    <row r="1867" spans="2:5">
      <c r="B1867" s="43" t="s">
        <v>74</v>
      </c>
      <c r="C1867" s="43" t="s">
        <v>75</v>
      </c>
      <c r="D1867" s="44">
        <v>45762</v>
      </c>
      <c r="E1867" s="45">
        <v>136.95</v>
      </c>
    </row>
    <row r="1868" spans="2:5">
      <c r="B1868" s="43" t="s">
        <v>12</v>
      </c>
      <c r="C1868" s="43" t="s">
        <v>13</v>
      </c>
      <c r="D1868" s="44">
        <v>45762</v>
      </c>
      <c r="E1868" s="45">
        <v>745.2</v>
      </c>
    </row>
    <row r="1869" spans="2:5">
      <c r="B1869" s="43" t="s">
        <v>178</v>
      </c>
      <c r="C1869" s="43" t="s">
        <v>179</v>
      </c>
      <c r="D1869" s="44">
        <v>45762</v>
      </c>
      <c r="E1869" s="45">
        <v>360</v>
      </c>
    </row>
    <row r="1870" spans="2:5">
      <c r="B1870" s="43" t="s">
        <v>50</v>
      </c>
      <c r="C1870" s="43" t="s">
        <v>51</v>
      </c>
      <c r="D1870" s="44">
        <v>45762</v>
      </c>
      <c r="E1870" s="45">
        <v>68</v>
      </c>
    </row>
    <row r="1871" spans="2:5">
      <c r="B1871" s="43" t="s">
        <v>114</v>
      </c>
      <c r="C1871" s="43" t="s">
        <v>115</v>
      </c>
      <c r="D1871" s="44">
        <v>45762</v>
      </c>
      <c r="E1871" s="45">
        <v>505.4</v>
      </c>
    </row>
    <row r="1872" spans="2:5">
      <c r="B1872" s="43" t="s">
        <v>56</v>
      </c>
      <c r="C1872" s="43" t="s">
        <v>57</v>
      </c>
      <c r="D1872" s="44">
        <v>45762</v>
      </c>
      <c r="E1872" s="45">
        <v>90.5</v>
      </c>
    </row>
    <row r="1873" spans="2:5">
      <c r="B1873" s="43" t="s">
        <v>76</v>
      </c>
      <c r="C1873" s="43" t="s">
        <v>77</v>
      </c>
      <c r="D1873" s="44">
        <v>45762</v>
      </c>
      <c r="E1873" s="45">
        <v>794.25</v>
      </c>
    </row>
    <row r="1874" spans="2:5">
      <c r="B1874" s="43" t="s">
        <v>78</v>
      </c>
      <c r="C1874" s="43" t="s">
        <v>79</v>
      </c>
      <c r="D1874" s="44">
        <v>45762</v>
      </c>
      <c r="E1874" s="45">
        <v>8.85</v>
      </c>
    </row>
    <row r="1875" spans="2:5">
      <c r="B1875" s="43" t="s">
        <v>80</v>
      </c>
      <c r="C1875" s="43" t="s">
        <v>81</v>
      </c>
      <c r="D1875" s="44">
        <v>45762</v>
      </c>
      <c r="E1875" s="45">
        <v>889.7</v>
      </c>
    </row>
    <row r="1876" spans="2:5">
      <c r="B1876" s="43" t="s">
        <v>24</v>
      </c>
      <c r="C1876" s="43" t="s">
        <v>25</v>
      </c>
      <c r="D1876" s="44">
        <v>45762</v>
      </c>
      <c r="E1876" s="45">
        <v>636</v>
      </c>
    </row>
    <row r="1877" spans="2:5">
      <c r="B1877" s="43" t="s">
        <v>58</v>
      </c>
      <c r="C1877" s="43" t="s">
        <v>59</v>
      </c>
      <c r="D1877" s="44">
        <v>45762</v>
      </c>
      <c r="E1877" s="45">
        <v>690.3</v>
      </c>
    </row>
    <row r="1878" spans="2:5">
      <c r="B1878" s="43" t="s">
        <v>26</v>
      </c>
      <c r="C1878" s="43" t="s">
        <v>27</v>
      </c>
      <c r="D1878" s="44">
        <v>45762</v>
      </c>
      <c r="E1878" s="45">
        <v>3405.45</v>
      </c>
    </row>
    <row r="1879" spans="2:5">
      <c r="B1879" s="43" t="s">
        <v>60</v>
      </c>
      <c r="C1879" s="43" t="s">
        <v>61</v>
      </c>
      <c r="D1879" s="44">
        <v>45762</v>
      </c>
      <c r="E1879" s="45">
        <v>201.3</v>
      </c>
    </row>
    <row r="1880" spans="2:5">
      <c r="B1880" s="43" t="s">
        <v>28</v>
      </c>
      <c r="C1880" s="43" t="s">
        <v>29</v>
      </c>
      <c r="D1880" s="44">
        <v>45762</v>
      </c>
      <c r="E1880" s="45">
        <v>501.2</v>
      </c>
    </row>
    <row r="1881" spans="2:5">
      <c r="B1881" s="43" t="s">
        <v>62</v>
      </c>
      <c r="C1881" s="43" t="s">
        <v>63</v>
      </c>
      <c r="D1881" s="44">
        <v>45762</v>
      </c>
      <c r="E1881" s="45">
        <v>2050</v>
      </c>
    </row>
    <row r="1882" spans="2:5">
      <c r="B1882" s="43" t="s">
        <v>148</v>
      </c>
      <c r="C1882" s="43" t="s">
        <v>149</v>
      </c>
      <c r="D1882" s="44">
        <v>45762</v>
      </c>
      <c r="E1882" s="45">
        <v>91.6</v>
      </c>
    </row>
    <row r="1883" spans="2:5">
      <c r="B1883" s="43" t="s">
        <v>90</v>
      </c>
      <c r="C1883" s="43" t="s">
        <v>91</v>
      </c>
      <c r="D1883" s="44">
        <v>45762</v>
      </c>
      <c r="E1883" s="45">
        <v>160.2</v>
      </c>
    </row>
    <row r="1884" spans="2:5">
      <c r="B1884" s="43" t="s">
        <v>64</v>
      </c>
      <c r="C1884" s="43" t="s">
        <v>65</v>
      </c>
      <c r="D1884" s="44">
        <v>45762</v>
      </c>
      <c r="E1884" s="45">
        <v>1560</v>
      </c>
    </row>
    <row r="1885" spans="2:5">
      <c r="B1885" s="43" t="s">
        <v>174</v>
      </c>
      <c r="C1885" s="43" t="s">
        <v>175</v>
      </c>
      <c r="D1885" s="44">
        <v>45762</v>
      </c>
      <c r="E1885" s="45">
        <v>159.3</v>
      </c>
    </row>
    <row r="1886" spans="2:5">
      <c r="B1886" s="43" t="s">
        <v>142</v>
      </c>
      <c r="C1886" s="43" t="s">
        <v>143</v>
      </c>
      <c r="D1886" s="44">
        <v>45762</v>
      </c>
      <c r="E1886" s="45">
        <v>35</v>
      </c>
    </row>
    <row r="1887" spans="2:5">
      <c r="B1887" s="43" t="s">
        <v>96</v>
      </c>
      <c r="C1887" s="43" t="s">
        <v>97</v>
      </c>
      <c r="D1887" s="44">
        <v>45762</v>
      </c>
      <c r="E1887" s="45">
        <v>16</v>
      </c>
    </row>
    <row r="1888" spans="2:5">
      <c r="B1888" s="43" t="s">
        <v>32</v>
      </c>
      <c r="C1888" s="43" t="s">
        <v>33</v>
      </c>
      <c r="D1888" s="44">
        <v>45762</v>
      </c>
      <c r="E1888" s="45">
        <v>3</v>
      </c>
    </row>
    <row r="1889" spans="2:5">
      <c r="B1889" s="43" t="s">
        <v>98</v>
      </c>
      <c r="C1889" s="43" t="s">
        <v>99</v>
      </c>
      <c r="D1889" s="44">
        <v>45762</v>
      </c>
      <c r="E1889" s="45">
        <v>2</v>
      </c>
    </row>
    <row r="1890" spans="2:5">
      <c r="B1890" s="43" t="s">
        <v>34</v>
      </c>
      <c r="C1890" s="43" t="s">
        <v>35</v>
      </c>
      <c r="D1890" s="44">
        <v>45762</v>
      </c>
      <c r="E1890" s="45">
        <v>27</v>
      </c>
    </row>
    <row r="1891" spans="2:5">
      <c r="B1891" s="43" t="s">
        <v>36</v>
      </c>
      <c r="C1891" s="43" t="s">
        <v>37</v>
      </c>
      <c r="D1891" s="44">
        <v>45762</v>
      </c>
      <c r="E1891" s="45">
        <v>4</v>
      </c>
    </row>
    <row r="1892" spans="2:5">
      <c r="B1892" s="43" t="s">
        <v>38</v>
      </c>
      <c r="C1892" s="43" t="s">
        <v>39</v>
      </c>
      <c r="D1892" s="44">
        <v>45762</v>
      </c>
      <c r="E1892" s="45">
        <v>7</v>
      </c>
    </row>
    <row r="1893" spans="2:5">
      <c r="B1893" s="43" t="s">
        <v>86</v>
      </c>
      <c r="C1893" s="43" t="s">
        <v>87</v>
      </c>
      <c r="D1893" s="44">
        <v>45763</v>
      </c>
      <c r="E1893" s="45">
        <v>20</v>
      </c>
    </row>
    <row r="1894" spans="2:5">
      <c r="B1894" s="43" t="s">
        <v>8</v>
      </c>
      <c r="C1894" s="43" t="s">
        <v>9</v>
      </c>
      <c r="D1894" s="44">
        <v>45763</v>
      </c>
      <c r="E1894" s="45">
        <v>26.1</v>
      </c>
    </row>
    <row r="1895" spans="2:5">
      <c r="B1895" s="43" t="s">
        <v>12</v>
      </c>
      <c r="C1895" s="43" t="s">
        <v>13</v>
      </c>
      <c r="D1895" s="44">
        <v>45763</v>
      </c>
      <c r="E1895" s="45">
        <v>13.8</v>
      </c>
    </row>
    <row r="1896" spans="2:5">
      <c r="B1896" s="43" t="s">
        <v>108</v>
      </c>
      <c r="C1896" s="43" t="s">
        <v>109</v>
      </c>
      <c r="D1896" s="44">
        <v>45763</v>
      </c>
      <c r="E1896" s="45">
        <v>31</v>
      </c>
    </row>
    <row r="1897" spans="2:5">
      <c r="B1897" s="43" t="s">
        <v>178</v>
      </c>
      <c r="C1897" s="43" t="s">
        <v>179</v>
      </c>
      <c r="D1897" s="44">
        <v>45763</v>
      </c>
      <c r="E1897" s="45">
        <v>18</v>
      </c>
    </row>
    <row r="1898" spans="2:5">
      <c r="B1898" s="43" t="s">
        <v>48</v>
      </c>
      <c r="C1898" s="43" t="s">
        <v>49</v>
      </c>
      <c r="D1898" s="44">
        <v>45763</v>
      </c>
      <c r="E1898" s="45">
        <v>91.2</v>
      </c>
    </row>
    <row r="1899" spans="2:5">
      <c r="B1899" s="43" t="s">
        <v>14</v>
      </c>
      <c r="C1899" s="43" t="s">
        <v>15</v>
      </c>
      <c r="D1899" s="44">
        <v>45763</v>
      </c>
      <c r="E1899" s="45">
        <v>364.5</v>
      </c>
    </row>
    <row r="1900" spans="2:5">
      <c r="B1900" s="43" t="s">
        <v>50</v>
      </c>
      <c r="C1900" s="43" t="s">
        <v>51</v>
      </c>
      <c r="D1900" s="44">
        <v>45763</v>
      </c>
      <c r="E1900" s="45">
        <v>340</v>
      </c>
    </row>
    <row r="1901" spans="2:5">
      <c r="B1901" s="43" t="s">
        <v>144</v>
      </c>
      <c r="C1901" s="43" t="s">
        <v>145</v>
      </c>
      <c r="D1901" s="44">
        <v>45763</v>
      </c>
      <c r="E1901" s="45">
        <v>388.8</v>
      </c>
    </row>
    <row r="1902" spans="2:5">
      <c r="B1902" s="43" t="s">
        <v>138</v>
      </c>
      <c r="C1902" s="43" t="s">
        <v>139</v>
      </c>
      <c r="D1902" s="44">
        <v>45763</v>
      </c>
      <c r="E1902" s="45">
        <v>95.1</v>
      </c>
    </row>
    <row r="1903" spans="2:5">
      <c r="B1903" s="43" t="s">
        <v>158</v>
      </c>
      <c r="C1903" s="43" t="s">
        <v>159</v>
      </c>
      <c r="D1903" s="44">
        <v>45763</v>
      </c>
      <c r="E1903" s="45">
        <v>25.5</v>
      </c>
    </row>
    <row r="1904" spans="2:5">
      <c r="B1904" s="43" t="s">
        <v>20</v>
      </c>
      <c r="C1904" s="43" t="s">
        <v>21</v>
      </c>
      <c r="D1904" s="44">
        <v>45763</v>
      </c>
      <c r="E1904" s="45">
        <v>98</v>
      </c>
    </row>
    <row r="1905" spans="2:5">
      <c r="B1905" s="43" t="s">
        <v>22</v>
      </c>
      <c r="C1905" s="43" t="s">
        <v>23</v>
      </c>
      <c r="D1905" s="44">
        <v>45763</v>
      </c>
      <c r="E1905" s="45">
        <v>163.2</v>
      </c>
    </row>
    <row r="1906" spans="2:5">
      <c r="B1906" s="43" t="s">
        <v>24</v>
      </c>
      <c r="C1906" s="43" t="s">
        <v>25</v>
      </c>
      <c r="D1906" s="44">
        <v>45763</v>
      </c>
      <c r="E1906" s="45">
        <v>2162.4</v>
      </c>
    </row>
    <row r="1907" spans="2:5">
      <c r="B1907" s="43" t="s">
        <v>26</v>
      </c>
      <c r="C1907" s="43" t="s">
        <v>27</v>
      </c>
      <c r="D1907" s="44">
        <v>45763</v>
      </c>
      <c r="E1907" s="45">
        <v>2705.7</v>
      </c>
    </row>
    <row r="1908" spans="2:5">
      <c r="B1908" s="43" t="s">
        <v>28</v>
      </c>
      <c r="C1908" s="43" t="s">
        <v>29</v>
      </c>
      <c r="D1908" s="44">
        <v>45763</v>
      </c>
      <c r="E1908" s="45">
        <v>501.2</v>
      </c>
    </row>
    <row r="1909" spans="2:5">
      <c r="B1909" s="43" t="s">
        <v>62</v>
      </c>
      <c r="C1909" s="43" t="s">
        <v>63</v>
      </c>
      <c r="D1909" s="44">
        <v>45763</v>
      </c>
      <c r="E1909" s="45">
        <v>287</v>
      </c>
    </row>
    <row r="1910" spans="2:5">
      <c r="B1910" s="43" t="s">
        <v>64</v>
      </c>
      <c r="C1910" s="43" t="s">
        <v>65</v>
      </c>
      <c r="D1910" s="44">
        <v>45763</v>
      </c>
      <c r="E1910" s="45">
        <v>820</v>
      </c>
    </row>
    <row r="1911" spans="2:5">
      <c r="B1911" s="43" t="s">
        <v>172</v>
      </c>
      <c r="C1911" s="43" t="s">
        <v>173</v>
      </c>
      <c r="D1911" s="44">
        <v>45763</v>
      </c>
      <c r="E1911" s="45">
        <v>22.55</v>
      </c>
    </row>
    <row r="1912" spans="2:5">
      <c r="B1912" s="43" t="s">
        <v>150</v>
      </c>
      <c r="C1912" s="43" t="s">
        <v>151</v>
      </c>
      <c r="D1912" s="44">
        <v>45763</v>
      </c>
      <c r="E1912" s="45">
        <v>622.15</v>
      </c>
    </row>
    <row r="1913" spans="2:5">
      <c r="B1913" s="43" t="s">
        <v>96</v>
      </c>
      <c r="C1913" s="43" t="s">
        <v>97</v>
      </c>
      <c r="D1913" s="44">
        <v>45763</v>
      </c>
      <c r="E1913" s="45">
        <v>5</v>
      </c>
    </row>
    <row r="1914" spans="2:5">
      <c r="B1914" s="43" t="s">
        <v>32</v>
      </c>
      <c r="C1914" s="43" t="s">
        <v>33</v>
      </c>
      <c r="D1914" s="44">
        <v>45763</v>
      </c>
      <c r="E1914" s="45">
        <v>8</v>
      </c>
    </row>
    <row r="1915" spans="2:5">
      <c r="B1915" s="43" t="s">
        <v>36</v>
      </c>
      <c r="C1915" s="43" t="s">
        <v>37</v>
      </c>
      <c r="D1915" s="44">
        <v>45763</v>
      </c>
      <c r="E1915" s="45">
        <v>24</v>
      </c>
    </row>
    <row r="1916" spans="2:5">
      <c r="B1916" s="43" t="s">
        <v>38</v>
      </c>
      <c r="C1916" s="43" t="s">
        <v>39</v>
      </c>
      <c r="D1916" s="44">
        <v>45763</v>
      </c>
      <c r="E1916" s="45">
        <v>8</v>
      </c>
    </row>
    <row r="1917" spans="2:5">
      <c r="B1917" s="43" t="s">
        <v>4</v>
      </c>
      <c r="C1917" s="43" t="s">
        <v>5</v>
      </c>
      <c r="D1917" s="44">
        <v>45764</v>
      </c>
      <c r="E1917" s="45">
        <v>247.9</v>
      </c>
    </row>
    <row r="1918" spans="2:5">
      <c r="B1918" s="43" t="s">
        <v>8</v>
      </c>
      <c r="C1918" s="43" t="s">
        <v>9</v>
      </c>
      <c r="D1918" s="44">
        <v>45764</v>
      </c>
      <c r="E1918" s="45">
        <v>582.9</v>
      </c>
    </row>
    <row r="1919" spans="2:5">
      <c r="B1919" s="43" t="s">
        <v>72</v>
      </c>
      <c r="C1919" s="43" t="s">
        <v>73</v>
      </c>
      <c r="D1919" s="44">
        <v>45764</v>
      </c>
      <c r="E1919" s="45">
        <v>377.4</v>
      </c>
    </row>
    <row r="1920" spans="2:5">
      <c r="B1920" s="43" t="s">
        <v>46</v>
      </c>
      <c r="C1920" s="43" t="s">
        <v>47</v>
      </c>
      <c r="D1920" s="44">
        <v>45764</v>
      </c>
      <c r="E1920" s="45">
        <v>305.1</v>
      </c>
    </row>
    <row r="1921" spans="2:5">
      <c r="B1921" s="43" t="s">
        <v>10</v>
      </c>
      <c r="C1921" s="43" t="s">
        <v>11</v>
      </c>
      <c r="D1921" s="44">
        <v>45764</v>
      </c>
      <c r="E1921" s="45">
        <v>33.15</v>
      </c>
    </row>
    <row r="1922" spans="2:5">
      <c r="B1922" s="43" t="s">
        <v>74</v>
      </c>
      <c r="C1922" s="43" t="s">
        <v>75</v>
      </c>
      <c r="D1922" s="44">
        <v>45764</v>
      </c>
      <c r="E1922" s="45">
        <v>460.65</v>
      </c>
    </row>
    <row r="1923" spans="2:5">
      <c r="B1923" s="43" t="s">
        <v>12</v>
      </c>
      <c r="C1923" s="43" t="s">
        <v>13</v>
      </c>
      <c r="D1923" s="44">
        <v>45764</v>
      </c>
      <c r="E1923" s="45">
        <v>441.6</v>
      </c>
    </row>
    <row r="1924" spans="2:5">
      <c r="B1924" s="43" t="s">
        <v>178</v>
      </c>
      <c r="C1924" s="43" t="s">
        <v>179</v>
      </c>
      <c r="D1924" s="44">
        <v>45764</v>
      </c>
      <c r="E1924" s="45">
        <v>90</v>
      </c>
    </row>
    <row r="1925" spans="2:5">
      <c r="B1925" s="43" t="s">
        <v>20</v>
      </c>
      <c r="C1925" s="43" t="s">
        <v>21</v>
      </c>
      <c r="D1925" s="44">
        <v>45764</v>
      </c>
      <c r="E1925" s="45">
        <v>68.6</v>
      </c>
    </row>
    <row r="1926" spans="2:5">
      <c r="B1926" s="43" t="s">
        <v>22</v>
      </c>
      <c r="C1926" s="43" t="s">
        <v>23</v>
      </c>
      <c r="D1926" s="44">
        <v>45764</v>
      </c>
      <c r="E1926" s="45">
        <v>9.6</v>
      </c>
    </row>
    <row r="1927" spans="2:5">
      <c r="B1927" s="43" t="s">
        <v>140</v>
      </c>
      <c r="C1927" s="43" t="s">
        <v>141</v>
      </c>
      <c r="D1927" s="44">
        <v>45764</v>
      </c>
      <c r="E1927" s="45">
        <v>116</v>
      </c>
    </row>
    <row r="1928" spans="2:5">
      <c r="B1928" s="43" t="s">
        <v>80</v>
      </c>
      <c r="C1928" s="43" t="s">
        <v>81</v>
      </c>
      <c r="D1928" s="44">
        <v>45764</v>
      </c>
      <c r="E1928" s="45">
        <v>200.9</v>
      </c>
    </row>
    <row r="1929" spans="2:5">
      <c r="B1929" s="43" t="s">
        <v>24</v>
      </c>
      <c r="C1929" s="43" t="s">
        <v>25</v>
      </c>
      <c r="D1929" s="44">
        <v>45764</v>
      </c>
      <c r="E1929" s="45">
        <v>2750.7</v>
      </c>
    </row>
    <row r="1930" spans="2:5">
      <c r="B1930" s="43" t="s">
        <v>26</v>
      </c>
      <c r="C1930" s="43" t="s">
        <v>27</v>
      </c>
      <c r="D1930" s="44">
        <v>45764</v>
      </c>
      <c r="E1930" s="45">
        <v>777.5</v>
      </c>
    </row>
    <row r="1931" spans="2:5">
      <c r="B1931" s="43" t="s">
        <v>110</v>
      </c>
      <c r="C1931" s="43" t="s">
        <v>111</v>
      </c>
      <c r="D1931" s="44">
        <v>45764</v>
      </c>
      <c r="E1931" s="45">
        <v>82.5</v>
      </c>
    </row>
    <row r="1932" spans="2:5">
      <c r="B1932" s="43" t="s">
        <v>60</v>
      </c>
      <c r="C1932" s="43" t="s">
        <v>61</v>
      </c>
      <c r="D1932" s="44">
        <v>45764</v>
      </c>
      <c r="E1932" s="45">
        <v>549</v>
      </c>
    </row>
    <row r="1933" spans="2:5">
      <c r="B1933" s="43" t="s">
        <v>28</v>
      </c>
      <c r="C1933" s="43" t="s">
        <v>29</v>
      </c>
      <c r="D1933" s="44">
        <v>45764</v>
      </c>
      <c r="E1933" s="45">
        <v>196.9</v>
      </c>
    </row>
    <row r="1934" spans="2:5">
      <c r="B1934" s="43" t="s">
        <v>62</v>
      </c>
      <c r="C1934" s="43" t="s">
        <v>63</v>
      </c>
      <c r="D1934" s="44">
        <v>45764</v>
      </c>
      <c r="E1934" s="45">
        <v>102.5</v>
      </c>
    </row>
    <row r="1935" spans="2:5">
      <c r="B1935" s="43" t="s">
        <v>64</v>
      </c>
      <c r="C1935" s="43" t="s">
        <v>65</v>
      </c>
      <c r="D1935" s="44">
        <v>45764</v>
      </c>
      <c r="E1935" s="45">
        <v>620</v>
      </c>
    </row>
    <row r="1936" spans="2:5">
      <c r="B1936" s="43" t="s">
        <v>198</v>
      </c>
      <c r="C1936" s="43" t="s">
        <v>199</v>
      </c>
      <c r="D1936" s="44">
        <v>45764</v>
      </c>
      <c r="E1936" s="45">
        <v>277.2</v>
      </c>
    </row>
    <row r="1937" spans="2:5">
      <c r="B1937" s="43" t="s">
        <v>172</v>
      </c>
      <c r="C1937" s="43" t="s">
        <v>173</v>
      </c>
      <c r="D1937" s="44">
        <v>45764</v>
      </c>
      <c r="E1937" s="45">
        <v>67.65</v>
      </c>
    </row>
    <row r="1938" spans="2:5">
      <c r="B1938" s="43" t="s">
        <v>84</v>
      </c>
      <c r="C1938" s="43" t="s">
        <v>85</v>
      </c>
      <c r="D1938" s="44">
        <v>45764</v>
      </c>
      <c r="E1938" s="45">
        <v>24.95</v>
      </c>
    </row>
    <row r="1939" spans="2:5">
      <c r="B1939" s="43" t="s">
        <v>30</v>
      </c>
      <c r="C1939" s="43" t="s">
        <v>31</v>
      </c>
      <c r="D1939" s="44">
        <v>45764</v>
      </c>
      <c r="E1939" s="45">
        <v>15</v>
      </c>
    </row>
    <row r="1940" spans="2:5">
      <c r="B1940" s="43" t="s">
        <v>196</v>
      </c>
      <c r="C1940" s="43" t="s">
        <v>197</v>
      </c>
      <c r="D1940" s="44">
        <v>45764</v>
      </c>
      <c r="E1940" s="45">
        <v>6</v>
      </c>
    </row>
    <row r="1941" spans="2:5">
      <c r="B1941" s="43" t="s">
        <v>96</v>
      </c>
      <c r="C1941" s="43" t="s">
        <v>97</v>
      </c>
      <c r="D1941" s="44">
        <v>45764</v>
      </c>
      <c r="E1941" s="45">
        <v>21</v>
      </c>
    </row>
    <row r="1942" spans="2:5">
      <c r="B1942" s="43" t="s">
        <v>32</v>
      </c>
      <c r="C1942" s="43" t="s">
        <v>33</v>
      </c>
      <c r="D1942" s="44">
        <v>45764</v>
      </c>
      <c r="E1942" s="45">
        <v>22</v>
      </c>
    </row>
    <row r="1943" spans="2:5">
      <c r="B1943" s="43" t="s">
        <v>34</v>
      </c>
      <c r="C1943" s="43" t="s">
        <v>35</v>
      </c>
      <c r="D1943" s="44">
        <v>45764</v>
      </c>
      <c r="E1943" s="45">
        <v>8</v>
      </c>
    </row>
    <row r="1944" spans="2:5">
      <c r="B1944" s="43" t="s">
        <v>170</v>
      </c>
      <c r="C1944" s="43" t="s">
        <v>171</v>
      </c>
      <c r="D1944" s="44">
        <v>45764</v>
      </c>
      <c r="E1944" s="45">
        <v>4</v>
      </c>
    </row>
    <row r="1945" spans="2:5">
      <c r="B1945" s="43" t="s">
        <v>36</v>
      </c>
      <c r="C1945" s="43" t="s">
        <v>37</v>
      </c>
      <c r="D1945" s="44">
        <v>45764</v>
      </c>
      <c r="E1945" s="45">
        <v>2</v>
      </c>
    </row>
    <row r="1946" spans="2:5">
      <c r="B1946" s="43" t="s">
        <v>4</v>
      </c>
      <c r="C1946" s="43" t="s">
        <v>5</v>
      </c>
      <c r="D1946" s="44">
        <v>45769</v>
      </c>
      <c r="E1946" s="45">
        <v>33.5</v>
      </c>
    </row>
    <row r="1947" spans="2:5">
      <c r="B1947" s="43" t="s">
        <v>6</v>
      </c>
      <c r="C1947" s="43" t="s">
        <v>7</v>
      </c>
      <c r="D1947" s="44">
        <v>45769</v>
      </c>
      <c r="E1947" s="45">
        <v>19.65</v>
      </c>
    </row>
    <row r="1948" spans="2:5">
      <c r="B1948" s="43" t="s">
        <v>8</v>
      </c>
      <c r="C1948" s="43" t="s">
        <v>9</v>
      </c>
      <c r="D1948" s="44">
        <v>45769</v>
      </c>
      <c r="E1948" s="45">
        <v>69.6</v>
      </c>
    </row>
    <row r="1949" spans="2:5">
      <c r="B1949" s="43" t="s">
        <v>44</v>
      </c>
      <c r="C1949" s="43" t="s">
        <v>45</v>
      </c>
      <c r="D1949" s="44">
        <v>45769</v>
      </c>
      <c r="E1949" s="45">
        <v>59.5</v>
      </c>
    </row>
    <row r="1950" spans="2:5">
      <c r="B1950" s="43" t="s">
        <v>46</v>
      </c>
      <c r="C1950" s="43" t="s">
        <v>47</v>
      </c>
      <c r="D1950" s="44">
        <v>45769</v>
      </c>
      <c r="E1950" s="45">
        <v>531.1</v>
      </c>
    </row>
    <row r="1951" spans="2:5">
      <c r="B1951" s="43" t="s">
        <v>74</v>
      </c>
      <c r="C1951" s="43" t="s">
        <v>75</v>
      </c>
      <c r="D1951" s="44">
        <v>45769</v>
      </c>
      <c r="E1951" s="45">
        <v>124.5</v>
      </c>
    </row>
    <row r="1952" spans="2:5">
      <c r="B1952" s="43" t="s">
        <v>12</v>
      </c>
      <c r="C1952" s="43" t="s">
        <v>13</v>
      </c>
      <c r="D1952" s="44">
        <v>45769</v>
      </c>
      <c r="E1952" s="45">
        <v>510.6</v>
      </c>
    </row>
    <row r="1953" spans="2:5">
      <c r="B1953" s="43" t="s">
        <v>14</v>
      </c>
      <c r="C1953" s="43" t="s">
        <v>15</v>
      </c>
      <c r="D1953" s="44">
        <v>45769</v>
      </c>
      <c r="E1953" s="45">
        <v>675</v>
      </c>
    </row>
    <row r="1954" spans="2:5">
      <c r="B1954" s="43" t="s">
        <v>138</v>
      </c>
      <c r="C1954" s="43" t="s">
        <v>139</v>
      </c>
      <c r="D1954" s="44">
        <v>45769</v>
      </c>
      <c r="E1954" s="45">
        <v>253.6</v>
      </c>
    </row>
    <row r="1955" spans="2:5">
      <c r="B1955" s="43" t="s">
        <v>76</v>
      </c>
      <c r="C1955" s="43" t="s">
        <v>77</v>
      </c>
      <c r="D1955" s="44">
        <v>45769</v>
      </c>
      <c r="E1955" s="45">
        <v>247.1</v>
      </c>
    </row>
    <row r="1956" spans="2:5">
      <c r="B1956" s="43" t="s">
        <v>158</v>
      </c>
      <c r="C1956" s="43" t="s">
        <v>159</v>
      </c>
      <c r="D1956" s="44">
        <v>45769</v>
      </c>
      <c r="E1956" s="45">
        <v>153</v>
      </c>
    </row>
    <row r="1957" spans="2:5">
      <c r="B1957" s="43" t="s">
        <v>20</v>
      </c>
      <c r="C1957" s="43" t="s">
        <v>21</v>
      </c>
      <c r="D1957" s="44">
        <v>45769</v>
      </c>
      <c r="E1957" s="45">
        <v>9.8</v>
      </c>
    </row>
    <row r="1958" spans="2:5">
      <c r="B1958" s="43" t="s">
        <v>22</v>
      </c>
      <c r="C1958" s="43" t="s">
        <v>23</v>
      </c>
      <c r="D1958" s="44">
        <v>45769</v>
      </c>
      <c r="E1958" s="45">
        <v>19.2</v>
      </c>
    </row>
    <row r="1959" spans="2:5">
      <c r="B1959" s="43" t="s">
        <v>24</v>
      </c>
      <c r="C1959" s="43" t="s">
        <v>25</v>
      </c>
      <c r="D1959" s="44">
        <v>45769</v>
      </c>
      <c r="E1959" s="45">
        <v>1287.9</v>
      </c>
    </row>
    <row r="1960" spans="2:5">
      <c r="B1960" s="43" t="s">
        <v>58</v>
      </c>
      <c r="C1960" s="43" t="s">
        <v>59</v>
      </c>
      <c r="D1960" s="44">
        <v>45769</v>
      </c>
      <c r="E1960" s="45">
        <v>531</v>
      </c>
    </row>
    <row r="1961" spans="2:5">
      <c r="B1961" s="43" t="s">
        <v>26</v>
      </c>
      <c r="C1961" s="43" t="s">
        <v>27</v>
      </c>
      <c r="D1961" s="44">
        <v>45769</v>
      </c>
      <c r="E1961" s="45">
        <v>513.15</v>
      </c>
    </row>
    <row r="1962" spans="2:5">
      <c r="B1962" s="43" t="s">
        <v>62</v>
      </c>
      <c r="C1962" s="43" t="s">
        <v>63</v>
      </c>
      <c r="D1962" s="44">
        <v>45769</v>
      </c>
      <c r="E1962" s="45">
        <v>1640</v>
      </c>
    </row>
    <row r="1963" spans="2:5">
      <c r="B1963" s="43" t="s">
        <v>64</v>
      </c>
      <c r="C1963" s="43" t="s">
        <v>65</v>
      </c>
      <c r="D1963" s="44">
        <v>45769</v>
      </c>
      <c r="E1963" s="45">
        <v>40</v>
      </c>
    </row>
    <row r="1964" spans="2:5">
      <c r="B1964" s="43" t="s">
        <v>132</v>
      </c>
      <c r="C1964" s="43" t="s">
        <v>133</v>
      </c>
      <c r="D1964" s="44">
        <v>45769</v>
      </c>
      <c r="E1964" s="45">
        <v>92.7</v>
      </c>
    </row>
    <row r="1965" spans="2:5">
      <c r="B1965" s="43" t="s">
        <v>150</v>
      </c>
      <c r="C1965" s="43" t="s">
        <v>151</v>
      </c>
      <c r="D1965" s="44">
        <v>45769</v>
      </c>
      <c r="E1965" s="45">
        <v>27.05</v>
      </c>
    </row>
    <row r="1966" spans="2:5">
      <c r="B1966" s="43" t="s">
        <v>142</v>
      </c>
      <c r="C1966" s="43" t="s">
        <v>143</v>
      </c>
      <c r="D1966" s="44">
        <v>45769</v>
      </c>
      <c r="E1966" s="45">
        <v>7</v>
      </c>
    </row>
    <row r="1967" spans="2:5">
      <c r="B1967" s="43" t="s">
        <v>30</v>
      </c>
      <c r="C1967" s="43" t="s">
        <v>31</v>
      </c>
      <c r="D1967" s="44">
        <v>45769</v>
      </c>
      <c r="E1967" s="45">
        <v>22</v>
      </c>
    </row>
    <row r="1968" spans="2:5">
      <c r="B1968" s="43" t="s">
        <v>96</v>
      </c>
      <c r="C1968" s="43" t="s">
        <v>97</v>
      </c>
      <c r="D1968" s="44">
        <v>45769</v>
      </c>
      <c r="E1968" s="45">
        <v>14</v>
      </c>
    </row>
    <row r="1969" spans="2:5">
      <c r="B1969" s="43" t="s">
        <v>32</v>
      </c>
      <c r="C1969" s="43" t="s">
        <v>33</v>
      </c>
      <c r="D1969" s="44">
        <v>45769</v>
      </c>
      <c r="E1969" s="45">
        <v>5</v>
      </c>
    </row>
    <row r="1970" spans="2:5">
      <c r="B1970" s="43" t="s">
        <v>34</v>
      </c>
      <c r="C1970" s="43" t="s">
        <v>35</v>
      </c>
      <c r="D1970" s="44">
        <v>45769</v>
      </c>
      <c r="E1970" s="45">
        <v>12</v>
      </c>
    </row>
    <row r="1971" spans="2:5">
      <c r="B1971" s="43" t="s">
        <v>4</v>
      </c>
      <c r="C1971" s="43" t="s">
        <v>5</v>
      </c>
      <c r="D1971" s="44">
        <v>45770</v>
      </c>
      <c r="E1971" s="45">
        <v>46.9</v>
      </c>
    </row>
    <row r="1972" spans="2:5">
      <c r="B1972" s="43" t="s">
        <v>8</v>
      </c>
      <c r="C1972" s="43" t="s">
        <v>9</v>
      </c>
      <c r="D1972" s="44">
        <v>45770</v>
      </c>
      <c r="E1972" s="45">
        <v>121.8</v>
      </c>
    </row>
    <row r="1973" spans="2:5">
      <c r="B1973" s="43" t="s">
        <v>46</v>
      </c>
      <c r="C1973" s="43" t="s">
        <v>47</v>
      </c>
      <c r="D1973" s="44">
        <v>45770</v>
      </c>
      <c r="E1973" s="45">
        <v>248.6</v>
      </c>
    </row>
    <row r="1974" spans="2:5">
      <c r="B1974" s="43" t="s">
        <v>12</v>
      </c>
      <c r="C1974" s="43" t="s">
        <v>13</v>
      </c>
      <c r="D1974" s="44">
        <v>45770</v>
      </c>
      <c r="E1974" s="45">
        <v>331.2</v>
      </c>
    </row>
    <row r="1975" spans="2:5">
      <c r="B1975" s="43" t="s">
        <v>178</v>
      </c>
      <c r="C1975" s="43" t="s">
        <v>179</v>
      </c>
      <c r="D1975" s="44">
        <v>45770</v>
      </c>
      <c r="E1975" s="45">
        <v>288</v>
      </c>
    </row>
    <row r="1976" spans="2:5">
      <c r="B1976" s="43" t="s">
        <v>48</v>
      </c>
      <c r="C1976" s="43" t="s">
        <v>49</v>
      </c>
      <c r="D1976" s="44">
        <v>45770</v>
      </c>
      <c r="E1976" s="45">
        <v>91.2</v>
      </c>
    </row>
    <row r="1977" spans="2:5">
      <c r="B1977" s="43" t="s">
        <v>50</v>
      </c>
      <c r="C1977" s="43" t="s">
        <v>51</v>
      </c>
      <c r="D1977" s="44">
        <v>45770</v>
      </c>
      <c r="E1977" s="45">
        <v>68</v>
      </c>
    </row>
    <row r="1978" spans="2:5">
      <c r="B1978" s="43" t="s">
        <v>56</v>
      </c>
      <c r="C1978" s="43" t="s">
        <v>57</v>
      </c>
      <c r="D1978" s="44">
        <v>45770</v>
      </c>
      <c r="E1978" s="45">
        <v>72.4</v>
      </c>
    </row>
    <row r="1979" spans="2:5">
      <c r="B1979" s="43" t="s">
        <v>126</v>
      </c>
      <c r="C1979" s="43" t="s">
        <v>127</v>
      </c>
      <c r="D1979" s="44">
        <v>45770</v>
      </c>
      <c r="E1979" s="45">
        <v>236</v>
      </c>
    </row>
    <row r="1980" spans="2:5">
      <c r="B1980" s="43" t="s">
        <v>204</v>
      </c>
      <c r="C1980" s="43" t="s">
        <v>205</v>
      </c>
      <c r="D1980" s="44">
        <v>45770</v>
      </c>
      <c r="E1980" s="45">
        <v>400</v>
      </c>
    </row>
    <row r="1981" spans="2:5">
      <c r="B1981" s="43" t="s">
        <v>16</v>
      </c>
      <c r="C1981" s="43" t="s">
        <v>17</v>
      </c>
      <c r="D1981" s="44">
        <v>45770</v>
      </c>
      <c r="E1981" s="45">
        <v>45.6</v>
      </c>
    </row>
    <row r="1982" spans="2:5">
      <c r="B1982" s="43" t="s">
        <v>158</v>
      </c>
      <c r="C1982" s="43" t="s">
        <v>159</v>
      </c>
      <c r="D1982" s="44">
        <v>45770</v>
      </c>
      <c r="E1982" s="45">
        <v>255</v>
      </c>
    </row>
    <row r="1983" spans="2:5">
      <c r="B1983" s="43" t="s">
        <v>128</v>
      </c>
      <c r="C1983" s="43" t="s">
        <v>129</v>
      </c>
      <c r="D1983" s="44">
        <v>45770</v>
      </c>
      <c r="E1983" s="45">
        <v>59.6</v>
      </c>
    </row>
    <row r="1984" spans="2:5">
      <c r="B1984" s="43" t="s">
        <v>20</v>
      </c>
      <c r="C1984" s="43" t="s">
        <v>21</v>
      </c>
      <c r="D1984" s="44">
        <v>45770</v>
      </c>
      <c r="E1984" s="45">
        <v>176.4</v>
      </c>
    </row>
    <row r="1985" spans="2:5">
      <c r="B1985" s="43" t="s">
        <v>24</v>
      </c>
      <c r="C1985" s="43" t="s">
        <v>25</v>
      </c>
      <c r="D1985" s="44">
        <v>45770</v>
      </c>
      <c r="E1985" s="45">
        <v>1558.2</v>
      </c>
    </row>
    <row r="1986" spans="2:5">
      <c r="B1986" s="43" t="s">
        <v>26</v>
      </c>
      <c r="C1986" s="43" t="s">
        <v>27</v>
      </c>
      <c r="D1986" s="44">
        <v>45770</v>
      </c>
      <c r="E1986" s="45">
        <v>171.05</v>
      </c>
    </row>
    <row r="1987" spans="2:5">
      <c r="B1987" s="43" t="s">
        <v>62</v>
      </c>
      <c r="C1987" s="43" t="s">
        <v>63</v>
      </c>
      <c r="D1987" s="44">
        <v>45770</v>
      </c>
      <c r="E1987" s="45">
        <v>717.5</v>
      </c>
    </row>
    <row r="1988" spans="2:5">
      <c r="B1988" s="43" t="s">
        <v>64</v>
      </c>
      <c r="C1988" s="43" t="s">
        <v>65</v>
      </c>
      <c r="D1988" s="44">
        <v>45770</v>
      </c>
      <c r="E1988" s="45">
        <v>60</v>
      </c>
    </row>
    <row r="1989" spans="2:5">
      <c r="B1989" s="43" t="s">
        <v>198</v>
      </c>
      <c r="C1989" s="43" t="s">
        <v>199</v>
      </c>
      <c r="D1989" s="44">
        <v>45770</v>
      </c>
      <c r="E1989" s="45">
        <v>23.1</v>
      </c>
    </row>
    <row r="1990" spans="2:5">
      <c r="B1990" s="43" t="s">
        <v>132</v>
      </c>
      <c r="C1990" s="43" t="s">
        <v>133</v>
      </c>
      <c r="D1990" s="44">
        <v>45770</v>
      </c>
      <c r="E1990" s="45">
        <v>30.9</v>
      </c>
    </row>
    <row r="1991" spans="2:5">
      <c r="B1991" s="43" t="s">
        <v>96</v>
      </c>
      <c r="C1991" s="43" t="s">
        <v>97</v>
      </c>
      <c r="D1991" s="44">
        <v>45770</v>
      </c>
      <c r="E1991" s="45">
        <v>360</v>
      </c>
    </row>
    <row r="1992" spans="2:5">
      <c r="B1992" s="43" t="s">
        <v>32</v>
      </c>
      <c r="C1992" s="43" t="s">
        <v>33</v>
      </c>
      <c r="D1992" s="44">
        <v>45770</v>
      </c>
      <c r="E1992" s="45">
        <v>8</v>
      </c>
    </row>
    <row r="1993" spans="2:5">
      <c r="B1993" s="43" t="s">
        <v>34</v>
      </c>
      <c r="C1993" s="43" t="s">
        <v>35</v>
      </c>
      <c r="D1993" s="44">
        <v>45770</v>
      </c>
      <c r="E1993" s="45">
        <v>23</v>
      </c>
    </row>
    <row r="1994" spans="2:5">
      <c r="B1994" s="43" t="s">
        <v>36</v>
      </c>
      <c r="C1994" s="43" t="s">
        <v>37</v>
      </c>
      <c r="D1994" s="44">
        <v>45770</v>
      </c>
      <c r="E1994" s="45">
        <v>4</v>
      </c>
    </row>
    <row r="1995" spans="2:5">
      <c r="B1995" s="43" t="s">
        <v>38</v>
      </c>
      <c r="C1995" s="43" t="s">
        <v>39</v>
      </c>
      <c r="D1995" s="44">
        <v>45770</v>
      </c>
      <c r="E1995" s="45">
        <v>30</v>
      </c>
    </row>
    <row r="1996" spans="2:5">
      <c r="B1996" s="43" t="s">
        <v>6</v>
      </c>
      <c r="C1996" s="43" t="s">
        <v>7</v>
      </c>
      <c r="D1996" s="44">
        <v>45771</v>
      </c>
      <c r="E1996" s="45">
        <v>26.2</v>
      </c>
    </row>
    <row r="1997" spans="2:5">
      <c r="B1997" s="43" t="s">
        <v>8</v>
      </c>
      <c r="C1997" s="43" t="s">
        <v>9</v>
      </c>
      <c r="D1997" s="44">
        <v>45771</v>
      </c>
      <c r="E1997" s="45">
        <v>26.1</v>
      </c>
    </row>
    <row r="1998" spans="2:5">
      <c r="B1998" s="43" t="s">
        <v>44</v>
      </c>
      <c r="C1998" s="43" t="s">
        <v>45</v>
      </c>
      <c r="D1998" s="44">
        <v>45771</v>
      </c>
      <c r="E1998" s="45">
        <v>59.5</v>
      </c>
    </row>
    <row r="1999" spans="2:5">
      <c r="B1999" s="43" t="s">
        <v>46</v>
      </c>
      <c r="C1999" s="43" t="s">
        <v>47</v>
      </c>
      <c r="D1999" s="44">
        <v>45771</v>
      </c>
      <c r="E1999" s="45">
        <v>395.5</v>
      </c>
    </row>
    <row r="2000" spans="2:5">
      <c r="B2000" s="43" t="s">
        <v>10</v>
      </c>
      <c r="C2000" s="43" t="s">
        <v>11</v>
      </c>
      <c r="D2000" s="44">
        <v>45771</v>
      </c>
      <c r="E2000" s="45">
        <v>110.5</v>
      </c>
    </row>
    <row r="2001" spans="2:5">
      <c r="B2001" s="43" t="s">
        <v>12</v>
      </c>
      <c r="C2001" s="43" t="s">
        <v>13</v>
      </c>
      <c r="D2001" s="44">
        <v>45771</v>
      </c>
      <c r="E2001" s="45">
        <v>469.2</v>
      </c>
    </row>
    <row r="2002" spans="2:5">
      <c r="B2002" s="43" t="s">
        <v>14</v>
      </c>
      <c r="C2002" s="43" t="s">
        <v>15</v>
      </c>
      <c r="D2002" s="44">
        <v>45771</v>
      </c>
      <c r="E2002" s="45">
        <v>162</v>
      </c>
    </row>
    <row r="2003" spans="2:5">
      <c r="B2003" s="43" t="s">
        <v>56</v>
      </c>
      <c r="C2003" s="43" t="s">
        <v>57</v>
      </c>
      <c r="D2003" s="44">
        <v>45771</v>
      </c>
      <c r="E2003" s="45">
        <v>18.1</v>
      </c>
    </row>
    <row r="2004" spans="2:5">
      <c r="B2004" s="43" t="s">
        <v>20</v>
      </c>
      <c r="C2004" s="43" t="s">
        <v>21</v>
      </c>
      <c r="D2004" s="44">
        <v>45771</v>
      </c>
      <c r="E2004" s="45">
        <v>68.6</v>
      </c>
    </row>
    <row r="2005" spans="2:5">
      <c r="B2005" s="43" t="s">
        <v>22</v>
      </c>
      <c r="C2005" s="43" t="s">
        <v>23</v>
      </c>
      <c r="D2005" s="44">
        <v>45771</v>
      </c>
      <c r="E2005" s="45">
        <v>220.8</v>
      </c>
    </row>
    <row r="2006" spans="2:5">
      <c r="B2006" s="43" t="s">
        <v>24</v>
      </c>
      <c r="C2006" s="43" t="s">
        <v>25</v>
      </c>
      <c r="D2006" s="44">
        <v>45771</v>
      </c>
      <c r="E2006" s="45">
        <v>1367.4</v>
      </c>
    </row>
    <row r="2007" spans="2:5">
      <c r="B2007" s="43" t="s">
        <v>26</v>
      </c>
      <c r="C2007" s="43" t="s">
        <v>27</v>
      </c>
      <c r="D2007" s="44">
        <v>45771</v>
      </c>
      <c r="E2007" s="45">
        <v>2721.25</v>
      </c>
    </row>
    <row r="2008" spans="2:5">
      <c r="B2008" s="43" t="s">
        <v>28</v>
      </c>
      <c r="C2008" s="43" t="s">
        <v>29</v>
      </c>
      <c r="D2008" s="44">
        <v>45771</v>
      </c>
      <c r="E2008" s="45">
        <v>53.7</v>
      </c>
    </row>
    <row r="2009" spans="2:5">
      <c r="B2009" s="43" t="s">
        <v>62</v>
      </c>
      <c r="C2009" s="43" t="s">
        <v>63</v>
      </c>
      <c r="D2009" s="44">
        <v>45771</v>
      </c>
      <c r="E2009" s="45">
        <v>410</v>
      </c>
    </row>
    <row r="2010" spans="2:5">
      <c r="B2010" s="43" t="s">
        <v>64</v>
      </c>
      <c r="C2010" s="43" t="s">
        <v>65</v>
      </c>
      <c r="D2010" s="44">
        <v>45771</v>
      </c>
      <c r="E2010" s="45">
        <v>1000</v>
      </c>
    </row>
    <row r="2011" spans="2:5">
      <c r="B2011" s="43" t="s">
        <v>172</v>
      </c>
      <c r="C2011" s="43" t="s">
        <v>173</v>
      </c>
      <c r="D2011" s="44">
        <v>45771</v>
      </c>
      <c r="E2011" s="45">
        <v>112.75</v>
      </c>
    </row>
    <row r="2012" spans="2:5">
      <c r="B2012" s="43" t="s">
        <v>66</v>
      </c>
      <c r="C2012" s="43" t="s">
        <v>67</v>
      </c>
      <c r="D2012" s="44">
        <v>45771</v>
      </c>
      <c r="E2012" s="45">
        <v>110.8</v>
      </c>
    </row>
    <row r="2013" spans="2:5">
      <c r="B2013" s="43" t="s">
        <v>142</v>
      </c>
      <c r="C2013" s="43" t="s">
        <v>143</v>
      </c>
      <c r="D2013" s="44">
        <v>45771</v>
      </c>
      <c r="E2013" s="45">
        <v>10</v>
      </c>
    </row>
    <row r="2014" spans="2:5">
      <c r="B2014" s="43" t="s">
        <v>96</v>
      </c>
      <c r="C2014" s="43" t="s">
        <v>97</v>
      </c>
      <c r="D2014" s="44">
        <v>45771</v>
      </c>
      <c r="E2014" s="45">
        <v>40</v>
      </c>
    </row>
    <row r="2015" spans="2:5">
      <c r="B2015" s="43" t="s">
        <v>32</v>
      </c>
      <c r="C2015" s="43" t="s">
        <v>33</v>
      </c>
      <c r="D2015" s="44">
        <v>45771</v>
      </c>
      <c r="E2015" s="45">
        <v>10</v>
      </c>
    </row>
    <row r="2016" spans="2:5">
      <c r="B2016" s="43" t="s">
        <v>34</v>
      </c>
      <c r="C2016" s="43" t="s">
        <v>35</v>
      </c>
      <c r="D2016" s="44">
        <v>45771</v>
      </c>
      <c r="E2016" s="45">
        <v>4</v>
      </c>
    </row>
    <row r="2017" spans="2:5">
      <c r="B2017" s="43" t="s">
        <v>36</v>
      </c>
      <c r="C2017" s="43" t="s">
        <v>37</v>
      </c>
      <c r="D2017" s="44">
        <v>45771</v>
      </c>
      <c r="E2017" s="45">
        <v>2</v>
      </c>
    </row>
    <row r="2018" spans="2:5">
      <c r="B2018" s="43" t="s">
        <v>102</v>
      </c>
      <c r="C2018" s="43" t="s">
        <v>103</v>
      </c>
      <c r="D2018" s="44">
        <v>45772</v>
      </c>
      <c r="E2018" s="45">
        <v>1</v>
      </c>
    </row>
    <row r="2019" spans="2:5">
      <c r="B2019" s="43" t="s">
        <v>42</v>
      </c>
      <c r="C2019" s="43" t="s">
        <v>43</v>
      </c>
      <c r="D2019" s="44">
        <v>45772</v>
      </c>
      <c r="E2019" s="45">
        <v>326.7</v>
      </c>
    </row>
    <row r="2020" spans="2:5">
      <c r="B2020" s="43" t="s">
        <v>6</v>
      </c>
      <c r="C2020" s="43" t="s">
        <v>7</v>
      </c>
      <c r="D2020" s="44">
        <v>45772</v>
      </c>
      <c r="E2020" s="45">
        <v>301.3</v>
      </c>
    </row>
    <row r="2021" spans="2:5">
      <c r="B2021" s="43" t="s">
        <v>156</v>
      </c>
      <c r="C2021" s="43" t="s">
        <v>157</v>
      </c>
      <c r="D2021" s="44">
        <v>45772</v>
      </c>
      <c r="E2021" s="45">
        <v>397.8</v>
      </c>
    </row>
    <row r="2022" spans="2:5">
      <c r="B2022" s="43" t="s">
        <v>8</v>
      </c>
      <c r="C2022" s="43" t="s">
        <v>9</v>
      </c>
      <c r="D2022" s="44">
        <v>45772</v>
      </c>
      <c r="E2022" s="45">
        <v>130.5</v>
      </c>
    </row>
    <row r="2023" spans="2:5">
      <c r="B2023" s="43" t="s">
        <v>44</v>
      </c>
      <c r="C2023" s="43" t="s">
        <v>45</v>
      </c>
      <c r="D2023" s="44">
        <v>45772</v>
      </c>
      <c r="E2023" s="45">
        <v>306</v>
      </c>
    </row>
    <row r="2024" spans="2:5">
      <c r="B2024" s="43" t="s">
        <v>72</v>
      </c>
      <c r="C2024" s="43" t="s">
        <v>73</v>
      </c>
      <c r="D2024" s="44">
        <v>45772</v>
      </c>
      <c r="E2024" s="45">
        <v>153</v>
      </c>
    </row>
    <row r="2025" spans="2:5">
      <c r="B2025" s="43" t="s">
        <v>46</v>
      </c>
      <c r="C2025" s="43" t="s">
        <v>47</v>
      </c>
      <c r="D2025" s="44">
        <v>45772</v>
      </c>
      <c r="E2025" s="45">
        <v>22.6</v>
      </c>
    </row>
    <row r="2026" spans="2:5">
      <c r="B2026" s="43" t="s">
        <v>206</v>
      </c>
      <c r="C2026" s="43" t="s">
        <v>207</v>
      </c>
      <c r="D2026" s="44">
        <v>45772</v>
      </c>
      <c r="E2026" s="45">
        <v>20.2</v>
      </c>
    </row>
    <row r="2027" spans="2:5">
      <c r="B2027" s="43" t="s">
        <v>74</v>
      </c>
      <c r="C2027" s="43" t="s">
        <v>75</v>
      </c>
      <c r="D2027" s="44">
        <v>45772</v>
      </c>
      <c r="E2027" s="45">
        <v>174.3</v>
      </c>
    </row>
    <row r="2028" spans="2:5">
      <c r="B2028" s="43" t="s">
        <v>12</v>
      </c>
      <c r="C2028" s="43" t="s">
        <v>13</v>
      </c>
      <c r="D2028" s="44">
        <v>45772</v>
      </c>
      <c r="E2028" s="45">
        <v>13.8</v>
      </c>
    </row>
    <row r="2029" spans="2:5">
      <c r="B2029" s="43" t="s">
        <v>48</v>
      </c>
      <c r="C2029" s="43" t="s">
        <v>49</v>
      </c>
      <c r="D2029" s="44">
        <v>45772</v>
      </c>
      <c r="E2029" s="45">
        <v>364.8</v>
      </c>
    </row>
    <row r="2030" spans="2:5">
      <c r="B2030" s="43" t="s">
        <v>144</v>
      </c>
      <c r="C2030" s="43" t="s">
        <v>145</v>
      </c>
      <c r="D2030" s="44">
        <v>45772</v>
      </c>
      <c r="E2030" s="45">
        <v>259.2</v>
      </c>
    </row>
    <row r="2031" spans="2:5">
      <c r="B2031" s="43" t="s">
        <v>116</v>
      </c>
      <c r="C2031" s="43" t="s">
        <v>117</v>
      </c>
      <c r="D2031" s="44">
        <v>45772</v>
      </c>
      <c r="E2031" s="45">
        <v>32.6</v>
      </c>
    </row>
    <row r="2032" spans="2:5">
      <c r="B2032" s="43" t="s">
        <v>56</v>
      </c>
      <c r="C2032" s="43" t="s">
        <v>57</v>
      </c>
      <c r="D2032" s="44">
        <v>45772</v>
      </c>
      <c r="E2032" s="45">
        <v>36.2</v>
      </c>
    </row>
    <row r="2033" spans="2:5">
      <c r="B2033" s="43" t="s">
        <v>76</v>
      </c>
      <c r="C2033" s="43" t="s">
        <v>77</v>
      </c>
      <c r="D2033" s="44">
        <v>45772</v>
      </c>
      <c r="E2033" s="45">
        <v>282.4</v>
      </c>
    </row>
    <row r="2034" spans="2:5">
      <c r="B2034" s="43" t="s">
        <v>188</v>
      </c>
      <c r="C2034" s="43" t="s">
        <v>189</v>
      </c>
      <c r="D2034" s="44">
        <v>45772</v>
      </c>
      <c r="E2034" s="45">
        <v>41.2</v>
      </c>
    </row>
    <row r="2035" spans="2:5">
      <c r="B2035" s="43" t="s">
        <v>180</v>
      </c>
      <c r="C2035" s="43" t="s">
        <v>181</v>
      </c>
      <c r="D2035" s="44">
        <v>45772</v>
      </c>
      <c r="E2035" s="45">
        <v>268.8</v>
      </c>
    </row>
    <row r="2036" spans="2:5">
      <c r="B2036" s="43" t="s">
        <v>18</v>
      </c>
      <c r="C2036" s="43" t="s">
        <v>19</v>
      </c>
      <c r="D2036" s="44">
        <v>45772</v>
      </c>
      <c r="E2036" s="45">
        <v>66.75</v>
      </c>
    </row>
    <row r="2037" spans="2:5">
      <c r="B2037" s="43" t="s">
        <v>20</v>
      </c>
      <c r="C2037" s="43" t="s">
        <v>21</v>
      </c>
      <c r="D2037" s="44">
        <v>45772</v>
      </c>
      <c r="E2037" s="45">
        <v>98</v>
      </c>
    </row>
    <row r="2038" spans="2:5">
      <c r="B2038" s="43" t="s">
        <v>22</v>
      </c>
      <c r="C2038" s="43" t="s">
        <v>23</v>
      </c>
      <c r="D2038" s="44">
        <v>45772</v>
      </c>
      <c r="E2038" s="45">
        <v>38.4</v>
      </c>
    </row>
    <row r="2039" spans="2:5">
      <c r="B2039" s="43" t="s">
        <v>80</v>
      </c>
      <c r="C2039" s="43" t="s">
        <v>81</v>
      </c>
      <c r="D2039" s="44">
        <v>45772</v>
      </c>
      <c r="E2039" s="45">
        <v>674.45</v>
      </c>
    </row>
    <row r="2040" spans="2:5">
      <c r="B2040" s="43" t="s">
        <v>24</v>
      </c>
      <c r="C2040" s="43" t="s">
        <v>25</v>
      </c>
      <c r="D2040" s="44">
        <v>45772</v>
      </c>
      <c r="E2040" s="45">
        <v>508.8</v>
      </c>
    </row>
    <row r="2041" spans="2:5">
      <c r="B2041" s="43" t="s">
        <v>26</v>
      </c>
      <c r="C2041" s="43" t="s">
        <v>27</v>
      </c>
      <c r="D2041" s="44">
        <v>45772</v>
      </c>
      <c r="E2041" s="45">
        <v>4276.25</v>
      </c>
    </row>
    <row r="2042" spans="2:5">
      <c r="B2042" s="43" t="s">
        <v>110</v>
      </c>
      <c r="C2042" s="43" t="s">
        <v>111</v>
      </c>
      <c r="D2042" s="44">
        <v>45772</v>
      </c>
      <c r="E2042" s="45">
        <v>330</v>
      </c>
    </row>
    <row r="2043" spans="2:5">
      <c r="B2043" s="43" t="s">
        <v>28</v>
      </c>
      <c r="C2043" s="43" t="s">
        <v>29</v>
      </c>
      <c r="D2043" s="44">
        <v>45772</v>
      </c>
      <c r="E2043" s="45">
        <v>53.7</v>
      </c>
    </row>
    <row r="2044" spans="2:5">
      <c r="B2044" s="43" t="s">
        <v>62</v>
      </c>
      <c r="C2044" s="43" t="s">
        <v>63</v>
      </c>
      <c r="D2044" s="44">
        <v>45772</v>
      </c>
      <c r="E2044" s="45">
        <v>184.5</v>
      </c>
    </row>
    <row r="2045" spans="2:5">
      <c r="B2045" s="43" t="s">
        <v>64</v>
      </c>
      <c r="C2045" s="43" t="s">
        <v>65</v>
      </c>
      <c r="D2045" s="44">
        <v>45772</v>
      </c>
      <c r="E2045" s="45">
        <v>620</v>
      </c>
    </row>
    <row r="2046" spans="2:5">
      <c r="B2046" s="43" t="s">
        <v>150</v>
      </c>
      <c r="C2046" s="43" t="s">
        <v>151</v>
      </c>
      <c r="D2046" s="44">
        <v>45772</v>
      </c>
      <c r="E2046" s="45">
        <v>162.3</v>
      </c>
    </row>
    <row r="2047" spans="2:5">
      <c r="B2047" s="43" t="s">
        <v>124</v>
      </c>
      <c r="C2047" s="43" t="s">
        <v>125</v>
      </c>
      <c r="D2047" s="44">
        <v>45772</v>
      </c>
      <c r="E2047" s="45">
        <v>80.6</v>
      </c>
    </row>
    <row r="2048" spans="2:5">
      <c r="B2048" s="43" t="s">
        <v>142</v>
      </c>
      <c r="C2048" s="43" t="s">
        <v>143</v>
      </c>
      <c r="D2048" s="44">
        <v>45772</v>
      </c>
      <c r="E2048" s="45">
        <v>31</v>
      </c>
    </row>
    <row r="2049" spans="2:5">
      <c r="B2049" s="43" t="s">
        <v>96</v>
      </c>
      <c r="C2049" s="43" t="s">
        <v>97</v>
      </c>
      <c r="D2049" s="44">
        <v>45772</v>
      </c>
      <c r="E2049" s="45">
        <v>33</v>
      </c>
    </row>
    <row r="2050" spans="2:5">
      <c r="B2050" s="43" t="s">
        <v>98</v>
      </c>
      <c r="C2050" s="43" t="s">
        <v>99</v>
      </c>
      <c r="D2050" s="44">
        <v>45772</v>
      </c>
      <c r="E2050" s="45">
        <v>22</v>
      </c>
    </row>
    <row r="2051" spans="2:5">
      <c r="B2051" s="43" t="s">
        <v>34</v>
      </c>
      <c r="C2051" s="43" t="s">
        <v>35</v>
      </c>
      <c r="D2051" s="44">
        <v>45772</v>
      </c>
      <c r="E2051" s="45">
        <v>10</v>
      </c>
    </row>
    <row r="2052" spans="2:5">
      <c r="B2052" s="43" t="s">
        <v>36</v>
      </c>
      <c r="C2052" s="43" t="s">
        <v>37</v>
      </c>
      <c r="D2052" s="44">
        <v>45772</v>
      </c>
      <c r="E2052" s="45">
        <v>28</v>
      </c>
    </row>
    <row r="2053" spans="2:5">
      <c r="B2053" s="43" t="s">
        <v>38</v>
      </c>
      <c r="C2053" s="43" t="s">
        <v>39</v>
      </c>
      <c r="D2053" s="44">
        <v>45772</v>
      </c>
      <c r="E2053" s="45">
        <v>10</v>
      </c>
    </row>
    <row r="2054" spans="2:5">
      <c r="B2054" s="43" t="s">
        <v>6</v>
      </c>
      <c r="C2054" s="43" t="s">
        <v>7</v>
      </c>
      <c r="D2054" s="44">
        <v>45776</v>
      </c>
      <c r="E2054" s="45">
        <v>65.5</v>
      </c>
    </row>
    <row r="2055" spans="2:5">
      <c r="B2055" s="43" t="s">
        <v>8</v>
      </c>
      <c r="C2055" s="43" t="s">
        <v>9</v>
      </c>
      <c r="D2055" s="44">
        <v>45776</v>
      </c>
      <c r="E2055" s="45">
        <v>34.8</v>
      </c>
    </row>
    <row r="2056" spans="2:5">
      <c r="B2056" s="43" t="s">
        <v>44</v>
      </c>
      <c r="C2056" s="43" t="s">
        <v>45</v>
      </c>
      <c r="D2056" s="44">
        <v>45776</v>
      </c>
      <c r="E2056" s="45">
        <v>85</v>
      </c>
    </row>
    <row r="2057" spans="2:5">
      <c r="B2057" s="43" t="s">
        <v>72</v>
      </c>
      <c r="C2057" s="43" t="s">
        <v>73</v>
      </c>
      <c r="D2057" s="44">
        <v>45776</v>
      </c>
      <c r="E2057" s="45">
        <v>61.2</v>
      </c>
    </row>
    <row r="2058" spans="2:5">
      <c r="B2058" s="43" t="s">
        <v>46</v>
      </c>
      <c r="C2058" s="43" t="s">
        <v>47</v>
      </c>
      <c r="D2058" s="44">
        <v>45776</v>
      </c>
      <c r="E2058" s="45">
        <v>113</v>
      </c>
    </row>
    <row r="2059" spans="2:5">
      <c r="B2059" s="43" t="s">
        <v>10</v>
      </c>
      <c r="C2059" s="43" t="s">
        <v>11</v>
      </c>
      <c r="D2059" s="44">
        <v>45776</v>
      </c>
      <c r="E2059" s="45">
        <v>651.95</v>
      </c>
    </row>
    <row r="2060" spans="2:5">
      <c r="B2060" s="43" t="s">
        <v>74</v>
      </c>
      <c r="C2060" s="43" t="s">
        <v>75</v>
      </c>
      <c r="D2060" s="44">
        <v>45776</v>
      </c>
      <c r="E2060" s="45">
        <v>74.7</v>
      </c>
    </row>
    <row r="2061" spans="2:5">
      <c r="B2061" s="43" t="s">
        <v>12</v>
      </c>
      <c r="C2061" s="43" t="s">
        <v>13</v>
      </c>
      <c r="D2061" s="44">
        <v>45776</v>
      </c>
      <c r="E2061" s="45">
        <v>1407.6</v>
      </c>
    </row>
    <row r="2062" spans="2:5">
      <c r="B2062" s="43" t="s">
        <v>14</v>
      </c>
      <c r="C2062" s="43" t="s">
        <v>15</v>
      </c>
      <c r="D2062" s="44">
        <v>45776</v>
      </c>
      <c r="E2062" s="45">
        <v>2106</v>
      </c>
    </row>
    <row r="2063" spans="2:5">
      <c r="B2063" s="43" t="s">
        <v>50</v>
      </c>
      <c r="C2063" s="43" t="s">
        <v>51</v>
      </c>
      <c r="D2063" s="44">
        <v>45776</v>
      </c>
      <c r="E2063" s="45">
        <v>13.6</v>
      </c>
    </row>
    <row r="2064" spans="2:5">
      <c r="B2064" s="43" t="s">
        <v>76</v>
      </c>
      <c r="C2064" s="43" t="s">
        <v>77</v>
      </c>
      <c r="D2064" s="44">
        <v>45776</v>
      </c>
      <c r="E2064" s="45">
        <v>70.6</v>
      </c>
    </row>
    <row r="2065" spans="2:5">
      <c r="B2065" s="43" t="s">
        <v>168</v>
      </c>
      <c r="C2065" s="43" t="s">
        <v>169</v>
      </c>
      <c r="D2065" s="44">
        <v>45776</v>
      </c>
      <c r="E2065" s="45">
        <v>402</v>
      </c>
    </row>
    <row r="2066" spans="2:5">
      <c r="B2066" s="43" t="s">
        <v>158</v>
      </c>
      <c r="C2066" s="43" t="s">
        <v>159</v>
      </c>
      <c r="D2066" s="44">
        <v>45776</v>
      </c>
      <c r="E2066" s="45">
        <v>51</v>
      </c>
    </row>
    <row r="2067" spans="2:5">
      <c r="B2067" s="43" t="s">
        <v>20</v>
      </c>
      <c r="C2067" s="43" t="s">
        <v>21</v>
      </c>
      <c r="D2067" s="44">
        <v>45776</v>
      </c>
      <c r="E2067" s="45">
        <v>264.6</v>
      </c>
    </row>
    <row r="2068" spans="2:5">
      <c r="B2068" s="43" t="s">
        <v>22</v>
      </c>
      <c r="C2068" s="43" t="s">
        <v>23</v>
      </c>
      <c r="D2068" s="44">
        <v>45776</v>
      </c>
      <c r="E2068" s="45">
        <v>134.4</v>
      </c>
    </row>
    <row r="2069" spans="2:5">
      <c r="B2069" s="43" t="s">
        <v>80</v>
      </c>
      <c r="C2069" s="43" t="s">
        <v>81</v>
      </c>
      <c r="D2069" s="44">
        <v>45776</v>
      </c>
      <c r="E2069" s="45">
        <v>1009</v>
      </c>
    </row>
    <row r="2070" spans="2:5">
      <c r="B2070" s="43" t="s">
        <v>24</v>
      </c>
      <c r="C2070" s="43" t="s">
        <v>25</v>
      </c>
      <c r="D2070" s="44">
        <v>45776</v>
      </c>
      <c r="E2070" s="45">
        <v>2098.8</v>
      </c>
    </row>
    <row r="2071" spans="2:5">
      <c r="B2071" s="43" t="s">
        <v>26</v>
      </c>
      <c r="C2071" s="43" t="s">
        <v>27</v>
      </c>
      <c r="D2071" s="44">
        <v>45776</v>
      </c>
      <c r="E2071" s="45">
        <v>1601.65</v>
      </c>
    </row>
    <row r="2072" spans="2:5">
      <c r="B2072" s="43" t="s">
        <v>60</v>
      </c>
      <c r="C2072" s="43" t="s">
        <v>61</v>
      </c>
      <c r="D2072" s="44">
        <v>45776</v>
      </c>
      <c r="E2072" s="45">
        <v>91.5</v>
      </c>
    </row>
    <row r="2073" spans="2:5">
      <c r="B2073" s="43" t="s">
        <v>150</v>
      </c>
      <c r="C2073" s="43" t="s">
        <v>151</v>
      </c>
      <c r="D2073" s="44">
        <v>45776</v>
      </c>
      <c r="E2073" s="45">
        <v>757.4</v>
      </c>
    </row>
    <row r="2074" spans="2:5">
      <c r="B2074" s="43" t="s">
        <v>106</v>
      </c>
      <c r="C2074" s="43" t="s">
        <v>107</v>
      </c>
      <c r="D2074" s="44">
        <v>45776</v>
      </c>
      <c r="E2074" s="45">
        <v>7.7</v>
      </c>
    </row>
    <row r="2075" spans="2:5">
      <c r="B2075" s="43" t="s">
        <v>142</v>
      </c>
      <c r="C2075" s="43" t="s">
        <v>143</v>
      </c>
      <c r="D2075" s="44">
        <v>45776</v>
      </c>
      <c r="E2075" s="45">
        <v>6</v>
      </c>
    </row>
    <row r="2076" spans="2:5">
      <c r="B2076" s="43" t="s">
        <v>196</v>
      </c>
      <c r="C2076" s="43" t="s">
        <v>197</v>
      </c>
      <c r="D2076" s="44">
        <v>45776</v>
      </c>
      <c r="E2076" s="45">
        <v>2</v>
      </c>
    </row>
    <row r="2077" spans="2:5">
      <c r="B2077" s="43" t="s">
        <v>96</v>
      </c>
      <c r="C2077" s="43" t="s">
        <v>97</v>
      </c>
      <c r="D2077" s="44">
        <v>45776</v>
      </c>
      <c r="E2077" s="45">
        <v>9</v>
      </c>
    </row>
    <row r="2078" spans="2:5">
      <c r="B2078" s="43" t="s">
        <v>98</v>
      </c>
      <c r="C2078" s="43" t="s">
        <v>99</v>
      </c>
      <c r="D2078" s="44">
        <v>45776</v>
      </c>
      <c r="E2078" s="45">
        <v>5</v>
      </c>
    </row>
    <row r="2079" spans="2:5">
      <c r="B2079" s="43" t="s">
        <v>34</v>
      </c>
      <c r="C2079" s="43" t="s">
        <v>35</v>
      </c>
      <c r="D2079" s="44">
        <v>45776</v>
      </c>
      <c r="E2079" s="45">
        <v>17</v>
      </c>
    </row>
    <row r="2080" spans="2:5">
      <c r="B2080" s="43" t="s">
        <v>36</v>
      </c>
      <c r="C2080" s="43" t="s">
        <v>37</v>
      </c>
      <c r="D2080" s="44">
        <v>45776</v>
      </c>
      <c r="E2080" s="45">
        <v>4</v>
      </c>
    </row>
    <row r="2081" spans="2:5">
      <c r="B2081" s="43" t="s">
        <v>38</v>
      </c>
      <c r="C2081" s="43" t="s">
        <v>39</v>
      </c>
      <c r="D2081" s="44">
        <v>45776</v>
      </c>
      <c r="E2081" s="45">
        <v>15</v>
      </c>
    </row>
    <row r="2082" spans="2:5">
      <c r="B2082" s="43" t="s">
        <v>6</v>
      </c>
      <c r="C2082" s="43" t="s">
        <v>7</v>
      </c>
      <c r="D2082" s="44">
        <v>45777</v>
      </c>
      <c r="E2082" s="45">
        <v>6.55</v>
      </c>
    </row>
    <row r="2083" spans="2:5">
      <c r="B2083" s="43" t="s">
        <v>156</v>
      </c>
      <c r="C2083" s="43" t="s">
        <v>157</v>
      </c>
      <c r="D2083" s="44">
        <v>45777</v>
      </c>
      <c r="E2083" s="45">
        <v>7.8</v>
      </c>
    </row>
    <row r="2084" spans="2:5">
      <c r="B2084" s="43" t="s">
        <v>8</v>
      </c>
      <c r="C2084" s="43" t="s">
        <v>9</v>
      </c>
      <c r="D2084" s="44">
        <v>45777</v>
      </c>
      <c r="E2084" s="45">
        <v>17.4</v>
      </c>
    </row>
    <row r="2085" spans="2:5">
      <c r="B2085" s="43" t="s">
        <v>46</v>
      </c>
      <c r="C2085" s="43" t="s">
        <v>47</v>
      </c>
      <c r="D2085" s="44">
        <v>45777</v>
      </c>
      <c r="E2085" s="45">
        <v>271.2</v>
      </c>
    </row>
    <row r="2086" spans="2:5">
      <c r="B2086" s="43" t="s">
        <v>10</v>
      </c>
      <c r="C2086" s="43" t="s">
        <v>11</v>
      </c>
      <c r="D2086" s="44">
        <v>45777</v>
      </c>
      <c r="E2086" s="45">
        <v>11.05</v>
      </c>
    </row>
    <row r="2087" spans="2:5">
      <c r="B2087" s="43" t="s">
        <v>12</v>
      </c>
      <c r="C2087" s="43" t="s">
        <v>13</v>
      </c>
      <c r="D2087" s="44">
        <v>45777</v>
      </c>
      <c r="E2087" s="45">
        <v>345</v>
      </c>
    </row>
    <row r="2088" spans="2:5">
      <c r="B2088" s="43" t="s">
        <v>14</v>
      </c>
      <c r="C2088" s="43" t="s">
        <v>15</v>
      </c>
      <c r="D2088" s="44">
        <v>45777</v>
      </c>
      <c r="E2088" s="45">
        <v>175.5</v>
      </c>
    </row>
    <row r="2089" spans="2:5">
      <c r="B2089" s="43" t="s">
        <v>50</v>
      </c>
      <c r="C2089" s="43" t="s">
        <v>51</v>
      </c>
      <c r="D2089" s="44">
        <v>45777</v>
      </c>
      <c r="E2089" s="45">
        <v>1564</v>
      </c>
    </row>
    <row r="2090" spans="2:5">
      <c r="B2090" s="43" t="s">
        <v>144</v>
      </c>
      <c r="C2090" s="43" t="s">
        <v>145</v>
      </c>
      <c r="D2090" s="44">
        <v>45777</v>
      </c>
      <c r="E2090" s="45">
        <v>1425.6</v>
      </c>
    </row>
    <row r="2091" spans="2:5">
      <c r="B2091" s="43" t="s">
        <v>56</v>
      </c>
      <c r="C2091" s="43" t="s">
        <v>57</v>
      </c>
      <c r="D2091" s="44">
        <v>45777</v>
      </c>
      <c r="E2091" s="45">
        <v>633.5</v>
      </c>
    </row>
    <row r="2092" spans="2:5">
      <c r="B2092" s="43" t="s">
        <v>158</v>
      </c>
      <c r="C2092" s="43" t="s">
        <v>159</v>
      </c>
      <c r="D2092" s="44">
        <v>45777</v>
      </c>
      <c r="E2092" s="45">
        <v>255</v>
      </c>
    </row>
    <row r="2093" spans="2:5">
      <c r="B2093" s="43" t="s">
        <v>120</v>
      </c>
      <c r="C2093" s="43" t="s">
        <v>121</v>
      </c>
      <c r="D2093" s="44">
        <v>45777</v>
      </c>
      <c r="E2093" s="45">
        <v>7.6</v>
      </c>
    </row>
    <row r="2094" spans="2:5">
      <c r="B2094" s="43" t="s">
        <v>22</v>
      </c>
      <c r="C2094" s="43" t="s">
        <v>23</v>
      </c>
      <c r="D2094" s="44">
        <v>45777</v>
      </c>
      <c r="E2094" s="45">
        <v>19.2</v>
      </c>
    </row>
    <row r="2095" spans="2:5">
      <c r="B2095" s="43" t="s">
        <v>24</v>
      </c>
      <c r="C2095" s="43" t="s">
        <v>25</v>
      </c>
      <c r="D2095" s="44">
        <v>45777</v>
      </c>
      <c r="E2095" s="45">
        <v>4054.5</v>
      </c>
    </row>
    <row r="2096" spans="2:5">
      <c r="B2096" s="43" t="s">
        <v>58</v>
      </c>
      <c r="C2096" s="43" t="s">
        <v>59</v>
      </c>
      <c r="D2096" s="44">
        <v>45777</v>
      </c>
      <c r="E2096" s="45">
        <v>495.6</v>
      </c>
    </row>
    <row r="2097" spans="2:5">
      <c r="B2097" s="43" t="s">
        <v>26</v>
      </c>
      <c r="C2097" s="43" t="s">
        <v>27</v>
      </c>
      <c r="D2097" s="44">
        <v>45777</v>
      </c>
      <c r="E2097" s="45">
        <v>108.85</v>
      </c>
    </row>
    <row r="2098" spans="2:5">
      <c r="B2098" s="43" t="s">
        <v>62</v>
      </c>
      <c r="C2098" s="43" t="s">
        <v>63</v>
      </c>
      <c r="D2098" s="44">
        <v>45777</v>
      </c>
      <c r="E2098" s="45">
        <v>143.5</v>
      </c>
    </row>
    <row r="2099" spans="2:5">
      <c r="B2099" s="43" t="s">
        <v>64</v>
      </c>
      <c r="C2099" s="43" t="s">
        <v>65</v>
      </c>
      <c r="D2099" s="44">
        <v>45777</v>
      </c>
      <c r="E2099" s="45">
        <v>220</v>
      </c>
    </row>
    <row r="2100" spans="2:5">
      <c r="B2100" s="43" t="s">
        <v>198</v>
      </c>
      <c r="C2100" s="43" t="s">
        <v>199</v>
      </c>
      <c r="D2100" s="44">
        <v>45777</v>
      </c>
      <c r="E2100" s="45">
        <v>1016.4</v>
      </c>
    </row>
    <row r="2101" spans="2:5">
      <c r="B2101" s="43" t="s">
        <v>172</v>
      </c>
      <c r="C2101" s="43" t="s">
        <v>173</v>
      </c>
      <c r="D2101" s="44">
        <v>45777</v>
      </c>
      <c r="E2101" s="45">
        <v>135.3</v>
      </c>
    </row>
    <row r="2102" spans="2:5">
      <c r="B2102" s="43" t="s">
        <v>66</v>
      </c>
      <c r="C2102" s="43" t="s">
        <v>67</v>
      </c>
      <c r="D2102" s="44">
        <v>45777</v>
      </c>
      <c r="E2102" s="45">
        <v>443.2</v>
      </c>
    </row>
    <row r="2103" spans="2:5">
      <c r="B2103" s="43" t="s">
        <v>96</v>
      </c>
      <c r="C2103" s="43" t="s">
        <v>97</v>
      </c>
      <c r="D2103" s="44">
        <v>45777</v>
      </c>
      <c r="E2103" s="45">
        <v>18</v>
      </c>
    </row>
    <row r="2104" spans="2:5">
      <c r="B2104" s="43" t="s">
        <v>170</v>
      </c>
      <c r="C2104" s="43" t="s">
        <v>171</v>
      </c>
      <c r="D2104" s="44">
        <v>45777</v>
      </c>
      <c r="E2104" s="45">
        <v>2</v>
      </c>
    </row>
    <row r="2105" spans="2:5">
      <c r="B2105" s="43" t="s">
        <v>36</v>
      </c>
      <c r="C2105" s="43" t="s">
        <v>37</v>
      </c>
      <c r="D2105" s="44">
        <v>45777</v>
      </c>
      <c r="E2105" s="45">
        <v>6</v>
      </c>
    </row>
    <row r="2106" spans="2:5">
      <c r="B2106" s="43" t="s">
        <v>4</v>
      </c>
      <c r="C2106" s="43" t="s">
        <v>5</v>
      </c>
      <c r="D2106" s="44">
        <v>45779</v>
      </c>
      <c r="E2106" s="45">
        <v>281.4</v>
      </c>
    </row>
    <row r="2107" spans="2:5">
      <c r="B2107" s="43" t="s">
        <v>8</v>
      </c>
      <c r="C2107" s="43" t="s">
        <v>9</v>
      </c>
      <c r="D2107" s="44">
        <v>45779</v>
      </c>
      <c r="E2107" s="45">
        <v>400.2</v>
      </c>
    </row>
    <row r="2108" spans="2:5">
      <c r="B2108" s="43" t="s">
        <v>44</v>
      </c>
      <c r="C2108" s="43" t="s">
        <v>45</v>
      </c>
      <c r="D2108" s="44">
        <v>45779</v>
      </c>
      <c r="E2108" s="45">
        <v>161.5</v>
      </c>
    </row>
    <row r="2109" spans="2:5">
      <c r="B2109" s="43" t="s">
        <v>46</v>
      </c>
      <c r="C2109" s="43" t="s">
        <v>47</v>
      </c>
      <c r="D2109" s="44">
        <v>45779</v>
      </c>
      <c r="E2109" s="45">
        <v>282.5</v>
      </c>
    </row>
    <row r="2110" spans="2:5">
      <c r="B2110" s="43" t="s">
        <v>10</v>
      </c>
      <c r="C2110" s="43" t="s">
        <v>11</v>
      </c>
      <c r="D2110" s="44">
        <v>45779</v>
      </c>
      <c r="E2110" s="45">
        <v>11.05</v>
      </c>
    </row>
    <row r="2111" spans="2:5">
      <c r="B2111" s="43" t="s">
        <v>12</v>
      </c>
      <c r="C2111" s="43" t="s">
        <v>13</v>
      </c>
      <c r="D2111" s="44">
        <v>45779</v>
      </c>
      <c r="E2111" s="45">
        <v>524.4</v>
      </c>
    </row>
    <row r="2112" spans="2:5">
      <c r="B2112" s="43" t="s">
        <v>178</v>
      </c>
      <c r="C2112" s="43" t="s">
        <v>179</v>
      </c>
      <c r="D2112" s="44">
        <v>45779</v>
      </c>
      <c r="E2112" s="45">
        <v>36</v>
      </c>
    </row>
    <row r="2113" spans="2:5">
      <c r="B2113" s="43" t="s">
        <v>50</v>
      </c>
      <c r="C2113" s="43" t="s">
        <v>51</v>
      </c>
      <c r="D2113" s="44">
        <v>45779</v>
      </c>
      <c r="E2113" s="45">
        <v>367.2</v>
      </c>
    </row>
    <row r="2114" spans="2:5">
      <c r="B2114" s="43" t="s">
        <v>144</v>
      </c>
      <c r="C2114" s="43" t="s">
        <v>145</v>
      </c>
      <c r="D2114" s="44">
        <v>45779</v>
      </c>
      <c r="E2114" s="45">
        <v>16.2</v>
      </c>
    </row>
    <row r="2115" spans="2:5">
      <c r="B2115" s="43" t="s">
        <v>56</v>
      </c>
      <c r="C2115" s="43" t="s">
        <v>57</v>
      </c>
      <c r="D2115" s="44">
        <v>45779</v>
      </c>
      <c r="E2115" s="45">
        <v>452.5</v>
      </c>
    </row>
    <row r="2116" spans="2:5">
      <c r="B2116" s="43" t="s">
        <v>200</v>
      </c>
      <c r="C2116" s="43" t="s">
        <v>201</v>
      </c>
      <c r="D2116" s="44">
        <v>45779</v>
      </c>
      <c r="E2116" s="45">
        <v>27.5</v>
      </c>
    </row>
    <row r="2117" spans="2:5">
      <c r="B2117" s="43" t="s">
        <v>20</v>
      </c>
      <c r="C2117" s="43" t="s">
        <v>21</v>
      </c>
      <c r="D2117" s="44">
        <v>45779</v>
      </c>
      <c r="E2117" s="45">
        <v>49</v>
      </c>
    </row>
    <row r="2118" spans="2:5">
      <c r="B2118" s="43" t="s">
        <v>22</v>
      </c>
      <c r="C2118" s="43" t="s">
        <v>23</v>
      </c>
      <c r="D2118" s="44">
        <v>45779</v>
      </c>
      <c r="E2118" s="45">
        <v>48</v>
      </c>
    </row>
    <row r="2119" spans="2:5">
      <c r="B2119" s="43" t="s">
        <v>80</v>
      </c>
      <c r="C2119" s="43" t="s">
        <v>81</v>
      </c>
      <c r="D2119" s="44">
        <v>45779</v>
      </c>
      <c r="E2119" s="45">
        <v>143.5</v>
      </c>
    </row>
    <row r="2120" spans="2:5">
      <c r="B2120" s="43" t="s">
        <v>24</v>
      </c>
      <c r="C2120" s="43" t="s">
        <v>25</v>
      </c>
      <c r="D2120" s="44">
        <v>45779</v>
      </c>
      <c r="E2120" s="45">
        <v>3370.8</v>
      </c>
    </row>
    <row r="2121" spans="2:5">
      <c r="B2121" s="43" t="s">
        <v>58</v>
      </c>
      <c r="C2121" s="43" t="s">
        <v>59</v>
      </c>
      <c r="D2121" s="44">
        <v>45779</v>
      </c>
      <c r="E2121" s="45">
        <v>265.5</v>
      </c>
    </row>
    <row r="2122" spans="2:5">
      <c r="B2122" s="43" t="s">
        <v>26</v>
      </c>
      <c r="C2122" s="43" t="s">
        <v>27</v>
      </c>
      <c r="D2122" s="44">
        <v>45779</v>
      </c>
      <c r="E2122" s="45">
        <v>2985.6</v>
      </c>
    </row>
    <row r="2123" spans="2:5">
      <c r="B2123" s="43" t="s">
        <v>110</v>
      </c>
      <c r="C2123" s="43" t="s">
        <v>111</v>
      </c>
      <c r="D2123" s="44">
        <v>45779</v>
      </c>
      <c r="E2123" s="45">
        <v>33</v>
      </c>
    </row>
    <row r="2124" spans="2:5">
      <c r="B2124" s="43" t="s">
        <v>28</v>
      </c>
      <c r="C2124" s="43" t="s">
        <v>29</v>
      </c>
      <c r="D2124" s="44">
        <v>45779</v>
      </c>
      <c r="E2124" s="45">
        <v>107.4</v>
      </c>
    </row>
    <row r="2125" spans="2:5">
      <c r="B2125" s="43" t="s">
        <v>62</v>
      </c>
      <c r="C2125" s="43" t="s">
        <v>63</v>
      </c>
      <c r="D2125" s="44">
        <v>45779</v>
      </c>
      <c r="E2125" s="45">
        <v>533</v>
      </c>
    </row>
    <row r="2126" spans="2:5">
      <c r="B2126" s="43" t="s">
        <v>64</v>
      </c>
      <c r="C2126" s="43" t="s">
        <v>65</v>
      </c>
      <c r="D2126" s="44">
        <v>45779</v>
      </c>
      <c r="E2126" s="45">
        <v>620</v>
      </c>
    </row>
    <row r="2127" spans="2:5">
      <c r="B2127" s="43" t="s">
        <v>172</v>
      </c>
      <c r="C2127" s="43" t="s">
        <v>173</v>
      </c>
      <c r="D2127" s="44">
        <v>45779</v>
      </c>
      <c r="E2127" s="45">
        <v>315.7</v>
      </c>
    </row>
    <row r="2128" spans="2:5">
      <c r="B2128" s="43" t="s">
        <v>30</v>
      </c>
      <c r="C2128" s="43" t="s">
        <v>31</v>
      </c>
      <c r="D2128" s="44">
        <v>45779</v>
      </c>
      <c r="E2128" s="45">
        <v>26</v>
      </c>
    </row>
    <row r="2129" spans="2:5">
      <c r="B2129" s="43" t="s">
        <v>96</v>
      </c>
      <c r="C2129" s="43" t="s">
        <v>97</v>
      </c>
      <c r="D2129" s="44">
        <v>45779</v>
      </c>
      <c r="E2129" s="45">
        <v>20</v>
      </c>
    </row>
    <row r="2130" spans="2:5">
      <c r="B2130" s="43" t="s">
        <v>32</v>
      </c>
      <c r="C2130" s="43" t="s">
        <v>33</v>
      </c>
      <c r="D2130" s="44">
        <v>45779</v>
      </c>
      <c r="E2130" s="45">
        <v>4</v>
      </c>
    </row>
    <row r="2131" spans="2:5">
      <c r="B2131" s="43" t="s">
        <v>98</v>
      </c>
      <c r="C2131" s="43" t="s">
        <v>99</v>
      </c>
      <c r="D2131" s="44">
        <v>45779</v>
      </c>
      <c r="E2131" s="45">
        <v>1</v>
      </c>
    </row>
    <row r="2132" spans="2:5">
      <c r="B2132" s="43" t="s">
        <v>34</v>
      </c>
      <c r="C2132" s="43" t="s">
        <v>35</v>
      </c>
      <c r="D2132" s="44">
        <v>45779</v>
      </c>
      <c r="E2132" s="45">
        <v>5</v>
      </c>
    </row>
    <row r="2133" spans="2:5">
      <c r="B2133" s="43" t="s">
        <v>44</v>
      </c>
      <c r="C2133" s="43" t="s">
        <v>45</v>
      </c>
      <c r="D2133" s="44">
        <v>45782</v>
      </c>
      <c r="E2133" s="45">
        <v>25.5</v>
      </c>
    </row>
    <row r="2134" spans="2:5">
      <c r="B2134" s="43" t="s">
        <v>46</v>
      </c>
      <c r="C2134" s="43" t="s">
        <v>47</v>
      </c>
      <c r="D2134" s="44">
        <v>45782</v>
      </c>
      <c r="E2134" s="45">
        <v>67.8</v>
      </c>
    </row>
    <row r="2135" spans="2:5">
      <c r="B2135" s="43" t="s">
        <v>10</v>
      </c>
      <c r="C2135" s="43" t="s">
        <v>11</v>
      </c>
      <c r="D2135" s="44">
        <v>45782</v>
      </c>
      <c r="E2135" s="45">
        <v>88.4</v>
      </c>
    </row>
    <row r="2136" spans="2:5">
      <c r="B2136" s="43" t="s">
        <v>12</v>
      </c>
      <c r="C2136" s="43" t="s">
        <v>13</v>
      </c>
      <c r="D2136" s="44">
        <v>45782</v>
      </c>
      <c r="E2136" s="45">
        <v>82.8</v>
      </c>
    </row>
    <row r="2137" spans="2:5">
      <c r="B2137" s="43" t="s">
        <v>14</v>
      </c>
      <c r="C2137" s="43" t="s">
        <v>15</v>
      </c>
      <c r="D2137" s="44">
        <v>45782</v>
      </c>
      <c r="E2137" s="45">
        <v>270</v>
      </c>
    </row>
    <row r="2138" spans="2:5">
      <c r="B2138" s="43" t="s">
        <v>114</v>
      </c>
      <c r="C2138" s="43" t="s">
        <v>115</v>
      </c>
      <c r="D2138" s="44">
        <v>45782</v>
      </c>
      <c r="E2138" s="45">
        <v>266</v>
      </c>
    </row>
    <row r="2139" spans="2:5">
      <c r="B2139" s="43" t="s">
        <v>76</v>
      </c>
      <c r="C2139" s="43" t="s">
        <v>77</v>
      </c>
      <c r="D2139" s="44">
        <v>45782</v>
      </c>
      <c r="E2139" s="45">
        <v>441.25</v>
      </c>
    </row>
    <row r="2140" spans="2:5">
      <c r="B2140" s="43" t="s">
        <v>158</v>
      </c>
      <c r="C2140" s="43" t="s">
        <v>159</v>
      </c>
      <c r="D2140" s="44">
        <v>45782</v>
      </c>
      <c r="E2140" s="45">
        <v>765</v>
      </c>
    </row>
    <row r="2141" spans="2:5">
      <c r="B2141" s="43" t="s">
        <v>20</v>
      </c>
      <c r="C2141" s="43" t="s">
        <v>21</v>
      </c>
      <c r="D2141" s="44">
        <v>45782</v>
      </c>
      <c r="E2141" s="45">
        <v>49</v>
      </c>
    </row>
    <row r="2142" spans="2:5">
      <c r="B2142" s="43" t="s">
        <v>22</v>
      </c>
      <c r="C2142" s="43" t="s">
        <v>23</v>
      </c>
      <c r="D2142" s="44">
        <v>45782</v>
      </c>
      <c r="E2142" s="45">
        <v>19.2</v>
      </c>
    </row>
    <row r="2143" spans="2:5">
      <c r="B2143" s="43" t="s">
        <v>80</v>
      </c>
      <c r="C2143" s="43" t="s">
        <v>81</v>
      </c>
      <c r="D2143" s="44">
        <v>45782</v>
      </c>
      <c r="E2143" s="45">
        <v>215.25</v>
      </c>
    </row>
    <row r="2144" spans="2:5">
      <c r="B2144" s="43" t="s">
        <v>24</v>
      </c>
      <c r="C2144" s="43" t="s">
        <v>25</v>
      </c>
      <c r="D2144" s="44">
        <v>45782</v>
      </c>
      <c r="E2144" s="45">
        <v>333.9</v>
      </c>
    </row>
    <row r="2145" spans="2:5">
      <c r="B2145" s="43" t="s">
        <v>58</v>
      </c>
      <c r="C2145" s="43" t="s">
        <v>59</v>
      </c>
      <c r="D2145" s="44">
        <v>45782</v>
      </c>
      <c r="E2145" s="45">
        <v>566.4</v>
      </c>
    </row>
    <row r="2146" spans="2:5">
      <c r="B2146" s="43" t="s">
        <v>26</v>
      </c>
      <c r="C2146" s="43" t="s">
        <v>27</v>
      </c>
      <c r="D2146" s="44">
        <v>45782</v>
      </c>
      <c r="E2146" s="45">
        <v>964.1</v>
      </c>
    </row>
    <row r="2147" spans="2:5">
      <c r="B2147" s="43" t="s">
        <v>60</v>
      </c>
      <c r="C2147" s="43" t="s">
        <v>61</v>
      </c>
      <c r="D2147" s="44">
        <v>45782</v>
      </c>
      <c r="E2147" s="45">
        <v>183</v>
      </c>
    </row>
    <row r="2148" spans="2:5">
      <c r="B2148" s="43" t="s">
        <v>28</v>
      </c>
      <c r="C2148" s="43" t="s">
        <v>29</v>
      </c>
      <c r="D2148" s="44">
        <v>45782</v>
      </c>
      <c r="E2148" s="45">
        <v>1253</v>
      </c>
    </row>
    <row r="2149" spans="2:5">
      <c r="B2149" s="43" t="s">
        <v>148</v>
      </c>
      <c r="C2149" s="43" t="s">
        <v>149</v>
      </c>
      <c r="D2149" s="44">
        <v>45782</v>
      </c>
      <c r="E2149" s="45">
        <v>1030.5</v>
      </c>
    </row>
    <row r="2150" spans="2:5">
      <c r="B2150" s="43" t="s">
        <v>64</v>
      </c>
      <c r="C2150" s="43" t="s">
        <v>65</v>
      </c>
      <c r="D2150" s="44">
        <v>45782</v>
      </c>
      <c r="E2150" s="45">
        <v>260</v>
      </c>
    </row>
    <row r="2151" spans="2:5">
      <c r="B2151" s="43" t="s">
        <v>198</v>
      </c>
      <c r="C2151" s="43" t="s">
        <v>199</v>
      </c>
      <c r="D2151" s="44">
        <v>45782</v>
      </c>
      <c r="E2151" s="45">
        <v>115.5</v>
      </c>
    </row>
    <row r="2152" spans="2:5">
      <c r="B2152" s="43" t="s">
        <v>66</v>
      </c>
      <c r="C2152" s="43" t="s">
        <v>67</v>
      </c>
      <c r="D2152" s="44">
        <v>45782</v>
      </c>
      <c r="E2152" s="45">
        <v>110.8</v>
      </c>
    </row>
    <row r="2153" spans="2:5">
      <c r="B2153" s="43" t="s">
        <v>96</v>
      </c>
      <c r="C2153" s="43" t="s">
        <v>97</v>
      </c>
      <c r="D2153" s="44">
        <v>45782</v>
      </c>
      <c r="E2153" s="45">
        <v>113</v>
      </c>
    </row>
    <row r="2154" spans="2:5">
      <c r="B2154" s="43" t="s">
        <v>34</v>
      </c>
      <c r="C2154" s="43" t="s">
        <v>35</v>
      </c>
      <c r="D2154" s="44">
        <v>45782</v>
      </c>
      <c r="E2154" s="45">
        <v>7</v>
      </c>
    </row>
    <row r="2155" spans="2:5">
      <c r="B2155" s="43" t="s">
        <v>170</v>
      </c>
      <c r="C2155" s="43" t="s">
        <v>171</v>
      </c>
      <c r="D2155" s="44">
        <v>45782</v>
      </c>
      <c r="E2155" s="45">
        <v>6</v>
      </c>
    </row>
    <row r="2156" spans="2:5">
      <c r="B2156" s="43" t="s">
        <v>104</v>
      </c>
      <c r="C2156" s="43" t="s">
        <v>105</v>
      </c>
      <c r="D2156" s="44">
        <v>45783</v>
      </c>
      <c r="E2156" s="45">
        <v>14</v>
      </c>
    </row>
    <row r="2157" spans="2:5">
      <c r="B2157" s="43" t="s">
        <v>4</v>
      </c>
      <c r="C2157" s="43" t="s">
        <v>5</v>
      </c>
      <c r="D2157" s="44">
        <v>45783</v>
      </c>
      <c r="E2157" s="45">
        <v>80.4</v>
      </c>
    </row>
    <row r="2158" spans="2:5">
      <c r="B2158" s="43" t="s">
        <v>8</v>
      </c>
      <c r="C2158" s="43" t="s">
        <v>9</v>
      </c>
      <c r="D2158" s="44">
        <v>45783</v>
      </c>
      <c r="E2158" s="45">
        <v>304.5</v>
      </c>
    </row>
    <row r="2159" spans="2:5">
      <c r="B2159" s="43" t="s">
        <v>44</v>
      </c>
      <c r="C2159" s="43" t="s">
        <v>45</v>
      </c>
      <c r="D2159" s="44">
        <v>45783</v>
      </c>
      <c r="E2159" s="45">
        <v>399.5</v>
      </c>
    </row>
    <row r="2160" spans="2:5">
      <c r="B2160" s="43" t="s">
        <v>46</v>
      </c>
      <c r="C2160" s="43" t="s">
        <v>47</v>
      </c>
      <c r="D2160" s="44">
        <v>45783</v>
      </c>
      <c r="E2160" s="45">
        <v>22.6</v>
      </c>
    </row>
    <row r="2161" spans="2:5">
      <c r="B2161" s="43" t="s">
        <v>10</v>
      </c>
      <c r="C2161" s="43" t="s">
        <v>11</v>
      </c>
      <c r="D2161" s="44">
        <v>45783</v>
      </c>
      <c r="E2161" s="45">
        <v>33.15</v>
      </c>
    </row>
    <row r="2162" spans="2:5">
      <c r="B2162" s="43" t="s">
        <v>74</v>
      </c>
      <c r="C2162" s="43" t="s">
        <v>75</v>
      </c>
      <c r="D2162" s="44">
        <v>45783</v>
      </c>
      <c r="E2162" s="45">
        <v>622.5</v>
      </c>
    </row>
    <row r="2163" spans="2:5">
      <c r="B2163" s="43" t="s">
        <v>12</v>
      </c>
      <c r="C2163" s="43" t="s">
        <v>13</v>
      </c>
      <c r="D2163" s="44">
        <v>45783</v>
      </c>
      <c r="E2163" s="45">
        <v>1035</v>
      </c>
    </row>
    <row r="2164" spans="2:5">
      <c r="B2164" s="43" t="s">
        <v>178</v>
      </c>
      <c r="C2164" s="43" t="s">
        <v>179</v>
      </c>
      <c r="D2164" s="44">
        <v>45783</v>
      </c>
      <c r="E2164" s="45">
        <v>36</v>
      </c>
    </row>
    <row r="2165" spans="2:5">
      <c r="B2165" s="43" t="s">
        <v>14</v>
      </c>
      <c r="C2165" s="43" t="s">
        <v>15</v>
      </c>
      <c r="D2165" s="44">
        <v>45783</v>
      </c>
      <c r="E2165" s="45">
        <v>472.5</v>
      </c>
    </row>
    <row r="2166" spans="2:5">
      <c r="B2166" s="43" t="s">
        <v>168</v>
      </c>
      <c r="C2166" s="43" t="s">
        <v>169</v>
      </c>
      <c r="D2166" s="44">
        <v>45783</v>
      </c>
      <c r="E2166" s="45">
        <v>20.1</v>
      </c>
    </row>
    <row r="2167" spans="2:5">
      <c r="B2167" s="43" t="s">
        <v>16</v>
      </c>
      <c r="C2167" s="43" t="s">
        <v>17</v>
      </c>
      <c r="D2167" s="44">
        <v>45783</v>
      </c>
      <c r="E2167" s="45">
        <v>136.8</v>
      </c>
    </row>
    <row r="2168" spans="2:5">
      <c r="B2168" s="43" t="s">
        <v>20</v>
      </c>
      <c r="C2168" s="43" t="s">
        <v>21</v>
      </c>
      <c r="D2168" s="44">
        <v>45783</v>
      </c>
      <c r="E2168" s="45">
        <v>49</v>
      </c>
    </row>
    <row r="2169" spans="2:5">
      <c r="B2169" s="43" t="s">
        <v>22</v>
      </c>
      <c r="C2169" s="43" t="s">
        <v>23</v>
      </c>
      <c r="D2169" s="44">
        <v>45783</v>
      </c>
      <c r="E2169" s="45">
        <v>28.8</v>
      </c>
    </row>
    <row r="2170" spans="2:5">
      <c r="B2170" s="43" t="s">
        <v>140</v>
      </c>
      <c r="C2170" s="43" t="s">
        <v>141</v>
      </c>
      <c r="D2170" s="44">
        <v>45783</v>
      </c>
      <c r="E2170" s="45">
        <v>742.4</v>
      </c>
    </row>
    <row r="2171" spans="2:5">
      <c r="B2171" s="43" t="s">
        <v>80</v>
      </c>
      <c r="C2171" s="43" t="s">
        <v>81</v>
      </c>
      <c r="D2171" s="44">
        <v>45783</v>
      </c>
      <c r="E2171" s="45">
        <v>416.15</v>
      </c>
    </row>
    <row r="2172" spans="2:5">
      <c r="B2172" s="43" t="s">
        <v>24</v>
      </c>
      <c r="C2172" s="43" t="s">
        <v>25</v>
      </c>
      <c r="D2172" s="44">
        <v>45783</v>
      </c>
      <c r="E2172" s="45">
        <v>492.9</v>
      </c>
    </row>
    <row r="2173" spans="2:5">
      <c r="B2173" s="43" t="s">
        <v>26</v>
      </c>
      <c r="C2173" s="43" t="s">
        <v>27</v>
      </c>
      <c r="D2173" s="44">
        <v>45783</v>
      </c>
      <c r="E2173" s="45">
        <v>1041.85</v>
      </c>
    </row>
    <row r="2174" spans="2:5">
      <c r="B2174" s="43" t="s">
        <v>110</v>
      </c>
      <c r="C2174" s="43" t="s">
        <v>111</v>
      </c>
      <c r="D2174" s="44">
        <v>45783</v>
      </c>
      <c r="E2174" s="45">
        <v>825</v>
      </c>
    </row>
    <row r="2175" spans="2:5">
      <c r="B2175" s="43" t="s">
        <v>60</v>
      </c>
      <c r="C2175" s="43" t="s">
        <v>61</v>
      </c>
      <c r="D2175" s="44">
        <v>45783</v>
      </c>
      <c r="E2175" s="45">
        <v>366</v>
      </c>
    </row>
    <row r="2176" spans="2:5">
      <c r="B2176" s="43" t="s">
        <v>28</v>
      </c>
      <c r="C2176" s="43" t="s">
        <v>29</v>
      </c>
      <c r="D2176" s="44">
        <v>45783</v>
      </c>
      <c r="E2176" s="45">
        <v>250.6</v>
      </c>
    </row>
    <row r="2177" spans="2:5">
      <c r="B2177" s="43" t="s">
        <v>64</v>
      </c>
      <c r="C2177" s="43" t="s">
        <v>65</v>
      </c>
      <c r="D2177" s="44">
        <v>45783</v>
      </c>
      <c r="E2177" s="45">
        <v>1500</v>
      </c>
    </row>
    <row r="2178" spans="2:5">
      <c r="B2178" s="43" t="s">
        <v>198</v>
      </c>
      <c r="C2178" s="43" t="s">
        <v>199</v>
      </c>
      <c r="D2178" s="44">
        <v>45783</v>
      </c>
      <c r="E2178" s="45">
        <v>92.4</v>
      </c>
    </row>
    <row r="2179" spans="2:5">
      <c r="B2179" s="43" t="s">
        <v>172</v>
      </c>
      <c r="C2179" s="43" t="s">
        <v>173</v>
      </c>
      <c r="D2179" s="44">
        <v>45783</v>
      </c>
      <c r="E2179" s="45">
        <v>90.2</v>
      </c>
    </row>
    <row r="2180" spans="2:5">
      <c r="B2180" s="43" t="s">
        <v>186</v>
      </c>
      <c r="C2180" s="43" t="s">
        <v>187</v>
      </c>
      <c r="D2180" s="44">
        <v>45783</v>
      </c>
      <c r="E2180" s="45">
        <v>732.6</v>
      </c>
    </row>
    <row r="2181" spans="2:5">
      <c r="B2181" s="43" t="s">
        <v>84</v>
      </c>
      <c r="C2181" s="43" t="s">
        <v>85</v>
      </c>
      <c r="D2181" s="44">
        <v>45783</v>
      </c>
      <c r="E2181" s="45">
        <v>1247.5</v>
      </c>
    </row>
    <row r="2182" spans="2:5">
      <c r="B2182" s="43" t="s">
        <v>68</v>
      </c>
      <c r="C2182" s="43" t="s">
        <v>69</v>
      </c>
      <c r="D2182" s="44">
        <v>45783</v>
      </c>
      <c r="E2182" s="45">
        <v>143.6</v>
      </c>
    </row>
    <row r="2183" spans="2:5">
      <c r="B2183" s="43" t="s">
        <v>30</v>
      </c>
      <c r="C2183" s="43" t="s">
        <v>31</v>
      </c>
      <c r="D2183" s="44">
        <v>45783</v>
      </c>
      <c r="E2183" s="45">
        <v>8</v>
      </c>
    </row>
    <row r="2184" spans="2:5">
      <c r="B2184" s="43" t="s">
        <v>96</v>
      </c>
      <c r="C2184" s="43" t="s">
        <v>97</v>
      </c>
      <c r="D2184" s="44">
        <v>45783</v>
      </c>
      <c r="E2184" s="45">
        <v>4</v>
      </c>
    </row>
    <row r="2185" spans="2:5">
      <c r="B2185" s="43" t="s">
        <v>32</v>
      </c>
      <c r="C2185" s="43" t="s">
        <v>33</v>
      </c>
      <c r="D2185" s="44">
        <v>45783</v>
      </c>
      <c r="E2185" s="45">
        <v>1</v>
      </c>
    </row>
    <row r="2186" spans="2:5">
      <c r="B2186" s="43" t="s">
        <v>34</v>
      </c>
      <c r="C2186" s="43" t="s">
        <v>35</v>
      </c>
      <c r="D2186" s="44">
        <v>45783</v>
      </c>
      <c r="E2186" s="45">
        <v>9</v>
      </c>
    </row>
    <row r="2187" spans="2:5">
      <c r="B2187" s="43" t="s">
        <v>36</v>
      </c>
      <c r="C2187" s="43" t="s">
        <v>37</v>
      </c>
      <c r="D2187" s="44">
        <v>45783</v>
      </c>
      <c r="E2187" s="45">
        <v>1</v>
      </c>
    </row>
    <row r="2188" spans="2:5">
      <c r="B2188" s="43" t="s">
        <v>38</v>
      </c>
      <c r="C2188" s="43" t="s">
        <v>39</v>
      </c>
      <c r="D2188" s="44">
        <v>45783</v>
      </c>
      <c r="E2188" s="45">
        <v>22</v>
      </c>
    </row>
    <row r="2189" spans="2:5">
      <c r="B2189" s="43" t="s">
        <v>8</v>
      </c>
      <c r="C2189" s="43" t="s">
        <v>9</v>
      </c>
      <c r="D2189" s="44">
        <v>45784</v>
      </c>
      <c r="E2189" s="45">
        <v>1261.5</v>
      </c>
    </row>
    <row r="2190" spans="2:5">
      <c r="B2190" s="43" t="s">
        <v>72</v>
      </c>
      <c r="C2190" s="43" t="s">
        <v>73</v>
      </c>
      <c r="D2190" s="44">
        <v>45784</v>
      </c>
      <c r="E2190" s="45">
        <v>204</v>
      </c>
    </row>
    <row r="2191" spans="2:5">
      <c r="B2191" s="43" t="s">
        <v>10</v>
      </c>
      <c r="C2191" s="43" t="s">
        <v>11</v>
      </c>
      <c r="D2191" s="44">
        <v>45784</v>
      </c>
      <c r="E2191" s="45">
        <v>221</v>
      </c>
    </row>
    <row r="2192" spans="2:5">
      <c r="B2192" s="43" t="s">
        <v>74</v>
      </c>
      <c r="C2192" s="43" t="s">
        <v>75</v>
      </c>
      <c r="D2192" s="44">
        <v>45784</v>
      </c>
      <c r="E2192" s="45">
        <v>249</v>
      </c>
    </row>
    <row r="2193" spans="2:5">
      <c r="B2193" s="43" t="s">
        <v>14</v>
      </c>
      <c r="C2193" s="43" t="s">
        <v>15</v>
      </c>
      <c r="D2193" s="44">
        <v>45784</v>
      </c>
      <c r="E2193" s="45">
        <v>702</v>
      </c>
    </row>
    <row r="2194" spans="2:5">
      <c r="B2194" s="43" t="s">
        <v>50</v>
      </c>
      <c r="C2194" s="43" t="s">
        <v>51</v>
      </c>
      <c r="D2194" s="44">
        <v>45784</v>
      </c>
      <c r="E2194" s="45">
        <v>68</v>
      </c>
    </row>
    <row r="2195" spans="2:5">
      <c r="B2195" s="43" t="s">
        <v>114</v>
      </c>
      <c r="C2195" s="43" t="s">
        <v>115</v>
      </c>
      <c r="D2195" s="44">
        <v>45784</v>
      </c>
      <c r="E2195" s="45">
        <v>13.3</v>
      </c>
    </row>
    <row r="2196" spans="2:5">
      <c r="B2196" s="43" t="s">
        <v>56</v>
      </c>
      <c r="C2196" s="43" t="s">
        <v>57</v>
      </c>
      <c r="D2196" s="44">
        <v>45784</v>
      </c>
      <c r="E2196" s="45">
        <v>90.5</v>
      </c>
    </row>
    <row r="2197" spans="2:5">
      <c r="B2197" s="43" t="s">
        <v>126</v>
      </c>
      <c r="C2197" s="43" t="s">
        <v>127</v>
      </c>
      <c r="D2197" s="44">
        <v>45784</v>
      </c>
      <c r="E2197" s="45">
        <v>94.4</v>
      </c>
    </row>
    <row r="2198" spans="2:5">
      <c r="B2198" s="43" t="s">
        <v>76</v>
      </c>
      <c r="C2198" s="43" t="s">
        <v>77</v>
      </c>
      <c r="D2198" s="44">
        <v>45784</v>
      </c>
      <c r="E2198" s="45">
        <v>282.4</v>
      </c>
    </row>
    <row r="2199" spans="2:5">
      <c r="B2199" s="43" t="s">
        <v>188</v>
      </c>
      <c r="C2199" s="43" t="s">
        <v>189</v>
      </c>
      <c r="D2199" s="44">
        <v>45784</v>
      </c>
      <c r="E2199" s="45">
        <v>69.3</v>
      </c>
    </row>
    <row r="2200" spans="2:5">
      <c r="B2200" s="43" t="s">
        <v>168</v>
      </c>
      <c r="C2200" s="43" t="s">
        <v>169</v>
      </c>
      <c r="D2200" s="44">
        <v>45784</v>
      </c>
      <c r="E2200" s="45">
        <v>60.3</v>
      </c>
    </row>
    <row r="2201" spans="2:5">
      <c r="B2201" s="43" t="s">
        <v>18</v>
      </c>
      <c r="C2201" s="43" t="s">
        <v>19</v>
      </c>
      <c r="D2201" s="44">
        <v>45784</v>
      </c>
      <c r="E2201" s="45">
        <v>133.5</v>
      </c>
    </row>
    <row r="2202" spans="2:5">
      <c r="B2202" s="43" t="s">
        <v>20</v>
      </c>
      <c r="C2202" s="43" t="s">
        <v>21</v>
      </c>
      <c r="D2202" s="44">
        <v>45784</v>
      </c>
      <c r="E2202" s="45">
        <v>274.4</v>
      </c>
    </row>
    <row r="2203" spans="2:5">
      <c r="B2203" s="43" t="s">
        <v>22</v>
      </c>
      <c r="C2203" s="43" t="s">
        <v>23</v>
      </c>
      <c r="D2203" s="44">
        <v>45784</v>
      </c>
      <c r="E2203" s="45">
        <v>76.8</v>
      </c>
    </row>
    <row r="2204" spans="2:5">
      <c r="B2204" s="43" t="s">
        <v>80</v>
      </c>
      <c r="C2204" s="43" t="s">
        <v>81</v>
      </c>
      <c r="D2204" s="44">
        <v>45784</v>
      </c>
      <c r="E2204" s="45">
        <v>1234.1</v>
      </c>
    </row>
    <row r="2205" spans="2:5">
      <c r="B2205" s="43" t="s">
        <v>24</v>
      </c>
      <c r="C2205" s="43" t="s">
        <v>25</v>
      </c>
      <c r="D2205" s="44">
        <v>45784</v>
      </c>
      <c r="E2205" s="45">
        <v>3227.7</v>
      </c>
    </row>
    <row r="2206" spans="2:5">
      <c r="B2206" s="43" t="s">
        <v>58</v>
      </c>
      <c r="C2206" s="43" t="s">
        <v>59</v>
      </c>
      <c r="D2206" s="44">
        <v>45784</v>
      </c>
      <c r="E2206" s="45">
        <v>531</v>
      </c>
    </row>
    <row r="2207" spans="2:5">
      <c r="B2207" s="43" t="s">
        <v>26</v>
      </c>
      <c r="C2207" s="43" t="s">
        <v>27</v>
      </c>
      <c r="D2207" s="44">
        <v>45784</v>
      </c>
      <c r="E2207" s="45">
        <v>1477.25</v>
      </c>
    </row>
    <row r="2208" spans="2:5">
      <c r="B2208" s="43" t="s">
        <v>28</v>
      </c>
      <c r="C2208" s="43" t="s">
        <v>29</v>
      </c>
      <c r="D2208" s="44">
        <v>45784</v>
      </c>
      <c r="E2208" s="45">
        <v>107.4</v>
      </c>
    </row>
    <row r="2209" spans="2:5">
      <c r="B2209" s="43" t="s">
        <v>62</v>
      </c>
      <c r="C2209" s="43" t="s">
        <v>63</v>
      </c>
      <c r="D2209" s="44">
        <v>45784</v>
      </c>
      <c r="E2209" s="45">
        <v>1722</v>
      </c>
    </row>
    <row r="2210" spans="2:5">
      <c r="B2210" s="43" t="s">
        <v>64</v>
      </c>
      <c r="C2210" s="43" t="s">
        <v>65</v>
      </c>
      <c r="D2210" s="44">
        <v>45784</v>
      </c>
      <c r="E2210" s="45">
        <v>380</v>
      </c>
    </row>
    <row r="2211" spans="2:5">
      <c r="B2211" s="43" t="s">
        <v>172</v>
      </c>
      <c r="C2211" s="43" t="s">
        <v>173</v>
      </c>
      <c r="D2211" s="44">
        <v>45784</v>
      </c>
      <c r="E2211" s="45">
        <v>90.2</v>
      </c>
    </row>
    <row r="2212" spans="2:5">
      <c r="B2212" s="43" t="s">
        <v>142</v>
      </c>
      <c r="C2212" s="43" t="s">
        <v>143</v>
      </c>
      <c r="D2212" s="44">
        <v>45784</v>
      </c>
      <c r="E2212" s="45">
        <v>1</v>
      </c>
    </row>
    <row r="2213" spans="2:5">
      <c r="B2213" s="43" t="s">
        <v>30</v>
      </c>
      <c r="C2213" s="43" t="s">
        <v>31</v>
      </c>
      <c r="D2213" s="44">
        <v>45784</v>
      </c>
      <c r="E2213" s="45">
        <v>14</v>
      </c>
    </row>
    <row r="2214" spans="2:5">
      <c r="B2214" s="43" t="s">
        <v>196</v>
      </c>
      <c r="C2214" s="43" t="s">
        <v>197</v>
      </c>
      <c r="D2214" s="44">
        <v>45784</v>
      </c>
      <c r="E2214" s="45">
        <v>10</v>
      </c>
    </row>
    <row r="2215" spans="2:5">
      <c r="B2215" s="43" t="s">
        <v>96</v>
      </c>
      <c r="C2215" s="43" t="s">
        <v>97</v>
      </c>
      <c r="D2215" s="44">
        <v>45784</v>
      </c>
      <c r="E2215" s="45">
        <v>2</v>
      </c>
    </row>
    <row r="2216" spans="2:5">
      <c r="B2216" s="43" t="s">
        <v>32</v>
      </c>
      <c r="C2216" s="43" t="s">
        <v>33</v>
      </c>
      <c r="D2216" s="44">
        <v>45784</v>
      </c>
      <c r="E2216" s="45">
        <v>11</v>
      </c>
    </row>
    <row r="2217" spans="2:5">
      <c r="B2217" s="43" t="s">
        <v>98</v>
      </c>
      <c r="C2217" s="43" t="s">
        <v>99</v>
      </c>
      <c r="D2217" s="44">
        <v>45784</v>
      </c>
      <c r="E2217" s="45">
        <v>12</v>
      </c>
    </row>
    <row r="2218" spans="2:5">
      <c r="B2218" s="43" t="s">
        <v>34</v>
      </c>
      <c r="C2218" s="43" t="s">
        <v>35</v>
      </c>
      <c r="D2218" s="44">
        <v>45784</v>
      </c>
      <c r="E2218" s="45">
        <v>97</v>
      </c>
    </row>
    <row r="2219" spans="2:5">
      <c r="B2219" s="43" t="s">
        <v>36</v>
      </c>
      <c r="C2219" s="43" t="s">
        <v>37</v>
      </c>
      <c r="D2219" s="44">
        <v>45784</v>
      </c>
      <c r="E2219" s="45">
        <v>11</v>
      </c>
    </row>
    <row r="2220" spans="2:5">
      <c r="B2220" s="43" t="s">
        <v>38</v>
      </c>
      <c r="C2220" s="43" t="s">
        <v>39</v>
      </c>
      <c r="D2220" s="44">
        <v>45784</v>
      </c>
      <c r="E2220" s="45">
        <v>83</v>
      </c>
    </row>
    <row r="2221" spans="2:5">
      <c r="B2221" s="43" t="s">
        <v>156</v>
      </c>
      <c r="C2221" s="43" t="s">
        <v>157</v>
      </c>
      <c r="D2221" s="44">
        <v>45785</v>
      </c>
      <c r="E2221" s="45">
        <v>23.4</v>
      </c>
    </row>
    <row r="2222" spans="2:5">
      <c r="B2222" s="43" t="s">
        <v>8</v>
      </c>
      <c r="C2222" s="43" t="s">
        <v>9</v>
      </c>
      <c r="D2222" s="44">
        <v>45785</v>
      </c>
      <c r="E2222" s="45">
        <v>34.8</v>
      </c>
    </row>
    <row r="2223" spans="2:5">
      <c r="B2223" s="43" t="s">
        <v>72</v>
      </c>
      <c r="C2223" s="43" t="s">
        <v>73</v>
      </c>
      <c r="D2223" s="44">
        <v>45785</v>
      </c>
      <c r="E2223" s="45">
        <v>61.2</v>
      </c>
    </row>
    <row r="2224" spans="2:5">
      <c r="B2224" s="43" t="s">
        <v>46</v>
      </c>
      <c r="C2224" s="43" t="s">
        <v>47</v>
      </c>
      <c r="D2224" s="44">
        <v>45785</v>
      </c>
      <c r="E2224" s="45">
        <v>214.7</v>
      </c>
    </row>
    <row r="2225" spans="2:5">
      <c r="B2225" s="43" t="s">
        <v>74</v>
      </c>
      <c r="C2225" s="43" t="s">
        <v>75</v>
      </c>
      <c r="D2225" s="44">
        <v>45785</v>
      </c>
      <c r="E2225" s="45">
        <v>199.2</v>
      </c>
    </row>
    <row r="2226" spans="2:5">
      <c r="B2226" s="43" t="s">
        <v>12</v>
      </c>
      <c r="C2226" s="43" t="s">
        <v>13</v>
      </c>
      <c r="D2226" s="44">
        <v>45785</v>
      </c>
      <c r="E2226" s="45">
        <v>179.4</v>
      </c>
    </row>
    <row r="2227" spans="2:5">
      <c r="B2227" s="43" t="s">
        <v>108</v>
      </c>
      <c r="C2227" s="43" t="s">
        <v>109</v>
      </c>
      <c r="D2227" s="44">
        <v>45785</v>
      </c>
      <c r="E2227" s="45">
        <v>186</v>
      </c>
    </row>
    <row r="2228" spans="2:5">
      <c r="B2228" s="43" t="s">
        <v>14</v>
      </c>
      <c r="C2228" s="43" t="s">
        <v>15</v>
      </c>
      <c r="D2228" s="44">
        <v>45785</v>
      </c>
      <c r="E2228" s="45">
        <v>526.5</v>
      </c>
    </row>
    <row r="2229" spans="2:5">
      <c r="B2229" s="43" t="s">
        <v>20</v>
      </c>
      <c r="C2229" s="43" t="s">
        <v>21</v>
      </c>
      <c r="D2229" s="44">
        <v>45785</v>
      </c>
      <c r="E2229" s="45">
        <v>68.6</v>
      </c>
    </row>
    <row r="2230" spans="2:5">
      <c r="B2230" s="43" t="s">
        <v>80</v>
      </c>
      <c r="C2230" s="43" t="s">
        <v>81</v>
      </c>
      <c r="D2230" s="44">
        <v>45785</v>
      </c>
      <c r="E2230" s="45">
        <v>545.3</v>
      </c>
    </row>
    <row r="2231" spans="2:5">
      <c r="B2231" s="43" t="s">
        <v>24</v>
      </c>
      <c r="C2231" s="43" t="s">
        <v>25</v>
      </c>
      <c r="D2231" s="44">
        <v>45785</v>
      </c>
      <c r="E2231" s="45">
        <v>715.5</v>
      </c>
    </row>
    <row r="2232" spans="2:5">
      <c r="B2232" s="43" t="s">
        <v>26</v>
      </c>
      <c r="C2232" s="43" t="s">
        <v>27</v>
      </c>
      <c r="D2232" s="44">
        <v>45785</v>
      </c>
      <c r="E2232" s="45">
        <v>279.9</v>
      </c>
    </row>
    <row r="2233" spans="2:5">
      <c r="B2233" s="43" t="s">
        <v>60</v>
      </c>
      <c r="C2233" s="43" t="s">
        <v>61</v>
      </c>
      <c r="D2233" s="44">
        <v>45785</v>
      </c>
      <c r="E2233" s="45">
        <v>1830</v>
      </c>
    </row>
    <row r="2234" spans="2:5">
      <c r="B2234" s="43" t="s">
        <v>28</v>
      </c>
      <c r="C2234" s="43" t="s">
        <v>29</v>
      </c>
      <c r="D2234" s="44">
        <v>45785</v>
      </c>
      <c r="E2234" s="45">
        <v>340.1</v>
      </c>
    </row>
    <row r="2235" spans="2:5">
      <c r="B2235" s="43" t="s">
        <v>62</v>
      </c>
      <c r="C2235" s="43" t="s">
        <v>63</v>
      </c>
      <c r="D2235" s="44">
        <v>45785</v>
      </c>
      <c r="E2235" s="45">
        <v>779</v>
      </c>
    </row>
    <row r="2236" spans="2:5">
      <c r="B2236" s="43" t="s">
        <v>64</v>
      </c>
      <c r="C2236" s="43" t="s">
        <v>65</v>
      </c>
      <c r="D2236" s="44">
        <v>45785</v>
      </c>
      <c r="E2236" s="45">
        <v>3120</v>
      </c>
    </row>
    <row r="2237" spans="2:5">
      <c r="B2237" s="43" t="s">
        <v>164</v>
      </c>
      <c r="C2237" s="43" t="s">
        <v>165</v>
      </c>
      <c r="D2237" s="44">
        <v>45785</v>
      </c>
      <c r="E2237" s="45">
        <v>440.7</v>
      </c>
    </row>
    <row r="2238" spans="2:5">
      <c r="B2238" s="43" t="s">
        <v>198</v>
      </c>
      <c r="C2238" s="43" t="s">
        <v>199</v>
      </c>
      <c r="D2238" s="44">
        <v>45785</v>
      </c>
      <c r="E2238" s="45">
        <v>415.8</v>
      </c>
    </row>
    <row r="2239" spans="2:5">
      <c r="B2239" s="43" t="s">
        <v>106</v>
      </c>
      <c r="C2239" s="43" t="s">
        <v>107</v>
      </c>
      <c r="D2239" s="44">
        <v>45785</v>
      </c>
      <c r="E2239" s="45">
        <v>15.4</v>
      </c>
    </row>
    <row r="2240" spans="2:5">
      <c r="B2240" s="43" t="s">
        <v>30</v>
      </c>
      <c r="C2240" s="43" t="s">
        <v>31</v>
      </c>
      <c r="D2240" s="44">
        <v>45785</v>
      </c>
      <c r="E2240" s="45">
        <v>55</v>
      </c>
    </row>
    <row r="2241" spans="2:5">
      <c r="B2241" s="43" t="s">
        <v>196</v>
      </c>
      <c r="C2241" s="43" t="s">
        <v>197</v>
      </c>
      <c r="D2241" s="44">
        <v>45785</v>
      </c>
      <c r="E2241" s="45">
        <v>3</v>
      </c>
    </row>
    <row r="2242" spans="2:5">
      <c r="B2242" s="43" t="s">
        <v>96</v>
      </c>
      <c r="C2242" s="43" t="s">
        <v>97</v>
      </c>
      <c r="D2242" s="44">
        <v>45785</v>
      </c>
      <c r="E2242" s="45">
        <v>19</v>
      </c>
    </row>
    <row r="2243" spans="2:5">
      <c r="B2243" s="43" t="s">
        <v>32</v>
      </c>
      <c r="C2243" s="43" t="s">
        <v>33</v>
      </c>
      <c r="D2243" s="44">
        <v>45785</v>
      </c>
      <c r="E2243" s="45">
        <v>1</v>
      </c>
    </row>
    <row r="2244" spans="2:5">
      <c r="B2244" s="43" t="s">
        <v>34</v>
      </c>
      <c r="C2244" s="43" t="s">
        <v>35</v>
      </c>
      <c r="D2244" s="44">
        <v>45785</v>
      </c>
      <c r="E2244" s="45">
        <v>18</v>
      </c>
    </row>
    <row r="2245" spans="2:5">
      <c r="B2245" s="43" t="s">
        <v>36</v>
      </c>
      <c r="C2245" s="43" t="s">
        <v>37</v>
      </c>
      <c r="D2245" s="44">
        <v>45785</v>
      </c>
      <c r="E2245" s="45">
        <v>2</v>
      </c>
    </row>
    <row r="2246" spans="2:5">
      <c r="B2246" s="43" t="s">
        <v>42</v>
      </c>
      <c r="C2246" s="43" t="s">
        <v>43</v>
      </c>
      <c r="D2246" s="44">
        <v>45786</v>
      </c>
      <c r="E2246" s="45">
        <v>187.55</v>
      </c>
    </row>
    <row r="2247" spans="2:5">
      <c r="B2247" s="43" t="s">
        <v>4</v>
      </c>
      <c r="C2247" s="43" t="s">
        <v>5</v>
      </c>
      <c r="D2247" s="44">
        <v>45786</v>
      </c>
      <c r="E2247" s="45">
        <v>87.1</v>
      </c>
    </row>
    <row r="2248" spans="2:5">
      <c r="B2248" s="43" t="s">
        <v>156</v>
      </c>
      <c r="C2248" s="43" t="s">
        <v>157</v>
      </c>
      <c r="D2248" s="44">
        <v>45786</v>
      </c>
      <c r="E2248" s="45">
        <v>327.6</v>
      </c>
    </row>
    <row r="2249" spans="2:5">
      <c r="B2249" s="43" t="s">
        <v>8</v>
      </c>
      <c r="C2249" s="43" t="s">
        <v>9</v>
      </c>
      <c r="D2249" s="44">
        <v>45786</v>
      </c>
      <c r="E2249" s="45">
        <v>113.1</v>
      </c>
    </row>
    <row r="2250" spans="2:5">
      <c r="B2250" s="43" t="s">
        <v>44</v>
      </c>
      <c r="C2250" s="43" t="s">
        <v>45</v>
      </c>
      <c r="D2250" s="44">
        <v>45786</v>
      </c>
      <c r="E2250" s="45">
        <v>8.5</v>
      </c>
    </row>
    <row r="2251" spans="2:5">
      <c r="B2251" s="43" t="s">
        <v>72</v>
      </c>
      <c r="C2251" s="43" t="s">
        <v>73</v>
      </c>
      <c r="D2251" s="44">
        <v>45786</v>
      </c>
      <c r="E2251" s="45">
        <v>285.6</v>
      </c>
    </row>
    <row r="2252" spans="2:5">
      <c r="B2252" s="43" t="s">
        <v>74</v>
      </c>
      <c r="C2252" s="43" t="s">
        <v>75</v>
      </c>
      <c r="D2252" s="44">
        <v>45786</v>
      </c>
      <c r="E2252" s="45">
        <v>273.9</v>
      </c>
    </row>
    <row r="2253" spans="2:5">
      <c r="B2253" s="43" t="s">
        <v>12</v>
      </c>
      <c r="C2253" s="43" t="s">
        <v>13</v>
      </c>
      <c r="D2253" s="44">
        <v>45786</v>
      </c>
      <c r="E2253" s="45">
        <v>248.4</v>
      </c>
    </row>
    <row r="2254" spans="2:5">
      <c r="B2254" s="43" t="s">
        <v>134</v>
      </c>
      <c r="C2254" s="43" t="s">
        <v>135</v>
      </c>
      <c r="D2254" s="44">
        <v>45786</v>
      </c>
      <c r="E2254" s="45">
        <v>453.25</v>
      </c>
    </row>
    <row r="2255" spans="2:5">
      <c r="B2255" s="43" t="s">
        <v>114</v>
      </c>
      <c r="C2255" s="43" t="s">
        <v>115</v>
      </c>
      <c r="D2255" s="44">
        <v>45786</v>
      </c>
      <c r="E2255" s="45">
        <v>106.4</v>
      </c>
    </row>
    <row r="2256" spans="2:5">
      <c r="B2256" s="43" t="s">
        <v>56</v>
      </c>
      <c r="C2256" s="43" t="s">
        <v>57</v>
      </c>
      <c r="D2256" s="44">
        <v>45786</v>
      </c>
      <c r="E2256" s="45">
        <v>832.6</v>
      </c>
    </row>
    <row r="2257" spans="2:5">
      <c r="B2257" s="43" t="s">
        <v>76</v>
      </c>
      <c r="C2257" s="43" t="s">
        <v>77</v>
      </c>
      <c r="D2257" s="44">
        <v>45786</v>
      </c>
      <c r="E2257" s="45">
        <v>194.15</v>
      </c>
    </row>
    <row r="2258" spans="2:5">
      <c r="B2258" s="43" t="s">
        <v>188</v>
      </c>
      <c r="C2258" s="43" t="s">
        <v>189</v>
      </c>
      <c r="D2258" s="44">
        <v>45786</v>
      </c>
      <c r="E2258" s="45">
        <v>531.3</v>
      </c>
    </row>
    <row r="2259" spans="2:5">
      <c r="B2259" s="43" t="s">
        <v>20</v>
      </c>
      <c r="C2259" s="43" t="s">
        <v>21</v>
      </c>
      <c r="D2259" s="44">
        <v>45786</v>
      </c>
      <c r="E2259" s="45">
        <v>176.4</v>
      </c>
    </row>
    <row r="2260" spans="2:5">
      <c r="B2260" s="43" t="s">
        <v>22</v>
      </c>
      <c r="C2260" s="43" t="s">
        <v>23</v>
      </c>
      <c r="D2260" s="44">
        <v>45786</v>
      </c>
      <c r="E2260" s="45">
        <v>28.8</v>
      </c>
    </row>
    <row r="2261" spans="2:5">
      <c r="B2261" s="43" t="s">
        <v>80</v>
      </c>
      <c r="C2261" s="43" t="s">
        <v>81</v>
      </c>
      <c r="D2261" s="44">
        <v>45786</v>
      </c>
      <c r="E2261" s="45">
        <v>1061.9</v>
      </c>
    </row>
    <row r="2262" spans="2:5">
      <c r="B2262" s="43" t="s">
        <v>24</v>
      </c>
      <c r="C2262" s="43" t="s">
        <v>25</v>
      </c>
      <c r="D2262" s="44">
        <v>45786</v>
      </c>
      <c r="E2262" s="45">
        <v>1049.4</v>
      </c>
    </row>
    <row r="2263" spans="2:5">
      <c r="B2263" s="43" t="s">
        <v>58</v>
      </c>
      <c r="C2263" s="43" t="s">
        <v>59</v>
      </c>
      <c r="D2263" s="44">
        <v>45786</v>
      </c>
      <c r="E2263" s="45">
        <v>106.2</v>
      </c>
    </row>
    <row r="2264" spans="2:5">
      <c r="B2264" s="43" t="s">
        <v>26</v>
      </c>
      <c r="C2264" s="43" t="s">
        <v>27</v>
      </c>
      <c r="D2264" s="44">
        <v>45786</v>
      </c>
      <c r="E2264" s="45">
        <v>4711.65</v>
      </c>
    </row>
    <row r="2265" spans="2:5">
      <c r="B2265" s="43" t="s">
        <v>60</v>
      </c>
      <c r="C2265" s="43" t="s">
        <v>61</v>
      </c>
      <c r="D2265" s="44">
        <v>45786</v>
      </c>
      <c r="E2265" s="45">
        <v>1079.7</v>
      </c>
    </row>
    <row r="2266" spans="2:5">
      <c r="B2266" s="43" t="s">
        <v>28</v>
      </c>
      <c r="C2266" s="43" t="s">
        <v>29</v>
      </c>
      <c r="D2266" s="44">
        <v>45786</v>
      </c>
      <c r="E2266" s="45">
        <v>107.4</v>
      </c>
    </row>
    <row r="2267" spans="2:5">
      <c r="B2267" s="43" t="s">
        <v>62</v>
      </c>
      <c r="C2267" s="43" t="s">
        <v>63</v>
      </c>
      <c r="D2267" s="44">
        <v>45786</v>
      </c>
      <c r="E2267" s="45">
        <v>102.5</v>
      </c>
    </row>
    <row r="2268" spans="2:5">
      <c r="B2268" s="43" t="s">
        <v>148</v>
      </c>
      <c r="C2268" s="43" t="s">
        <v>149</v>
      </c>
      <c r="D2268" s="44">
        <v>45786</v>
      </c>
      <c r="E2268" s="45">
        <v>41</v>
      </c>
    </row>
    <row r="2269" spans="2:5">
      <c r="B2269" s="43" t="s">
        <v>64</v>
      </c>
      <c r="C2269" s="43" t="s">
        <v>65</v>
      </c>
      <c r="D2269" s="44">
        <v>45786</v>
      </c>
      <c r="E2269" s="45">
        <v>300</v>
      </c>
    </row>
    <row r="2270" spans="2:5">
      <c r="B2270" s="43" t="s">
        <v>66</v>
      </c>
      <c r="C2270" s="43" t="s">
        <v>67</v>
      </c>
      <c r="D2270" s="44">
        <v>45786</v>
      </c>
      <c r="E2270" s="45">
        <v>27.7</v>
      </c>
    </row>
    <row r="2271" spans="2:5">
      <c r="B2271" s="43" t="s">
        <v>106</v>
      </c>
      <c r="C2271" s="43" t="s">
        <v>107</v>
      </c>
      <c r="D2271" s="44">
        <v>45786</v>
      </c>
      <c r="E2271" s="45">
        <v>7.7</v>
      </c>
    </row>
    <row r="2272" spans="2:5">
      <c r="B2272" s="43" t="s">
        <v>142</v>
      </c>
      <c r="C2272" s="43" t="s">
        <v>143</v>
      </c>
      <c r="D2272" s="44">
        <v>45786</v>
      </c>
      <c r="E2272" s="45">
        <v>1</v>
      </c>
    </row>
    <row r="2273" spans="2:5">
      <c r="B2273" s="43" t="s">
        <v>30</v>
      </c>
      <c r="C2273" s="43" t="s">
        <v>31</v>
      </c>
      <c r="D2273" s="44">
        <v>45786</v>
      </c>
      <c r="E2273" s="45">
        <v>1</v>
      </c>
    </row>
    <row r="2274" spans="2:5">
      <c r="B2274" s="43" t="s">
        <v>196</v>
      </c>
      <c r="C2274" s="43" t="s">
        <v>197</v>
      </c>
      <c r="D2274" s="44">
        <v>45786</v>
      </c>
      <c r="E2274" s="45">
        <v>12</v>
      </c>
    </row>
    <row r="2275" spans="2:5">
      <c r="B2275" s="43" t="s">
        <v>96</v>
      </c>
      <c r="C2275" s="43" t="s">
        <v>97</v>
      </c>
      <c r="D2275" s="44">
        <v>45786</v>
      </c>
      <c r="E2275" s="45">
        <v>2</v>
      </c>
    </row>
    <row r="2276" spans="2:5">
      <c r="B2276" s="43" t="s">
        <v>98</v>
      </c>
      <c r="C2276" s="43" t="s">
        <v>99</v>
      </c>
      <c r="D2276" s="44">
        <v>45786</v>
      </c>
      <c r="E2276" s="45">
        <v>4</v>
      </c>
    </row>
    <row r="2277" spans="2:5">
      <c r="B2277" s="43" t="s">
        <v>34</v>
      </c>
      <c r="C2277" s="43" t="s">
        <v>35</v>
      </c>
      <c r="D2277" s="44">
        <v>45786</v>
      </c>
      <c r="E2277" s="45">
        <v>8</v>
      </c>
    </row>
    <row r="2278" spans="2:5">
      <c r="B2278" s="43" t="s">
        <v>36</v>
      </c>
      <c r="C2278" s="43" t="s">
        <v>37</v>
      </c>
      <c r="D2278" s="44">
        <v>45786</v>
      </c>
      <c r="E2278" s="45">
        <v>17</v>
      </c>
    </row>
    <row r="2279" spans="2:5">
      <c r="B2279" s="43" t="s">
        <v>40</v>
      </c>
      <c r="C2279" s="43" t="s">
        <v>41</v>
      </c>
      <c r="D2279" s="44">
        <v>45789</v>
      </c>
      <c r="E2279" s="45">
        <v>1</v>
      </c>
    </row>
    <row r="2280" spans="2:5">
      <c r="B2280" s="43" t="s">
        <v>156</v>
      </c>
      <c r="C2280" s="43" t="s">
        <v>157</v>
      </c>
      <c r="D2280" s="44">
        <v>45789</v>
      </c>
      <c r="E2280" s="45">
        <v>70.2</v>
      </c>
    </row>
    <row r="2281" spans="2:5">
      <c r="B2281" s="43" t="s">
        <v>44</v>
      </c>
      <c r="C2281" s="43" t="s">
        <v>45</v>
      </c>
      <c r="D2281" s="44">
        <v>45789</v>
      </c>
      <c r="E2281" s="45">
        <v>34</v>
      </c>
    </row>
    <row r="2282" spans="2:5">
      <c r="B2282" s="43" t="s">
        <v>46</v>
      </c>
      <c r="C2282" s="43" t="s">
        <v>47</v>
      </c>
      <c r="D2282" s="44">
        <v>45789</v>
      </c>
      <c r="E2282" s="45">
        <v>56.5</v>
      </c>
    </row>
    <row r="2283" spans="2:5">
      <c r="B2283" s="43" t="s">
        <v>12</v>
      </c>
      <c r="C2283" s="43" t="s">
        <v>13</v>
      </c>
      <c r="D2283" s="44">
        <v>45789</v>
      </c>
      <c r="E2283" s="45">
        <v>41.4</v>
      </c>
    </row>
    <row r="2284" spans="2:5">
      <c r="B2284" s="43" t="s">
        <v>14</v>
      </c>
      <c r="C2284" s="43" t="s">
        <v>15</v>
      </c>
      <c r="D2284" s="44">
        <v>45789</v>
      </c>
      <c r="E2284" s="45">
        <v>175.5</v>
      </c>
    </row>
    <row r="2285" spans="2:5">
      <c r="B2285" s="43" t="s">
        <v>50</v>
      </c>
      <c r="C2285" s="43" t="s">
        <v>51</v>
      </c>
      <c r="D2285" s="44">
        <v>45789</v>
      </c>
      <c r="E2285" s="45">
        <v>856.8</v>
      </c>
    </row>
    <row r="2286" spans="2:5">
      <c r="B2286" s="43" t="s">
        <v>56</v>
      </c>
      <c r="C2286" s="43" t="s">
        <v>57</v>
      </c>
      <c r="D2286" s="44">
        <v>45789</v>
      </c>
      <c r="E2286" s="45">
        <v>524.9</v>
      </c>
    </row>
    <row r="2287" spans="2:5">
      <c r="B2287" s="43" t="s">
        <v>126</v>
      </c>
      <c r="C2287" s="43" t="s">
        <v>127</v>
      </c>
      <c r="D2287" s="44">
        <v>45789</v>
      </c>
      <c r="E2287" s="45">
        <v>1557.6</v>
      </c>
    </row>
    <row r="2288" spans="2:5">
      <c r="B2288" s="43" t="s">
        <v>200</v>
      </c>
      <c r="C2288" s="43" t="s">
        <v>201</v>
      </c>
      <c r="D2288" s="44">
        <v>45789</v>
      </c>
      <c r="E2288" s="45">
        <v>55</v>
      </c>
    </row>
    <row r="2289" spans="2:5">
      <c r="B2289" s="43" t="s">
        <v>20</v>
      </c>
      <c r="C2289" s="43" t="s">
        <v>21</v>
      </c>
      <c r="D2289" s="44">
        <v>45789</v>
      </c>
      <c r="E2289" s="45">
        <v>9.8</v>
      </c>
    </row>
    <row r="2290" spans="2:5">
      <c r="B2290" s="43" t="s">
        <v>80</v>
      </c>
      <c r="C2290" s="43" t="s">
        <v>81</v>
      </c>
      <c r="D2290" s="44">
        <v>45789</v>
      </c>
      <c r="E2290" s="45">
        <v>430.5</v>
      </c>
    </row>
    <row r="2291" spans="2:5">
      <c r="B2291" s="43" t="s">
        <v>24</v>
      </c>
      <c r="C2291" s="43" t="s">
        <v>25</v>
      </c>
      <c r="D2291" s="44">
        <v>45789</v>
      </c>
      <c r="E2291" s="45">
        <v>2655.3</v>
      </c>
    </row>
    <row r="2292" spans="2:5">
      <c r="B2292" s="43" t="s">
        <v>26</v>
      </c>
      <c r="C2292" s="43" t="s">
        <v>27</v>
      </c>
      <c r="D2292" s="44">
        <v>45789</v>
      </c>
      <c r="E2292" s="45">
        <v>1726.05</v>
      </c>
    </row>
    <row r="2293" spans="2:5">
      <c r="B2293" s="43" t="s">
        <v>60</v>
      </c>
      <c r="C2293" s="43" t="s">
        <v>61</v>
      </c>
      <c r="D2293" s="44">
        <v>45789</v>
      </c>
      <c r="E2293" s="45">
        <v>1244.4</v>
      </c>
    </row>
    <row r="2294" spans="2:5">
      <c r="B2294" s="43" t="s">
        <v>28</v>
      </c>
      <c r="C2294" s="43" t="s">
        <v>29</v>
      </c>
      <c r="D2294" s="44">
        <v>45789</v>
      </c>
      <c r="E2294" s="45">
        <v>572.8</v>
      </c>
    </row>
    <row r="2295" spans="2:5">
      <c r="B2295" s="43" t="s">
        <v>64</v>
      </c>
      <c r="C2295" s="43" t="s">
        <v>65</v>
      </c>
      <c r="D2295" s="44">
        <v>45789</v>
      </c>
      <c r="E2295" s="45">
        <v>160</v>
      </c>
    </row>
    <row r="2296" spans="2:5">
      <c r="B2296" s="43" t="s">
        <v>172</v>
      </c>
      <c r="C2296" s="43" t="s">
        <v>173</v>
      </c>
      <c r="D2296" s="44">
        <v>45789</v>
      </c>
      <c r="E2296" s="45">
        <v>112.75</v>
      </c>
    </row>
    <row r="2297" spans="2:5">
      <c r="B2297" s="43" t="s">
        <v>30</v>
      </c>
      <c r="C2297" s="43" t="s">
        <v>31</v>
      </c>
      <c r="D2297" s="44">
        <v>45789</v>
      </c>
      <c r="E2297" s="45">
        <v>2</v>
      </c>
    </row>
    <row r="2298" spans="2:5">
      <c r="B2298" s="43" t="s">
        <v>196</v>
      </c>
      <c r="C2298" s="43" t="s">
        <v>197</v>
      </c>
      <c r="D2298" s="44">
        <v>45789</v>
      </c>
      <c r="E2298" s="45">
        <v>1</v>
      </c>
    </row>
    <row r="2299" spans="2:5">
      <c r="B2299" s="43" t="s">
        <v>96</v>
      </c>
      <c r="C2299" s="43" t="s">
        <v>97</v>
      </c>
      <c r="D2299" s="44">
        <v>45789</v>
      </c>
      <c r="E2299" s="45">
        <v>16</v>
      </c>
    </row>
    <row r="2300" spans="2:5">
      <c r="B2300" s="43" t="s">
        <v>32</v>
      </c>
      <c r="C2300" s="43" t="s">
        <v>33</v>
      </c>
      <c r="D2300" s="44">
        <v>45789</v>
      </c>
      <c r="E2300" s="45">
        <v>1</v>
      </c>
    </row>
    <row r="2301" spans="2:5">
      <c r="B2301" s="43" t="s">
        <v>34</v>
      </c>
      <c r="C2301" s="43" t="s">
        <v>35</v>
      </c>
      <c r="D2301" s="44">
        <v>45789</v>
      </c>
      <c r="E2301" s="45">
        <v>10</v>
      </c>
    </row>
    <row r="2302" spans="2:5">
      <c r="B2302" s="43" t="s">
        <v>36</v>
      </c>
      <c r="C2302" s="43" t="s">
        <v>37</v>
      </c>
      <c r="D2302" s="44">
        <v>45789</v>
      </c>
      <c r="E2302" s="45">
        <v>4</v>
      </c>
    </row>
    <row r="2303" spans="2:5">
      <c r="B2303" s="43" t="s">
        <v>38</v>
      </c>
      <c r="C2303" s="43" t="s">
        <v>39</v>
      </c>
      <c r="D2303" s="44">
        <v>45789</v>
      </c>
      <c r="E2303" s="45">
        <v>36</v>
      </c>
    </row>
    <row r="2304" spans="2:5">
      <c r="B2304" s="43" t="s">
        <v>154</v>
      </c>
      <c r="C2304" s="43" t="s">
        <v>155</v>
      </c>
      <c r="D2304" s="44">
        <v>45790</v>
      </c>
      <c r="E2304" s="45">
        <v>12</v>
      </c>
    </row>
    <row r="2305" spans="2:5">
      <c r="B2305" s="43" t="s">
        <v>4</v>
      </c>
      <c r="C2305" s="43" t="s">
        <v>5</v>
      </c>
      <c r="D2305" s="44">
        <v>45790</v>
      </c>
      <c r="E2305" s="45">
        <v>107.2</v>
      </c>
    </row>
    <row r="2306" spans="2:5">
      <c r="B2306" s="43" t="s">
        <v>156</v>
      </c>
      <c r="C2306" s="43" t="s">
        <v>157</v>
      </c>
      <c r="D2306" s="44">
        <v>45790</v>
      </c>
      <c r="E2306" s="45">
        <v>7.8</v>
      </c>
    </row>
    <row r="2307" spans="2:5">
      <c r="B2307" s="43" t="s">
        <v>8</v>
      </c>
      <c r="C2307" s="43" t="s">
        <v>9</v>
      </c>
      <c r="D2307" s="44">
        <v>45790</v>
      </c>
      <c r="E2307" s="45">
        <v>269.7</v>
      </c>
    </row>
    <row r="2308" spans="2:5">
      <c r="B2308" s="43" t="s">
        <v>44</v>
      </c>
      <c r="C2308" s="43" t="s">
        <v>45</v>
      </c>
      <c r="D2308" s="44">
        <v>45790</v>
      </c>
      <c r="E2308" s="45">
        <v>68</v>
      </c>
    </row>
    <row r="2309" spans="2:5">
      <c r="B2309" s="43" t="s">
        <v>14</v>
      </c>
      <c r="C2309" s="43" t="s">
        <v>15</v>
      </c>
      <c r="D2309" s="44">
        <v>45790</v>
      </c>
      <c r="E2309" s="45">
        <v>81</v>
      </c>
    </row>
    <row r="2310" spans="2:5">
      <c r="B2310" s="43" t="s">
        <v>50</v>
      </c>
      <c r="C2310" s="43" t="s">
        <v>51</v>
      </c>
      <c r="D2310" s="44">
        <v>45790</v>
      </c>
      <c r="E2310" s="45">
        <v>136</v>
      </c>
    </row>
    <row r="2311" spans="2:5">
      <c r="B2311" s="43" t="s">
        <v>144</v>
      </c>
      <c r="C2311" s="43" t="s">
        <v>145</v>
      </c>
      <c r="D2311" s="44">
        <v>45790</v>
      </c>
      <c r="E2311" s="45">
        <v>81</v>
      </c>
    </row>
    <row r="2312" spans="2:5">
      <c r="B2312" s="43" t="s">
        <v>202</v>
      </c>
      <c r="C2312" s="43" t="s">
        <v>203</v>
      </c>
      <c r="D2312" s="44">
        <v>45790</v>
      </c>
      <c r="E2312" s="45">
        <v>199.1</v>
      </c>
    </row>
    <row r="2313" spans="2:5">
      <c r="B2313" s="43" t="s">
        <v>126</v>
      </c>
      <c r="C2313" s="43" t="s">
        <v>127</v>
      </c>
      <c r="D2313" s="44">
        <v>45790</v>
      </c>
      <c r="E2313" s="45">
        <v>330.4</v>
      </c>
    </row>
    <row r="2314" spans="2:5">
      <c r="B2314" s="43" t="s">
        <v>128</v>
      </c>
      <c r="C2314" s="43" t="s">
        <v>129</v>
      </c>
      <c r="D2314" s="44">
        <v>45790</v>
      </c>
      <c r="E2314" s="45">
        <v>119.2</v>
      </c>
    </row>
    <row r="2315" spans="2:5">
      <c r="B2315" s="43" t="s">
        <v>20</v>
      </c>
      <c r="C2315" s="43" t="s">
        <v>21</v>
      </c>
      <c r="D2315" s="44">
        <v>45790</v>
      </c>
      <c r="E2315" s="45">
        <v>1381.8</v>
      </c>
    </row>
    <row r="2316" spans="2:5">
      <c r="B2316" s="43" t="s">
        <v>22</v>
      </c>
      <c r="C2316" s="43" t="s">
        <v>23</v>
      </c>
      <c r="D2316" s="44">
        <v>45790</v>
      </c>
      <c r="E2316" s="45">
        <v>211.2</v>
      </c>
    </row>
    <row r="2317" spans="2:5">
      <c r="B2317" s="43" t="s">
        <v>80</v>
      </c>
      <c r="C2317" s="43" t="s">
        <v>81</v>
      </c>
      <c r="D2317" s="44">
        <v>45790</v>
      </c>
      <c r="E2317" s="45">
        <v>172.2</v>
      </c>
    </row>
    <row r="2318" spans="2:5">
      <c r="B2318" s="43" t="s">
        <v>24</v>
      </c>
      <c r="C2318" s="43" t="s">
        <v>25</v>
      </c>
      <c r="D2318" s="44">
        <v>45790</v>
      </c>
      <c r="E2318" s="45">
        <v>779.1</v>
      </c>
    </row>
    <row r="2319" spans="2:5">
      <c r="B2319" s="43" t="s">
        <v>26</v>
      </c>
      <c r="C2319" s="43" t="s">
        <v>27</v>
      </c>
      <c r="D2319" s="44">
        <v>45790</v>
      </c>
      <c r="E2319" s="45">
        <v>870.8</v>
      </c>
    </row>
    <row r="2320" spans="2:5">
      <c r="B2320" s="43" t="s">
        <v>60</v>
      </c>
      <c r="C2320" s="43" t="s">
        <v>61</v>
      </c>
      <c r="D2320" s="44">
        <v>45790</v>
      </c>
      <c r="E2320" s="45">
        <v>768.6</v>
      </c>
    </row>
    <row r="2321" spans="2:5">
      <c r="B2321" s="43" t="s">
        <v>28</v>
      </c>
      <c r="C2321" s="43" t="s">
        <v>29</v>
      </c>
      <c r="D2321" s="44">
        <v>45790</v>
      </c>
      <c r="E2321" s="45">
        <v>179</v>
      </c>
    </row>
    <row r="2322" spans="2:5">
      <c r="B2322" s="43" t="s">
        <v>62</v>
      </c>
      <c r="C2322" s="43" t="s">
        <v>63</v>
      </c>
      <c r="D2322" s="44">
        <v>45790</v>
      </c>
      <c r="E2322" s="45">
        <v>61.5</v>
      </c>
    </row>
    <row r="2323" spans="2:5">
      <c r="B2323" s="43" t="s">
        <v>64</v>
      </c>
      <c r="C2323" s="43" t="s">
        <v>65</v>
      </c>
      <c r="D2323" s="44">
        <v>45790</v>
      </c>
      <c r="E2323" s="45">
        <v>100</v>
      </c>
    </row>
    <row r="2324" spans="2:5">
      <c r="B2324" s="43" t="s">
        <v>150</v>
      </c>
      <c r="C2324" s="43" t="s">
        <v>151</v>
      </c>
      <c r="D2324" s="44">
        <v>45790</v>
      </c>
      <c r="E2324" s="45">
        <v>81.15</v>
      </c>
    </row>
    <row r="2325" spans="2:5">
      <c r="B2325" s="43" t="s">
        <v>106</v>
      </c>
      <c r="C2325" s="43" t="s">
        <v>107</v>
      </c>
      <c r="D2325" s="44">
        <v>45790</v>
      </c>
      <c r="E2325" s="45">
        <v>7.7</v>
      </c>
    </row>
    <row r="2326" spans="2:5">
      <c r="B2326" s="43" t="s">
        <v>142</v>
      </c>
      <c r="C2326" s="43" t="s">
        <v>143</v>
      </c>
      <c r="D2326" s="44">
        <v>45790</v>
      </c>
      <c r="E2326" s="45">
        <v>8</v>
      </c>
    </row>
    <row r="2327" spans="2:5">
      <c r="B2327" s="43" t="s">
        <v>196</v>
      </c>
      <c r="C2327" s="43" t="s">
        <v>197</v>
      </c>
      <c r="D2327" s="44">
        <v>45790</v>
      </c>
      <c r="E2327" s="45">
        <v>4</v>
      </c>
    </row>
    <row r="2328" spans="2:5">
      <c r="B2328" s="43" t="s">
        <v>96</v>
      </c>
      <c r="C2328" s="43" t="s">
        <v>97</v>
      </c>
      <c r="D2328" s="44">
        <v>45790</v>
      </c>
      <c r="E2328" s="45">
        <v>6</v>
      </c>
    </row>
    <row r="2329" spans="2:5">
      <c r="B2329" s="43" t="s">
        <v>32</v>
      </c>
      <c r="C2329" s="43" t="s">
        <v>33</v>
      </c>
      <c r="D2329" s="44">
        <v>45790</v>
      </c>
      <c r="E2329" s="45">
        <v>2</v>
      </c>
    </row>
    <row r="2330" spans="2:5">
      <c r="B2330" s="43" t="s">
        <v>34</v>
      </c>
      <c r="C2330" s="43" t="s">
        <v>35</v>
      </c>
      <c r="D2330" s="44">
        <v>45790</v>
      </c>
      <c r="E2330" s="45">
        <v>66</v>
      </c>
    </row>
    <row r="2331" spans="2:5">
      <c r="B2331" s="43" t="s">
        <v>38</v>
      </c>
      <c r="C2331" s="43" t="s">
        <v>39</v>
      </c>
      <c r="D2331" s="44">
        <v>45790</v>
      </c>
      <c r="E2331" s="45">
        <v>4</v>
      </c>
    </row>
    <row r="2332" spans="2:5">
      <c r="B2332" s="43" t="s">
        <v>102</v>
      </c>
      <c r="C2332" s="43" t="s">
        <v>103</v>
      </c>
      <c r="D2332" s="44">
        <v>45791</v>
      </c>
      <c r="E2332" s="45">
        <v>6</v>
      </c>
    </row>
    <row r="2333" spans="2:5">
      <c r="B2333" s="43" t="s">
        <v>4</v>
      </c>
      <c r="C2333" s="43" t="s">
        <v>5</v>
      </c>
      <c r="D2333" s="44">
        <v>45791</v>
      </c>
      <c r="E2333" s="45">
        <v>201</v>
      </c>
    </row>
    <row r="2334" spans="2:5">
      <c r="B2334" s="43" t="s">
        <v>8</v>
      </c>
      <c r="C2334" s="43" t="s">
        <v>9</v>
      </c>
      <c r="D2334" s="44">
        <v>45791</v>
      </c>
      <c r="E2334" s="45">
        <v>304.5</v>
      </c>
    </row>
    <row r="2335" spans="2:5">
      <c r="B2335" s="43" t="s">
        <v>44</v>
      </c>
      <c r="C2335" s="43" t="s">
        <v>45</v>
      </c>
      <c r="D2335" s="44">
        <v>45791</v>
      </c>
      <c r="E2335" s="45">
        <v>8.5</v>
      </c>
    </row>
    <row r="2336" spans="2:5">
      <c r="B2336" s="43" t="s">
        <v>10</v>
      </c>
      <c r="C2336" s="43" t="s">
        <v>11</v>
      </c>
      <c r="D2336" s="44">
        <v>45791</v>
      </c>
      <c r="E2336" s="45">
        <v>154.7</v>
      </c>
    </row>
    <row r="2337" spans="2:5">
      <c r="B2337" s="43" t="s">
        <v>12</v>
      </c>
      <c r="C2337" s="43" t="s">
        <v>13</v>
      </c>
      <c r="D2337" s="44">
        <v>45791</v>
      </c>
      <c r="E2337" s="45">
        <v>138</v>
      </c>
    </row>
    <row r="2338" spans="2:5">
      <c r="B2338" s="43" t="s">
        <v>178</v>
      </c>
      <c r="C2338" s="43" t="s">
        <v>179</v>
      </c>
      <c r="D2338" s="44">
        <v>45791</v>
      </c>
      <c r="E2338" s="45">
        <v>72</v>
      </c>
    </row>
    <row r="2339" spans="2:5">
      <c r="B2339" s="43" t="s">
        <v>14</v>
      </c>
      <c r="C2339" s="43" t="s">
        <v>15</v>
      </c>
      <c r="D2339" s="44">
        <v>45791</v>
      </c>
      <c r="E2339" s="45">
        <v>135</v>
      </c>
    </row>
    <row r="2340" spans="2:5">
      <c r="B2340" s="43" t="s">
        <v>134</v>
      </c>
      <c r="C2340" s="43" t="s">
        <v>135</v>
      </c>
      <c r="D2340" s="44">
        <v>45791</v>
      </c>
      <c r="E2340" s="45">
        <v>428.75</v>
      </c>
    </row>
    <row r="2341" spans="2:5">
      <c r="B2341" s="43" t="s">
        <v>114</v>
      </c>
      <c r="C2341" s="43" t="s">
        <v>115</v>
      </c>
      <c r="D2341" s="44">
        <v>45791</v>
      </c>
      <c r="E2341" s="45">
        <v>119.7</v>
      </c>
    </row>
    <row r="2342" spans="2:5">
      <c r="B2342" s="43" t="s">
        <v>138</v>
      </c>
      <c r="C2342" s="43" t="s">
        <v>139</v>
      </c>
      <c r="D2342" s="44">
        <v>45791</v>
      </c>
      <c r="E2342" s="45">
        <v>47.55</v>
      </c>
    </row>
    <row r="2343" spans="2:5">
      <c r="B2343" s="43" t="s">
        <v>56</v>
      </c>
      <c r="C2343" s="43" t="s">
        <v>57</v>
      </c>
      <c r="D2343" s="44">
        <v>45791</v>
      </c>
      <c r="E2343" s="45">
        <v>126.7</v>
      </c>
    </row>
    <row r="2344" spans="2:5">
      <c r="B2344" s="43" t="s">
        <v>76</v>
      </c>
      <c r="C2344" s="43" t="s">
        <v>77</v>
      </c>
      <c r="D2344" s="44">
        <v>45791</v>
      </c>
      <c r="E2344" s="45">
        <v>105.9</v>
      </c>
    </row>
    <row r="2345" spans="2:5">
      <c r="B2345" s="43" t="s">
        <v>152</v>
      </c>
      <c r="C2345" s="43" t="s">
        <v>153</v>
      </c>
      <c r="D2345" s="44">
        <v>45791</v>
      </c>
      <c r="E2345" s="45">
        <v>46.5</v>
      </c>
    </row>
    <row r="2346" spans="2:5">
      <c r="B2346" s="43" t="s">
        <v>16</v>
      </c>
      <c r="C2346" s="43" t="s">
        <v>17</v>
      </c>
      <c r="D2346" s="44">
        <v>45791</v>
      </c>
      <c r="E2346" s="45">
        <v>136.8</v>
      </c>
    </row>
    <row r="2347" spans="2:5">
      <c r="B2347" s="43" t="s">
        <v>80</v>
      </c>
      <c r="C2347" s="43" t="s">
        <v>81</v>
      </c>
      <c r="D2347" s="44">
        <v>45791</v>
      </c>
      <c r="E2347" s="45">
        <v>717.5</v>
      </c>
    </row>
    <row r="2348" spans="2:5">
      <c r="B2348" s="43" t="s">
        <v>24</v>
      </c>
      <c r="C2348" s="43" t="s">
        <v>25</v>
      </c>
      <c r="D2348" s="44">
        <v>45791</v>
      </c>
      <c r="E2348" s="45">
        <v>842.7</v>
      </c>
    </row>
    <row r="2349" spans="2:5">
      <c r="B2349" s="43" t="s">
        <v>26</v>
      </c>
      <c r="C2349" s="43" t="s">
        <v>27</v>
      </c>
      <c r="D2349" s="44">
        <v>45791</v>
      </c>
      <c r="E2349" s="45">
        <v>326.55</v>
      </c>
    </row>
    <row r="2350" spans="2:5">
      <c r="B2350" s="43" t="s">
        <v>28</v>
      </c>
      <c r="C2350" s="43" t="s">
        <v>29</v>
      </c>
      <c r="D2350" s="44">
        <v>45791</v>
      </c>
      <c r="E2350" s="45">
        <v>214.8</v>
      </c>
    </row>
    <row r="2351" spans="2:5">
      <c r="B2351" s="43" t="s">
        <v>62</v>
      </c>
      <c r="C2351" s="43" t="s">
        <v>63</v>
      </c>
      <c r="D2351" s="44">
        <v>45791</v>
      </c>
      <c r="E2351" s="45">
        <v>41</v>
      </c>
    </row>
    <row r="2352" spans="2:5">
      <c r="B2352" s="43" t="s">
        <v>64</v>
      </c>
      <c r="C2352" s="43" t="s">
        <v>65</v>
      </c>
      <c r="D2352" s="44">
        <v>45791</v>
      </c>
      <c r="E2352" s="45">
        <v>40</v>
      </c>
    </row>
    <row r="2353" spans="2:5">
      <c r="B2353" s="43" t="s">
        <v>150</v>
      </c>
      <c r="C2353" s="43" t="s">
        <v>151</v>
      </c>
      <c r="D2353" s="44">
        <v>45791</v>
      </c>
      <c r="E2353" s="45">
        <v>54.1</v>
      </c>
    </row>
    <row r="2354" spans="2:5">
      <c r="B2354" s="43" t="s">
        <v>142</v>
      </c>
      <c r="C2354" s="43" t="s">
        <v>143</v>
      </c>
      <c r="D2354" s="44">
        <v>45791</v>
      </c>
      <c r="E2354" s="45">
        <v>21</v>
      </c>
    </row>
    <row r="2355" spans="2:5">
      <c r="B2355" s="43" t="s">
        <v>196</v>
      </c>
      <c r="C2355" s="43" t="s">
        <v>197</v>
      </c>
      <c r="D2355" s="44">
        <v>45791</v>
      </c>
      <c r="E2355" s="45">
        <v>14</v>
      </c>
    </row>
    <row r="2356" spans="2:5">
      <c r="B2356" s="43" t="s">
        <v>96</v>
      </c>
      <c r="C2356" s="43" t="s">
        <v>97</v>
      </c>
      <c r="D2356" s="44">
        <v>45791</v>
      </c>
      <c r="E2356" s="45">
        <v>35</v>
      </c>
    </row>
    <row r="2357" spans="2:5">
      <c r="B2357" s="43" t="s">
        <v>32</v>
      </c>
      <c r="C2357" s="43" t="s">
        <v>33</v>
      </c>
      <c r="D2357" s="44">
        <v>45791</v>
      </c>
      <c r="E2357" s="45">
        <v>7</v>
      </c>
    </row>
    <row r="2358" spans="2:5">
      <c r="B2358" s="43" t="s">
        <v>98</v>
      </c>
      <c r="C2358" s="43" t="s">
        <v>99</v>
      </c>
      <c r="D2358" s="44">
        <v>45791</v>
      </c>
      <c r="E2358" s="45">
        <v>5</v>
      </c>
    </row>
    <row r="2359" spans="2:5">
      <c r="B2359" s="43" t="s">
        <v>34</v>
      </c>
      <c r="C2359" s="43" t="s">
        <v>35</v>
      </c>
      <c r="D2359" s="44">
        <v>45791</v>
      </c>
      <c r="E2359" s="45">
        <v>6</v>
      </c>
    </row>
    <row r="2360" spans="2:5">
      <c r="B2360" s="43" t="s">
        <v>36</v>
      </c>
      <c r="C2360" s="43" t="s">
        <v>37</v>
      </c>
      <c r="D2360" s="44">
        <v>45791</v>
      </c>
      <c r="E2360" s="45">
        <v>10</v>
      </c>
    </row>
    <row r="2361" spans="2:5">
      <c r="B2361" s="43" t="s">
        <v>38</v>
      </c>
      <c r="C2361" s="43" t="s">
        <v>39</v>
      </c>
      <c r="D2361" s="44">
        <v>45791</v>
      </c>
      <c r="E2361" s="45">
        <v>2</v>
      </c>
    </row>
    <row r="2362" spans="2:5">
      <c r="B2362" s="43" t="s">
        <v>4</v>
      </c>
      <c r="C2362" s="43" t="s">
        <v>5</v>
      </c>
      <c r="D2362" s="44">
        <v>45792</v>
      </c>
      <c r="E2362" s="45">
        <v>134</v>
      </c>
    </row>
    <row r="2363" spans="2:5">
      <c r="B2363" s="43" t="s">
        <v>8</v>
      </c>
      <c r="C2363" s="43" t="s">
        <v>9</v>
      </c>
      <c r="D2363" s="44">
        <v>45792</v>
      </c>
      <c r="E2363" s="45">
        <v>182.7</v>
      </c>
    </row>
    <row r="2364" spans="2:5">
      <c r="B2364" s="43" t="s">
        <v>44</v>
      </c>
      <c r="C2364" s="43" t="s">
        <v>45</v>
      </c>
      <c r="D2364" s="44">
        <v>45792</v>
      </c>
      <c r="E2364" s="45">
        <v>17</v>
      </c>
    </row>
    <row r="2365" spans="2:5">
      <c r="B2365" s="43" t="s">
        <v>46</v>
      </c>
      <c r="C2365" s="43" t="s">
        <v>47</v>
      </c>
      <c r="D2365" s="44">
        <v>45792</v>
      </c>
      <c r="E2365" s="45">
        <v>350.3</v>
      </c>
    </row>
    <row r="2366" spans="2:5">
      <c r="B2366" s="43" t="s">
        <v>10</v>
      </c>
      <c r="C2366" s="43" t="s">
        <v>11</v>
      </c>
      <c r="D2366" s="44">
        <v>45792</v>
      </c>
      <c r="E2366" s="45">
        <v>66.3</v>
      </c>
    </row>
    <row r="2367" spans="2:5">
      <c r="B2367" s="43" t="s">
        <v>74</v>
      </c>
      <c r="C2367" s="43" t="s">
        <v>75</v>
      </c>
      <c r="D2367" s="44">
        <v>45792</v>
      </c>
      <c r="E2367" s="45">
        <v>1245</v>
      </c>
    </row>
    <row r="2368" spans="2:5">
      <c r="B2368" s="43" t="s">
        <v>12</v>
      </c>
      <c r="C2368" s="43" t="s">
        <v>13</v>
      </c>
      <c r="D2368" s="44">
        <v>45792</v>
      </c>
      <c r="E2368" s="45">
        <v>414</v>
      </c>
    </row>
    <row r="2369" spans="2:5">
      <c r="B2369" s="43" t="s">
        <v>14</v>
      </c>
      <c r="C2369" s="43" t="s">
        <v>15</v>
      </c>
      <c r="D2369" s="44">
        <v>45792</v>
      </c>
      <c r="E2369" s="45">
        <v>135</v>
      </c>
    </row>
    <row r="2370" spans="2:5">
      <c r="B2370" s="43" t="s">
        <v>50</v>
      </c>
      <c r="C2370" s="43" t="s">
        <v>51</v>
      </c>
      <c r="D2370" s="44">
        <v>45792</v>
      </c>
      <c r="E2370" s="45">
        <v>625.6</v>
      </c>
    </row>
    <row r="2371" spans="2:5">
      <c r="B2371" s="43" t="s">
        <v>114</v>
      </c>
      <c r="C2371" s="43" t="s">
        <v>115</v>
      </c>
      <c r="D2371" s="44">
        <v>45792</v>
      </c>
      <c r="E2371" s="45">
        <v>292.6</v>
      </c>
    </row>
    <row r="2372" spans="2:5">
      <c r="B2372" s="43" t="s">
        <v>56</v>
      </c>
      <c r="C2372" s="43" t="s">
        <v>57</v>
      </c>
      <c r="D2372" s="44">
        <v>45792</v>
      </c>
      <c r="E2372" s="45">
        <v>1049.8</v>
      </c>
    </row>
    <row r="2373" spans="2:5">
      <c r="B2373" s="43" t="s">
        <v>76</v>
      </c>
      <c r="C2373" s="43" t="s">
        <v>77</v>
      </c>
      <c r="D2373" s="44">
        <v>45792</v>
      </c>
      <c r="E2373" s="45">
        <v>229.45</v>
      </c>
    </row>
    <row r="2374" spans="2:5">
      <c r="B2374" s="43" t="s">
        <v>168</v>
      </c>
      <c r="C2374" s="43" t="s">
        <v>169</v>
      </c>
      <c r="D2374" s="44">
        <v>45792</v>
      </c>
      <c r="E2374" s="45">
        <v>522.6</v>
      </c>
    </row>
    <row r="2375" spans="2:5">
      <c r="B2375" s="43" t="s">
        <v>180</v>
      </c>
      <c r="C2375" s="43" t="s">
        <v>181</v>
      </c>
      <c r="D2375" s="44">
        <v>45792</v>
      </c>
      <c r="E2375" s="45">
        <v>168</v>
      </c>
    </row>
    <row r="2376" spans="2:5">
      <c r="B2376" s="43" t="s">
        <v>78</v>
      </c>
      <c r="C2376" s="43" t="s">
        <v>79</v>
      </c>
      <c r="D2376" s="44">
        <v>45792</v>
      </c>
      <c r="E2376" s="45">
        <v>8.85</v>
      </c>
    </row>
    <row r="2377" spans="2:5">
      <c r="B2377" s="43" t="s">
        <v>20</v>
      </c>
      <c r="C2377" s="43" t="s">
        <v>21</v>
      </c>
      <c r="D2377" s="44">
        <v>45792</v>
      </c>
      <c r="E2377" s="45">
        <v>186.2</v>
      </c>
    </row>
    <row r="2378" spans="2:5">
      <c r="B2378" s="43" t="s">
        <v>22</v>
      </c>
      <c r="C2378" s="43" t="s">
        <v>23</v>
      </c>
      <c r="D2378" s="44">
        <v>45792</v>
      </c>
      <c r="E2378" s="45">
        <v>19.2</v>
      </c>
    </row>
    <row r="2379" spans="2:5">
      <c r="B2379" s="43" t="s">
        <v>24</v>
      </c>
      <c r="C2379" s="43" t="s">
        <v>25</v>
      </c>
      <c r="D2379" s="44">
        <v>45792</v>
      </c>
      <c r="E2379" s="45">
        <v>1590</v>
      </c>
    </row>
    <row r="2380" spans="2:5">
      <c r="B2380" s="43" t="s">
        <v>26</v>
      </c>
      <c r="C2380" s="43" t="s">
        <v>27</v>
      </c>
      <c r="D2380" s="44">
        <v>45792</v>
      </c>
      <c r="E2380" s="45">
        <v>948.55</v>
      </c>
    </row>
    <row r="2381" spans="2:5">
      <c r="B2381" s="43" t="s">
        <v>110</v>
      </c>
      <c r="C2381" s="43" t="s">
        <v>111</v>
      </c>
      <c r="D2381" s="44">
        <v>45792</v>
      </c>
      <c r="E2381" s="45">
        <v>2475</v>
      </c>
    </row>
    <row r="2382" spans="2:5">
      <c r="B2382" s="43" t="s">
        <v>60</v>
      </c>
      <c r="C2382" s="43" t="s">
        <v>61</v>
      </c>
      <c r="D2382" s="44">
        <v>45792</v>
      </c>
      <c r="E2382" s="45">
        <v>36.6</v>
      </c>
    </row>
    <row r="2383" spans="2:5">
      <c r="B2383" s="43" t="s">
        <v>62</v>
      </c>
      <c r="C2383" s="43" t="s">
        <v>63</v>
      </c>
      <c r="D2383" s="44">
        <v>45792</v>
      </c>
      <c r="E2383" s="45">
        <v>369</v>
      </c>
    </row>
    <row r="2384" spans="2:5">
      <c r="B2384" s="43" t="s">
        <v>64</v>
      </c>
      <c r="C2384" s="43" t="s">
        <v>65</v>
      </c>
      <c r="D2384" s="44">
        <v>45792</v>
      </c>
      <c r="E2384" s="45">
        <v>2340</v>
      </c>
    </row>
    <row r="2385" spans="2:5">
      <c r="B2385" s="43" t="s">
        <v>198</v>
      </c>
      <c r="C2385" s="43" t="s">
        <v>199</v>
      </c>
      <c r="D2385" s="44">
        <v>45792</v>
      </c>
      <c r="E2385" s="45">
        <v>1155</v>
      </c>
    </row>
    <row r="2386" spans="2:5">
      <c r="B2386" s="43" t="s">
        <v>66</v>
      </c>
      <c r="C2386" s="43" t="s">
        <v>67</v>
      </c>
      <c r="D2386" s="44">
        <v>45792</v>
      </c>
      <c r="E2386" s="45">
        <v>83.1</v>
      </c>
    </row>
    <row r="2387" spans="2:5">
      <c r="B2387" s="43" t="s">
        <v>106</v>
      </c>
      <c r="C2387" s="43" t="s">
        <v>107</v>
      </c>
      <c r="D2387" s="44">
        <v>45792</v>
      </c>
      <c r="E2387" s="45">
        <v>15.4</v>
      </c>
    </row>
    <row r="2388" spans="2:5">
      <c r="B2388" s="43" t="s">
        <v>30</v>
      </c>
      <c r="C2388" s="43" t="s">
        <v>31</v>
      </c>
      <c r="D2388" s="44">
        <v>45792</v>
      </c>
      <c r="E2388" s="45">
        <v>44</v>
      </c>
    </row>
    <row r="2389" spans="2:5">
      <c r="B2389" s="43" t="s">
        <v>96</v>
      </c>
      <c r="C2389" s="43" t="s">
        <v>97</v>
      </c>
      <c r="D2389" s="44">
        <v>45792</v>
      </c>
      <c r="E2389" s="45">
        <v>19</v>
      </c>
    </row>
    <row r="2390" spans="2:5">
      <c r="B2390" s="43" t="s">
        <v>32</v>
      </c>
      <c r="C2390" s="43" t="s">
        <v>33</v>
      </c>
      <c r="D2390" s="44">
        <v>45792</v>
      </c>
      <c r="E2390" s="45">
        <v>2</v>
      </c>
    </row>
    <row r="2391" spans="2:5">
      <c r="B2391" s="43" t="s">
        <v>34</v>
      </c>
      <c r="C2391" s="43" t="s">
        <v>35</v>
      </c>
      <c r="D2391" s="44">
        <v>45792</v>
      </c>
      <c r="E2391" s="45">
        <v>2</v>
      </c>
    </row>
    <row r="2392" spans="2:5">
      <c r="B2392" s="43" t="s">
        <v>36</v>
      </c>
      <c r="C2392" s="43" t="s">
        <v>37</v>
      </c>
      <c r="D2392" s="44">
        <v>45792</v>
      </c>
      <c r="E2392" s="45">
        <v>11</v>
      </c>
    </row>
    <row r="2393" spans="2:5">
      <c r="B2393" s="43" t="s">
        <v>156</v>
      </c>
      <c r="C2393" s="43" t="s">
        <v>157</v>
      </c>
      <c r="D2393" s="44">
        <v>45793</v>
      </c>
      <c r="E2393" s="45">
        <v>140.4</v>
      </c>
    </row>
    <row r="2394" spans="2:5">
      <c r="B2394" s="43" t="s">
        <v>8</v>
      </c>
      <c r="C2394" s="43" t="s">
        <v>9</v>
      </c>
      <c r="D2394" s="44">
        <v>45793</v>
      </c>
      <c r="E2394" s="45">
        <v>17.4</v>
      </c>
    </row>
    <row r="2395" spans="2:5">
      <c r="B2395" s="43" t="s">
        <v>44</v>
      </c>
      <c r="C2395" s="43" t="s">
        <v>45</v>
      </c>
      <c r="D2395" s="44">
        <v>45793</v>
      </c>
      <c r="E2395" s="45">
        <v>51</v>
      </c>
    </row>
    <row r="2396" spans="2:5">
      <c r="B2396" s="43" t="s">
        <v>46</v>
      </c>
      <c r="C2396" s="43" t="s">
        <v>47</v>
      </c>
      <c r="D2396" s="44">
        <v>45793</v>
      </c>
      <c r="E2396" s="45">
        <v>418.1</v>
      </c>
    </row>
    <row r="2397" spans="2:5">
      <c r="B2397" s="43" t="s">
        <v>12</v>
      </c>
      <c r="C2397" s="43" t="s">
        <v>13</v>
      </c>
      <c r="D2397" s="44">
        <v>45793</v>
      </c>
      <c r="E2397" s="45">
        <v>510.6</v>
      </c>
    </row>
    <row r="2398" spans="2:5">
      <c r="B2398" s="43" t="s">
        <v>48</v>
      </c>
      <c r="C2398" s="43" t="s">
        <v>49</v>
      </c>
      <c r="D2398" s="44">
        <v>45793</v>
      </c>
      <c r="E2398" s="45">
        <v>60.8</v>
      </c>
    </row>
    <row r="2399" spans="2:5">
      <c r="B2399" s="43" t="s">
        <v>136</v>
      </c>
      <c r="C2399" s="43" t="s">
        <v>137</v>
      </c>
      <c r="D2399" s="44">
        <v>45793</v>
      </c>
      <c r="E2399" s="45">
        <v>14.6</v>
      </c>
    </row>
    <row r="2400" spans="2:5">
      <c r="B2400" s="43" t="s">
        <v>152</v>
      </c>
      <c r="C2400" s="43" t="s">
        <v>153</v>
      </c>
      <c r="D2400" s="44">
        <v>45793</v>
      </c>
      <c r="E2400" s="45">
        <v>46.5</v>
      </c>
    </row>
    <row r="2401" spans="2:5">
      <c r="B2401" s="43" t="s">
        <v>78</v>
      </c>
      <c r="C2401" s="43" t="s">
        <v>79</v>
      </c>
      <c r="D2401" s="44">
        <v>45793</v>
      </c>
      <c r="E2401" s="45">
        <v>61.95</v>
      </c>
    </row>
    <row r="2402" spans="2:5">
      <c r="B2402" s="43" t="s">
        <v>20</v>
      </c>
      <c r="C2402" s="43" t="s">
        <v>21</v>
      </c>
      <c r="D2402" s="44">
        <v>45793</v>
      </c>
      <c r="E2402" s="45">
        <v>117.6</v>
      </c>
    </row>
    <row r="2403" spans="2:5">
      <c r="B2403" s="43" t="s">
        <v>22</v>
      </c>
      <c r="C2403" s="43" t="s">
        <v>23</v>
      </c>
      <c r="D2403" s="44">
        <v>45793</v>
      </c>
      <c r="E2403" s="45">
        <v>57.6</v>
      </c>
    </row>
    <row r="2404" spans="2:5">
      <c r="B2404" s="43" t="s">
        <v>80</v>
      </c>
      <c r="C2404" s="43" t="s">
        <v>81</v>
      </c>
      <c r="D2404" s="44">
        <v>45793</v>
      </c>
      <c r="E2404" s="45">
        <v>129.15</v>
      </c>
    </row>
    <row r="2405" spans="2:5">
      <c r="B2405" s="43" t="s">
        <v>24</v>
      </c>
      <c r="C2405" s="43" t="s">
        <v>25</v>
      </c>
      <c r="D2405" s="44">
        <v>45793</v>
      </c>
      <c r="E2405" s="45">
        <v>572.4</v>
      </c>
    </row>
    <row r="2406" spans="2:5">
      <c r="B2406" s="43" t="s">
        <v>26</v>
      </c>
      <c r="C2406" s="43" t="s">
        <v>27</v>
      </c>
      <c r="D2406" s="44">
        <v>45793</v>
      </c>
      <c r="E2406" s="45">
        <v>497.6</v>
      </c>
    </row>
    <row r="2407" spans="2:5">
      <c r="B2407" s="43" t="s">
        <v>82</v>
      </c>
      <c r="C2407" s="43" t="s">
        <v>83</v>
      </c>
      <c r="D2407" s="44">
        <v>45793</v>
      </c>
      <c r="E2407" s="45">
        <v>73.8</v>
      </c>
    </row>
    <row r="2408" spans="2:5">
      <c r="B2408" s="43" t="s">
        <v>64</v>
      </c>
      <c r="C2408" s="43" t="s">
        <v>65</v>
      </c>
      <c r="D2408" s="44">
        <v>45793</v>
      </c>
      <c r="E2408" s="45">
        <v>240</v>
      </c>
    </row>
    <row r="2409" spans="2:5">
      <c r="B2409" s="43" t="s">
        <v>66</v>
      </c>
      <c r="C2409" s="43" t="s">
        <v>67</v>
      </c>
      <c r="D2409" s="44">
        <v>45793</v>
      </c>
      <c r="E2409" s="45">
        <v>166.2</v>
      </c>
    </row>
    <row r="2410" spans="2:5">
      <c r="B2410" s="43" t="s">
        <v>150</v>
      </c>
      <c r="C2410" s="43" t="s">
        <v>151</v>
      </c>
      <c r="D2410" s="44">
        <v>45793</v>
      </c>
      <c r="E2410" s="45">
        <v>54.1</v>
      </c>
    </row>
    <row r="2411" spans="2:5">
      <c r="B2411" s="43" t="s">
        <v>4</v>
      </c>
      <c r="C2411" s="43" t="s">
        <v>5</v>
      </c>
      <c r="D2411" s="44">
        <v>45796</v>
      </c>
      <c r="E2411" s="45">
        <v>46.9</v>
      </c>
    </row>
    <row r="2412" spans="2:5">
      <c r="B2412" s="43" t="s">
        <v>8</v>
      </c>
      <c r="C2412" s="43" t="s">
        <v>9</v>
      </c>
      <c r="D2412" s="44">
        <v>45796</v>
      </c>
      <c r="E2412" s="45">
        <v>104.4</v>
      </c>
    </row>
    <row r="2413" spans="2:5">
      <c r="B2413" s="43" t="s">
        <v>44</v>
      </c>
      <c r="C2413" s="43" t="s">
        <v>45</v>
      </c>
      <c r="D2413" s="44">
        <v>45796</v>
      </c>
      <c r="E2413" s="45">
        <v>8.5</v>
      </c>
    </row>
    <row r="2414" spans="2:5">
      <c r="B2414" s="43" t="s">
        <v>46</v>
      </c>
      <c r="C2414" s="43" t="s">
        <v>47</v>
      </c>
      <c r="D2414" s="44">
        <v>45796</v>
      </c>
      <c r="E2414" s="45">
        <v>327.7</v>
      </c>
    </row>
    <row r="2415" spans="2:5">
      <c r="B2415" s="43" t="s">
        <v>10</v>
      </c>
      <c r="C2415" s="43" t="s">
        <v>11</v>
      </c>
      <c r="D2415" s="44">
        <v>45796</v>
      </c>
      <c r="E2415" s="45">
        <v>276.25</v>
      </c>
    </row>
    <row r="2416" spans="2:5">
      <c r="B2416" s="43" t="s">
        <v>12</v>
      </c>
      <c r="C2416" s="43" t="s">
        <v>13</v>
      </c>
      <c r="D2416" s="44">
        <v>45796</v>
      </c>
      <c r="E2416" s="45">
        <v>469.2</v>
      </c>
    </row>
    <row r="2417" spans="2:5">
      <c r="B2417" s="43" t="s">
        <v>48</v>
      </c>
      <c r="C2417" s="43" t="s">
        <v>49</v>
      </c>
      <c r="D2417" s="44">
        <v>45796</v>
      </c>
      <c r="E2417" s="45">
        <v>30.4</v>
      </c>
    </row>
    <row r="2418" spans="2:5">
      <c r="B2418" s="43" t="s">
        <v>14</v>
      </c>
      <c r="C2418" s="43" t="s">
        <v>15</v>
      </c>
      <c r="D2418" s="44">
        <v>45796</v>
      </c>
      <c r="E2418" s="45">
        <v>270</v>
      </c>
    </row>
    <row r="2419" spans="2:5">
      <c r="B2419" s="43" t="s">
        <v>50</v>
      </c>
      <c r="C2419" s="43" t="s">
        <v>51</v>
      </c>
      <c r="D2419" s="44">
        <v>45796</v>
      </c>
      <c r="E2419" s="45">
        <v>13.6</v>
      </c>
    </row>
    <row r="2420" spans="2:5">
      <c r="B2420" s="43" t="s">
        <v>114</v>
      </c>
      <c r="C2420" s="43" t="s">
        <v>115</v>
      </c>
      <c r="D2420" s="44">
        <v>45796</v>
      </c>
      <c r="E2420" s="45">
        <v>146.3</v>
      </c>
    </row>
    <row r="2421" spans="2:5">
      <c r="B2421" s="43" t="s">
        <v>202</v>
      </c>
      <c r="C2421" s="43" t="s">
        <v>203</v>
      </c>
      <c r="D2421" s="44">
        <v>45796</v>
      </c>
      <c r="E2421" s="45">
        <v>1339.4</v>
      </c>
    </row>
    <row r="2422" spans="2:5">
      <c r="B2422" s="43" t="s">
        <v>138</v>
      </c>
      <c r="C2422" s="43" t="s">
        <v>139</v>
      </c>
      <c r="D2422" s="44">
        <v>45796</v>
      </c>
      <c r="E2422" s="45">
        <v>31.7</v>
      </c>
    </row>
    <row r="2423" spans="2:5">
      <c r="B2423" s="43" t="s">
        <v>76</v>
      </c>
      <c r="C2423" s="43" t="s">
        <v>77</v>
      </c>
      <c r="D2423" s="44">
        <v>45796</v>
      </c>
      <c r="E2423" s="45">
        <v>300.05</v>
      </c>
    </row>
    <row r="2424" spans="2:5">
      <c r="B2424" s="43" t="s">
        <v>20</v>
      </c>
      <c r="C2424" s="43" t="s">
        <v>21</v>
      </c>
      <c r="D2424" s="44">
        <v>45796</v>
      </c>
      <c r="E2424" s="45">
        <v>245</v>
      </c>
    </row>
    <row r="2425" spans="2:5">
      <c r="B2425" s="43" t="s">
        <v>22</v>
      </c>
      <c r="C2425" s="43" t="s">
        <v>23</v>
      </c>
      <c r="D2425" s="44">
        <v>45796</v>
      </c>
      <c r="E2425" s="45">
        <v>28.8</v>
      </c>
    </row>
    <row r="2426" spans="2:5">
      <c r="B2426" s="43" t="s">
        <v>24</v>
      </c>
      <c r="C2426" s="43" t="s">
        <v>25</v>
      </c>
      <c r="D2426" s="44">
        <v>45796</v>
      </c>
      <c r="E2426" s="45">
        <v>1510.5</v>
      </c>
    </row>
    <row r="2427" spans="2:5">
      <c r="B2427" s="43" t="s">
        <v>58</v>
      </c>
      <c r="C2427" s="43" t="s">
        <v>59</v>
      </c>
      <c r="D2427" s="44">
        <v>45796</v>
      </c>
      <c r="E2427" s="45">
        <v>1292.1</v>
      </c>
    </row>
    <row r="2428" spans="2:5">
      <c r="B2428" s="43" t="s">
        <v>26</v>
      </c>
      <c r="C2428" s="43" t="s">
        <v>27</v>
      </c>
      <c r="D2428" s="44">
        <v>45796</v>
      </c>
      <c r="E2428" s="45">
        <v>3078.9</v>
      </c>
    </row>
    <row r="2429" spans="2:5">
      <c r="B2429" s="43" t="s">
        <v>28</v>
      </c>
      <c r="C2429" s="43" t="s">
        <v>29</v>
      </c>
      <c r="D2429" s="44">
        <v>45796</v>
      </c>
      <c r="E2429" s="45">
        <v>179</v>
      </c>
    </row>
    <row r="2430" spans="2:5">
      <c r="B2430" s="43" t="s">
        <v>62</v>
      </c>
      <c r="C2430" s="43" t="s">
        <v>63</v>
      </c>
      <c r="D2430" s="44">
        <v>45796</v>
      </c>
      <c r="E2430" s="45">
        <v>102.5</v>
      </c>
    </row>
    <row r="2431" spans="2:5">
      <c r="B2431" s="43" t="s">
        <v>64</v>
      </c>
      <c r="C2431" s="43" t="s">
        <v>65</v>
      </c>
      <c r="D2431" s="44">
        <v>45796</v>
      </c>
      <c r="E2431" s="45">
        <v>940</v>
      </c>
    </row>
    <row r="2432" spans="2:5">
      <c r="B2432" s="43" t="s">
        <v>150</v>
      </c>
      <c r="C2432" s="43" t="s">
        <v>151</v>
      </c>
      <c r="D2432" s="44">
        <v>45796</v>
      </c>
      <c r="E2432" s="45">
        <v>297.55</v>
      </c>
    </row>
    <row r="2433" spans="2:5">
      <c r="B2433" s="43" t="s">
        <v>196</v>
      </c>
      <c r="C2433" s="43" t="s">
        <v>197</v>
      </c>
      <c r="D2433" s="44">
        <v>45796</v>
      </c>
      <c r="E2433" s="45">
        <v>2</v>
      </c>
    </row>
    <row r="2434" spans="2:5">
      <c r="B2434" s="43" t="s">
        <v>96</v>
      </c>
      <c r="C2434" s="43" t="s">
        <v>97</v>
      </c>
      <c r="D2434" s="44">
        <v>45796</v>
      </c>
      <c r="E2434" s="45">
        <v>212</v>
      </c>
    </row>
    <row r="2435" spans="2:5">
      <c r="B2435" s="43" t="s">
        <v>34</v>
      </c>
      <c r="C2435" s="43" t="s">
        <v>35</v>
      </c>
      <c r="D2435" s="44">
        <v>45796</v>
      </c>
      <c r="E2435" s="45">
        <v>7</v>
      </c>
    </row>
    <row r="2436" spans="2:5">
      <c r="B2436" s="43" t="s">
        <v>170</v>
      </c>
      <c r="C2436" s="43" t="s">
        <v>171</v>
      </c>
      <c r="D2436" s="44">
        <v>45796</v>
      </c>
      <c r="E2436" s="45">
        <v>7</v>
      </c>
    </row>
    <row r="2437" spans="2:5">
      <c r="B2437" s="43" t="s">
        <v>36</v>
      </c>
      <c r="C2437" s="43" t="s">
        <v>37</v>
      </c>
      <c r="D2437" s="44">
        <v>45796</v>
      </c>
      <c r="E2437" s="45">
        <v>5</v>
      </c>
    </row>
    <row r="2438" spans="2:5">
      <c r="B2438" s="43" t="s">
        <v>38</v>
      </c>
      <c r="C2438" s="43" t="s">
        <v>39</v>
      </c>
      <c r="D2438" s="44">
        <v>45796</v>
      </c>
      <c r="E2438" s="45">
        <v>100</v>
      </c>
    </row>
    <row r="2439" spans="2:5">
      <c r="B2439" s="43" t="s">
        <v>6</v>
      </c>
      <c r="C2439" s="43" t="s">
        <v>7</v>
      </c>
      <c r="D2439" s="44">
        <v>45797</v>
      </c>
      <c r="E2439" s="45">
        <v>52.4</v>
      </c>
    </row>
    <row r="2440" spans="2:5">
      <c r="B2440" s="43" t="s">
        <v>156</v>
      </c>
      <c r="C2440" s="43" t="s">
        <v>157</v>
      </c>
      <c r="D2440" s="44">
        <v>45797</v>
      </c>
      <c r="E2440" s="45">
        <v>101.4</v>
      </c>
    </row>
    <row r="2441" spans="2:5">
      <c r="B2441" s="43" t="s">
        <v>8</v>
      </c>
      <c r="C2441" s="43" t="s">
        <v>9</v>
      </c>
      <c r="D2441" s="44">
        <v>45797</v>
      </c>
      <c r="E2441" s="45">
        <v>78.3</v>
      </c>
    </row>
    <row r="2442" spans="2:5">
      <c r="B2442" s="43" t="s">
        <v>44</v>
      </c>
      <c r="C2442" s="43" t="s">
        <v>45</v>
      </c>
      <c r="D2442" s="44">
        <v>45797</v>
      </c>
      <c r="E2442" s="45">
        <v>93.5</v>
      </c>
    </row>
    <row r="2443" spans="2:5">
      <c r="B2443" s="43" t="s">
        <v>46</v>
      </c>
      <c r="C2443" s="43" t="s">
        <v>47</v>
      </c>
      <c r="D2443" s="44">
        <v>45797</v>
      </c>
      <c r="E2443" s="45">
        <v>723.2</v>
      </c>
    </row>
    <row r="2444" spans="2:5">
      <c r="B2444" s="43" t="s">
        <v>12</v>
      </c>
      <c r="C2444" s="43" t="s">
        <v>13</v>
      </c>
      <c r="D2444" s="44">
        <v>45797</v>
      </c>
      <c r="E2444" s="45">
        <v>855.6</v>
      </c>
    </row>
    <row r="2445" spans="2:5">
      <c r="B2445" s="43" t="s">
        <v>48</v>
      </c>
      <c r="C2445" s="43" t="s">
        <v>49</v>
      </c>
      <c r="D2445" s="44">
        <v>45797</v>
      </c>
      <c r="E2445" s="45">
        <v>273.6</v>
      </c>
    </row>
    <row r="2446" spans="2:5">
      <c r="B2446" s="43" t="s">
        <v>50</v>
      </c>
      <c r="C2446" s="43" t="s">
        <v>51</v>
      </c>
      <c r="D2446" s="44">
        <v>45797</v>
      </c>
      <c r="E2446" s="45">
        <v>108.8</v>
      </c>
    </row>
    <row r="2447" spans="2:5">
      <c r="B2447" s="43" t="s">
        <v>114</v>
      </c>
      <c r="C2447" s="43" t="s">
        <v>115</v>
      </c>
      <c r="D2447" s="44">
        <v>45797</v>
      </c>
      <c r="E2447" s="45">
        <v>279.3</v>
      </c>
    </row>
    <row r="2448" spans="2:5">
      <c r="B2448" s="43" t="s">
        <v>144</v>
      </c>
      <c r="C2448" s="43" t="s">
        <v>145</v>
      </c>
      <c r="D2448" s="44">
        <v>45797</v>
      </c>
      <c r="E2448" s="45">
        <v>113.4</v>
      </c>
    </row>
    <row r="2449" spans="2:5">
      <c r="B2449" s="43" t="s">
        <v>56</v>
      </c>
      <c r="C2449" s="43" t="s">
        <v>57</v>
      </c>
      <c r="D2449" s="44">
        <v>45797</v>
      </c>
      <c r="E2449" s="45">
        <v>72.4</v>
      </c>
    </row>
    <row r="2450" spans="2:5">
      <c r="B2450" s="43" t="s">
        <v>76</v>
      </c>
      <c r="C2450" s="43" t="s">
        <v>77</v>
      </c>
      <c r="D2450" s="44">
        <v>45797</v>
      </c>
      <c r="E2450" s="45">
        <v>141.2</v>
      </c>
    </row>
    <row r="2451" spans="2:5">
      <c r="B2451" s="43" t="s">
        <v>152</v>
      </c>
      <c r="C2451" s="43" t="s">
        <v>153</v>
      </c>
      <c r="D2451" s="44">
        <v>45797</v>
      </c>
      <c r="E2451" s="45">
        <v>93</v>
      </c>
    </row>
    <row r="2452" spans="2:5">
      <c r="B2452" s="43" t="s">
        <v>20</v>
      </c>
      <c r="C2452" s="43" t="s">
        <v>21</v>
      </c>
      <c r="D2452" s="44">
        <v>45797</v>
      </c>
      <c r="E2452" s="45">
        <v>9.8</v>
      </c>
    </row>
    <row r="2453" spans="2:5">
      <c r="B2453" s="43" t="s">
        <v>22</v>
      </c>
      <c r="C2453" s="43" t="s">
        <v>23</v>
      </c>
      <c r="D2453" s="44">
        <v>45797</v>
      </c>
      <c r="E2453" s="45">
        <v>28.8</v>
      </c>
    </row>
    <row r="2454" spans="2:5">
      <c r="B2454" s="43" t="s">
        <v>80</v>
      </c>
      <c r="C2454" s="43" t="s">
        <v>81</v>
      </c>
      <c r="D2454" s="44">
        <v>45797</v>
      </c>
      <c r="E2454" s="45">
        <v>904.05</v>
      </c>
    </row>
    <row r="2455" spans="2:5">
      <c r="B2455" s="43" t="s">
        <v>24</v>
      </c>
      <c r="C2455" s="43" t="s">
        <v>25</v>
      </c>
      <c r="D2455" s="44">
        <v>45797</v>
      </c>
      <c r="E2455" s="45">
        <v>922.2</v>
      </c>
    </row>
    <row r="2456" spans="2:5">
      <c r="B2456" s="43" t="s">
        <v>58</v>
      </c>
      <c r="C2456" s="43" t="s">
        <v>59</v>
      </c>
      <c r="D2456" s="44">
        <v>45797</v>
      </c>
      <c r="E2456" s="45">
        <v>53.1</v>
      </c>
    </row>
    <row r="2457" spans="2:5">
      <c r="B2457" s="43" t="s">
        <v>26</v>
      </c>
      <c r="C2457" s="43" t="s">
        <v>27</v>
      </c>
      <c r="D2457" s="44">
        <v>45797</v>
      </c>
      <c r="E2457" s="45">
        <v>1275.1</v>
      </c>
    </row>
    <row r="2458" spans="2:5">
      <c r="B2458" s="43" t="s">
        <v>62</v>
      </c>
      <c r="C2458" s="43" t="s">
        <v>63</v>
      </c>
      <c r="D2458" s="44">
        <v>45797</v>
      </c>
      <c r="E2458" s="45">
        <v>82</v>
      </c>
    </row>
    <row r="2459" spans="2:5">
      <c r="B2459" s="43" t="s">
        <v>148</v>
      </c>
      <c r="C2459" s="43" t="s">
        <v>149</v>
      </c>
      <c r="D2459" s="44">
        <v>45797</v>
      </c>
      <c r="E2459" s="45">
        <v>664.1</v>
      </c>
    </row>
    <row r="2460" spans="2:5">
      <c r="B2460" s="43" t="s">
        <v>64</v>
      </c>
      <c r="C2460" s="43" t="s">
        <v>65</v>
      </c>
      <c r="D2460" s="44">
        <v>45797</v>
      </c>
      <c r="E2460" s="45">
        <v>120</v>
      </c>
    </row>
    <row r="2461" spans="2:5">
      <c r="B2461" s="43" t="s">
        <v>164</v>
      </c>
      <c r="C2461" s="43" t="s">
        <v>165</v>
      </c>
      <c r="D2461" s="44">
        <v>45797</v>
      </c>
      <c r="E2461" s="45">
        <v>33.9</v>
      </c>
    </row>
    <row r="2462" spans="2:5">
      <c r="B2462" s="43" t="s">
        <v>66</v>
      </c>
      <c r="C2462" s="43" t="s">
        <v>67</v>
      </c>
      <c r="D2462" s="44">
        <v>45797</v>
      </c>
      <c r="E2462" s="45">
        <v>221.6</v>
      </c>
    </row>
    <row r="2463" spans="2:5">
      <c r="B2463" s="43" t="s">
        <v>94</v>
      </c>
      <c r="C2463" s="43" t="s">
        <v>95</v>
      </c>
      <c r="D2463" s="44">
        <v>45797</v>
      </c>
      <c r="E2463" s="45">
        <v>46.9</v>
      </c>
    </row>
    <row r="2464" spans="2:5">
      <c r="B2464" s="43" t="s">
        <v>106</v>
      </c>
      <c r="C2464" s="43" t="s">
        <v>107</v>
      </c>
      <c r="D2464" s="44">
        <v>45797</v>
      </c>
      <c r="E2464" s="45">
        <v>38.5</v>
      </c>
    </row>
    <row r="2465" spans="2:5">
      <c r="B2465" s="43" t="s">
        <v>196</v>
      </c>
      <c r="C2465" s="43" t="s">
        <v>197</v>
      </c>
      <c r="D2465" s="44">
        <v>45797</v>
      </c>
      <c r="E2465" s="45">
        <v>3</v>
      </c>
    </row>
    <row r="2466" spans="2:5">
      <c r="B2466" s="43" t="s">
        <v>96</v>
      </c>
      <c r="C2466" s="43" t="s">
        <v>97</v>
      </c>
      <c r="D2466" s="44">
        <v>45797</v>
      </c>
      <c r="E2466" s="45">
        <v>133</v>
      </c>
    </row>
    <row r="2467" spans="2:5">
      <c r="B2467" s="43" t="s">
        <v>32</v>
      </c>
      <c r="C2467" s="43" t="s">
        <v>33</v>
      </c>
      <c r="D2467" s="44">
        <v>45797</v>
      </c>
      <c r="E2467" s="45">
        <v>42</v>
      </c>
    </row>
    <row r="2468" spans="2:5">
      <c r="B2468" s="43" t="s">
        <v>38</v>
      </c>
      <c r="C2468" s="43" t="s">
        <v>39</v>
      </c>
      <c r="D2468" s="44">
        <v>45797</v>
      </c>
      <c r="E2468" s="45">
        <v>8</v>
      </c>
    </row>
    <row r="2469" spans="2:5">
      <c r="B2469" s="43" t="s">
        <v>156</v>
      </c>
      <c r="C2469" s="43" t="s">
        <v>157</v>
      </c>
      <c r="D2469" s="44">
        <v>45798</v>
      </c>
      <c r="E2469" s="45">
        <v>405.6</v>
      </c>
    </row>
    <row r="2470" spans="2:5">
      <c r="B2470" s="43" t="s">
        <v>8</v>
      </c>
      <c r="C2470" s="43" t="s">
        <v>9</v>
      </c>
      <c r="D2470" s="44">
        <v>45798</v>
      </c>
      <c r="E2470" s="45">
        <v>17.4</v>
      </c>
    </row>
    <row r="2471" spans="2:5">
      <c r="B2471" s="43" t="s">
        <v>44</v>
      </c>
      <c r="C2471" s="43" t="s">
        <v>45</v>
      </c>
      <c r="D2471" s="44">
        <v>45798</v>
      </c>
      <c r="E2471" s="45">
        <v>8.5</v>
      </c>
    </row>
    <row r="2472" spans="2:5">
      <c r="B2472" s="43" t="s">
        <v>10</v>
      </c>
      <c r="C2472" s="43" t="s">
        <v>11</v>
      </c>
      <c r="D2472" s="44">
        <v>45798</v>
      </c>
      <c r="E2472" s="45">
        <v>11.05</v>
      </c>
    </row>
    <row r="2473" spans="2:5">
      <c r="B2473" s="43" t="s">
        <v>74</v>
      </c>
      <c r="C2473" s="43" t="s">
        <v>75</v>
      </c>
      <c r="D2473" s="44">
        <v>45798</v>
      </c>
      <c r="E2473" s="45">
        <v>277.29</v>
      </c>
    </row>
    <row r="2474" spans="2:5">
      <c r="B2474" s="43" t="s">
        <v>12</v>
      </c>
      <c r="C2474" s="43" t="s">
        <v>13</v>
      </c>
      <c r="D2474" s="44">
        <v>45798</v>
      </c>
      <c r="E2474" s="45">
        <v>151.8</v>
      </c>
    </row>
    <row r="2475" spans="2:5">
      <c r="B2475" s="43" t="s">
        <v>50</v>
      </c>
      <c r="C2475" s="43" t="s">
        <v>51</v>
      </c>
      <c r="D2475" s="44">
        <v>45798</v>
      </c>
      <c r="E2475" s="45">
        <v>27.2</v>
      </c>
    </row>
    <row r="2476" spans="2:5">
      <c r="B2476" s="43" t="s">
        <v>114</v>
      </c>
      <c r="C2476" s="43" t="s">
        <v>115</v>
      </c>
      <c r="D2476" s="44">
        <v>45798</v>
      </c>
      <c r="E2476" s="45">
        <v>199.5</v>
      </c>
    </row>
    <row r="2477" spans="2:5">
      <c r="B2477" s="43" t="s">
        <v>126</v>
      </c>
      <c r="C2477" s="43" t="s">
        <v>127</v>
      </c>
      <c r="D2477" s="44">
        <v>45798</v>
      </c>
      <c r="E2477" s="45">
        <v>118</v>
      </c>
    </row>
    <row r="2478" spans="2:5">
      <c r="B2478" s="43" t="s">
        <v>76</v>
      </c>
      <c r="C2478" s="43" t="s">
        <v>77</v>
      </c>
      <c r="D2478" s="44">
        <v>45798</v>
      </c>
      <c r="E2478" s="45">
        <v>105.9</v>
      </c>
    </row>
    <row r="2479" spans="2:5">
      <c r="B2479" s="43" t="s">
        <v>16</v>
      </c>
      <c r="C2479" s="43" t="s">
        <v>17</v>
      </c>
      <c r="D2479" s="44">
        <v>45798</v>
      </c>
      <c r="E2479" s="45">
        <v>114</v>
      </c>
    </row>
    <row r="2480" spans="2:5">
      <c r="B2480" s="43" t="s">
        <v>20</v>
      </c>
      <c r="C2480" s="43" t="s">
        <v>21</v>
      </c>
      <c r="D2480" s="44">
        <v>45798</v>
      </c>
      <c r="E2480" s="45">
        <v>147</v>
      </c>
    </row>
    <row r="2481" spans="2:5">
      <c r="B2481" s="43" t="s">
        <v>22</v>
      </c>
      <c r="C2481" s="43" t="s">
        <v>23</v>
      </c>
      <c r="D2481" s="44">
        <v>45798</v>
      </c>
      <c r="E2481" s="45">
        <v>38.4</v>
      </c>
    </row>
    <row r="2482" spans="2:5">
      <c r="B2482" s="43" t="s">
        <v>24</v>
      </c>
      <c r="C2482" s="43" t="s">
        <v>25</v>
      </c>
      <c r="D2482" s="44">
        <v>45798</v>
      </c>
      <c r="E2482" s="45">
        <v>1287.9</v>
      </c>
    </row>
    <row r="2483" spans="2:5">
      <c r="B2483" s="43" t="s">
        <v>58</v>
      </c>
      <c r="C2483" s="43" t="s">
        <v>59</v>
      </c>
      <c r="D2483" s="44">
        <v>45798</v>
      </c>
      <c r="E2483" s="45">
        <v>265.5</v>
      </c>
    </row>
    <row r="2484" spans="2:5">
      <c r="B2484" s="43" t="s">
        <v>26</v>
      </c>
      <c r="C2484" s="43" t="s">
        <v>27</v>
      </c>
      <c r="D2484" s="44">
        <v>45798</v>
      </c>
      <c r="E2484" s="45">
        <v>901.9</v>
      </c>
    </row>
    <row r="2485" spans="2:5">
      <c r="B2485" s="43" t="s">
        <v>60</v>
      </c>
      <c r="C2485" s="43" t="s">
        <v>61</v>
      </c>
      <c r="D2485" s="44">
        <v>45798</v>
      </c>
      <c r="E2485" s="45">
        <v>402.6</v>
      </c>
    </row>
    <row r="2486" spans="2:5">
      <c r="B2486" s="43" t="s">
        <v>62</v>
      </c>
      <c r="C2486" s="43" t="s">
        <v>63</v>
      </c>
      <c r="D2486" s="44">
        <v>45798</v>
      </c>
      <c r="E2486" s="45">
        <v>307.5</v>
      </c>
    </row>
    <row r="2487" spans="2:5">
      <c r="B2487" s="43" t="s">
        <v>64</v>
      </c>
      <c r="C2487" s="43" t="s">
        <v>65</v>
      </c>
      <c r="D2487" s="44">
        <v>45798</v>
      </c>
      <c r="E2487" s="45">
        <v>380</v>
      </c>
    </row>
    <row r="2488" spans="2:5">
      <c r="B2488" s="43" t="s">
        <v>172</v>
      </c>
      <c r="C2488" s="43" t="s">
        <v>173</v>
      </c>
      <c r="D2488" s="44">
        <v>45798</v>
      </c>
      <c r="E2488" s="45">
        <v>22.55</v>
      </c>
    </row>
    <row r="2489" spans="2:5">
      <c r="B2489" s="43" t="s">
        <v>66</v>
      </c>
      <c r="C2489" s="43" t="s">
        <v>67</v>
      </c>
      <c r="D2489" s="44">
        <v>45798</v>
      </c>
      <c r="E2489" s="45">
        <v>166.2</v>
      </c>
    </row>
    <row r="2490" spans="2:5">
      <c r="B2490" s="43" t="s">
        <v>94</v>
      </c>
      <c r="C2490" s="43" t="s">
        <v>95</v>
      </c>
      <c r="D2490" s="44">
        <v>45798</v>
      </c>
      <c r="E2490" s="45">
        <v>93.8</v>
      </c>
    </row>
    <row r="2491" spans="2:5">
      <c r="B2491" s="43" t="s">
        <v>106</v>
      </c>
      <c r="C2491" s="43" t="s">
        <v>107</v>
      </c>
      <c r="D2491" s="44">
        <v>45798</v>
      </c>
      <c r="E2491" s="45">
        <v>7.7</v>
      </c>
    </row>
    <row r="2492" spans="2:5">
      <c r="B2492" s="43" t="s">
        <v>142</v>
      </c>
      <c r="C2492" s="43" t="s">
        <v>143</v>
      </c>
      <c r="D2492" s="44">
        <v>45798</v>
      </c>
      <c r="E2492" s="45">
        <v>14</v>
      </c>
    </row>
    <row r="2493" spans="2:5">
      <c r="B2493" s="43" t="s">
        <v>96</v>
      </c>
      <c r="C2493" s="43" t="s">
        <v>97</v>
      </c>
      <c r="D2493" s="44">
        <v>45798</v>
      </c>
      <c r="E2493" s="45">
        <v>25</v>
      </c>
    </row>
    <row r="2494" spans="2:5">
      <c r="B2494" s="43" t="s">
        <v>32</v>
      </c>
      <c r="C2494" s="43" t="s">
        <v>33</v>
      </c>
      <c r="D2494" s="44">
        <v>45798</v>
      </c>
      <c r="E2494" s="45">
        <v>4</v>
      </c>
    </row>
    <row r="2495" spans="2:5">
      <c r="B2495" s="43" t="s">
        <v>34</v>
      </c>
      <c r="C2495" s="43" t="s">
        <v>35</v>
      </c>
      <c r="D2495" s="44">
        <v>45798</v>
      </c>
      <c r="E2495" s="45">
        <v>2</v>
      </c>
    </row>
    <row r="2496" spans="2:5">
      <c r="B2496" s="43" t="s">
        <v>36</v>
      </c>
      <c r="C2496" s="43" t="s">
        <v>37</v>
      </c>
      <c r="D2496" s="44">
        <v>45798</v>
      </c>
      <c r="E2496" s="45">
        <v>2</v>
      </c>
    </row>
    <row r="2497" spans="2:5">
      <c r="B2497" s="43" t="s">
        <v>102</v>
      </c>
      <c r="C2497" s="43" t="s">
        <v>103</v>
      </c>
      <c r="D2497" s="44">
        <v>45799</v>
      </c>
      <c r="E2497" s="45">
        <v>12</v>
      </c>
    </row>
    <row r="2498" spans="2:5">
      <c r="B2498" s="43" t="s">
        <v>154</v>
      </c>
      <c r="C2498" s="43" t="s">
        <v>155</v>
      </c>
      <c r="D2498" s="44">
        <v>45799</v>
      </c>
      <c r="E2498" s="45">
        <v>14</v>
      </c>
    </row>
    <row r="2499" spans="2:5">
      <c r="B2499" s="43" t="s">
        <v>8</v>
      </c>
      <c r="C2499" s="43" t="s">
        <v>9</v>
      </c>
      <c r="D2499" s="44">
        <v>45799</v>
      </c>
      <c r="E2499" s="45">
        <v>43.5</v>
      </c>
    </row>
    <row r="2500" spans="2:5">
      <c r="B2500" s="43" t="s">
        <v>44</v>
      </c>
      <c r="C2500" s="43" t="s">
        <v>45</v>
      </c>
      <c r="D2500" s="44">
        <v>45799</v>
      </c>
      <c r="E2500" s="45">
        <v>68</v>
      </c>
    </row>
    <row r="2501" spans="2:5">
      <c r="B2501" s="43" t="s">
        <v>46</v>
      </c>
      <c r="C2501" s="43" t="s">
        <v>47</v>
      </c>
      <c r="D2501" s="44">
        <v>45799</v>
      </c>
      <c r="E2501" s="45">
        <v>113</v>
      </c>
    </row>
    <row r="2502" spans="2:5">
      <c r="B2502" s="43" t="s">
        <v>10</v>
      </c>
      <c r="C2502" s="43" t="s">
        <v>11</v>
      </c>
      <c r="D2502" s="44">
        <v>45799</v>
      </c>
      <c r="E2502" s="45">
        <v>33.15</v>
      </c>
    </row>
    <row r="2503" spans="2:5">
      <c r="B2503" s="43" t="s">
        <v>12</v>
      </c>
      <c r="C2503" s="43" t="s">
        <v>13</v>
      </c>
      <c r="D2503" s="44">
        <v>45799</v>
      </c>
      <c r="E2503" s="45">
        <v>55.2</v>
      </c>
    </row>
    <row r="2504" spans="2:5">
      <c r="B2504" s="43" t="s">
        <v>48</v>
      </c>
      <c r="C2504" s="43" t="s">
        <v>49</v>
      </c>
      <c r="D2504" s="44">
        <v>45799</v>
      </c>
      <c r="E2504" s="45">
        <v>152</v>
      </c>
    </row>
    <row r="2505" spans="2:5">
      <c r="B2505" s="43" t="s">
        <v>50</v>
      </c>
      <c r="C2505" s="43" t="s">
        <v>51</v>
      </c>
      <c r="D2505" s="44">
        <v>45799</v>
      </c>
      <c r="E2505" s="45">
        <v>136</v>
      </c>
    </row>
    <row r="2506" spans="2:5">
      <c r="B2506" s="43" t="s">
        <v>138</v>
      </c>
      <c r="C2506" s="43" t="s">
        <v>139</v>
      </c>
      <c r="D2506" s="44">
        <v>45799</v>
      </c>
      <c r="E2506" s="45">
        <v>95.1</v>
      </c>
    </row>
    <row r="2507" spans="2:5">
      <c r="B2507" s="43" t="s">
        <v>180</v>
      </c>
      <c r="C2507" s="43" t="s">
        <v>181</v>
      </c>
      <c r="D2507" s="44">
        <v>45799</v>
      </c>
      <c r="E2507" s="45">
        <v>134.4</v>
      </c>
    </row>
    <row r="2508" spans="2:5">
      <c r="B2508" s="43" t="s">
        <v>200</v>
      </c>
      <c r="C2508" s="43" t="s">
        <v>201</v>
      </c>
      <c r="D2508" s="44">
        <v>45799</v>
      </c>
      <c r="E2508" s="45">
        <v>55</v>
      </c>
    </row>
    <row r="2509" spans="2:5">
      <c r="B2509" s="43" t="s">
        <v>20</v>
      </c>
      <c r="C2509" s="43" t="s">
        <v>21</v>
      </c>
      <c r="D2509" s="44">
        <v>45799</v>
      </c>
      <c r="E2509" s="45">
        <v>117.6</v>
      </c>
    </row>
    <row r="2510" spans="2:5">
      <c r="B2510" s="43" t="s">
        <v>22</v>
      </c>
      <c r="C2510" s="43" t="s">
        <v>23</v>
      </c>
      <c r="D2510" s="44">
        <v>45799</v>
      </c>
      <c r="E2510" s="45">
        <v>38.4</v>
      </c>
    </row>
    <row r="2511" spans="2:5">
      <c r="B2511" s="43" t="s">
        <v>24</v>
      </c>
      <c r="C2511" s="43" t="s">
        <v>25</v>
      </c>
      <c r="D2511" s="44">
        <v>45799</v>
      </c>
      <c r="E2511" s="45">
        <v>477</v>
      </c>
    </row>
    <row r="2512" spans="2:5">
      <c r="B2512" s="43" t="s">
        <v>26</v>
      </c>
      <c r="C2512" s="43" t="s">
        <v>27</v>
      </c>
      <c r="D2512" s="44">
        <v>45799</v>
      </c>
      <c r="E2512" s="45">
        <v>668.65</v>
      </c>
    </row>
    <row r="2513" spans="2:5">
      <c r="B2513" s="43" t="s">
        <v>28</v>
      </c>
      <c r="C2513" s="43" t="s">
        <v>29</v>
      </c>
      <c r="D2513" s="44">
        <v>45799</v>
      </c>
      <c r="E2513" s="45">
        <v>89.5</v>
      </c>
    </row>
    <row r="2514" spans="2:5">
      <c r="B2514" s="43" t="s">
        <v>62</v>
      </c>
      <c r="C2514" s="43" t="s">
        <v>63</v>
      </c>
      <c r="D2514" s="44">
        <v>45799</v>
      </c>
      <c r="E2514" s="45">
        <v>205</v>
      </c>
    </row>
    <row r="2515" spans="2:5">
      <c r="B2515" s="43" t="s">
        <v>172</v>
      </c>
      <c r="C2515" s="43" t="s">
        <v>173</v>
      </c>
      <c r="D2515" s="44">
        <v>45799</v>
      </c>
      <c r="E2515" s="45">
        <v>90.2</v>
      </c>
    </row>
    <row r="2516" spans="2:5">
      <c r="B2516" s="43" t="s">
        <v>208</v>
      </c>
      <c r="C2516" s="43" t="s">
        <v>209</v>
      </c>
      <c r="D2516" s="44">
        <v>45799</v>
      </c>
      <c r="E2516" s="45">
        <v>245</v>
      </c>
    </row>
    <row r="2517" spans="2:5">
      <c r="B2517" s="43" t="s">
        <v>142</v>
      </c>
      <c r="C2517" s="43" t="s">
        <v>143</v>
      </c>
      <c r="D2517" s="44">
        <v>45799</v>
      </c>
      <c r="E2517" s="45">
        <v>8</v>
      </c>
    </row>
    <row r="2518" spans="2:5">
      <c r="B2518" s="43" t="s">
        <v>96</v>
      </c>
      <c r="C2518" s="43" t="s">
        <v>97</v>
      </c>
      <c r="D2518" s="44">
        <v>45799</v>
      </c>
      <c r="E2518" s="45">
        <v>16</v>
      </c>
    </row>
    <row r="2519" spans="2:5">
      <c r="B2519" s="43" t="s">
        <v>32</v>
      </c>
      <c r="C2519" s="43" t="s">
        <v>33</v>
      </c>
      <c r="D2519" s="44">
        <v>45799</v>
      </c>
      <c r="E2519" s="45">
        <v>21</v>
      </c>
    </row>
    <row r="2520" spans="2:5">
      <c r="B2520" s="43" t="s">
        <v>154</v>
      </c>
      <c r="C2520" s="43" t="s">
        <v>155</v>
      </c>
      <c r="D2520" s="44">
        <v>45800</v>
      </c>
      <c r="E2520" s="45">
        <v>18</v>
      </c>
    </row>
    <row r="2521" spans="2:5">
      <c r="B2521" s="43" t="s">
        <v>42</v>
      </c>
      <c r="C2521" s="43" t="s">
        <v>43</v>
      </c>
      <c r="D2521" s="44">
        <v>45800</v>
      </c>
      <c r="E2521" s="45">
        <v>2178</v>
      </c>
    </row>
    <row r="2522" spans="2:5">
      <c r="B2522" s="43" t="s">
        <v>4</v>
      </c>
      <c r="C2522" s="43" t="s">
        <v>5</v>
      </c>
      <c r="D2522" s="44">
        <v>45800</v>
      </c>
      <c r="E2522" s="45">
        <v>26.8</v>
      </c>
    </row>
    <row r="2523" spans="2:5">
      <c r="B2523" s="43" t="s">
        <v>156</v>
      </c>
      <c r="C2523" s="43" t="s">
        <v>157</v>
      </c>
      <c r="D2523" s="44">
        <v>45800</v>
      </c>
      <c r="E2523" s="45">
        <v>3088.8</v>
      </c>
    </row>
    <row r="2524" spans="2:5">
      <c r="B2524" s="43" t="s">
        <v>8</v>
      </c>
      <c r="C2524" s="43" t="s">
        <v>9</v>
      </c>
      <c r="D2524" s="44">
        <v>45800</v>
      </c>
      <c r="E2524" s="45">
        <v>60.9</v>
      </c>
    </row>
    <row r="2525" spans="2:5">
      <c r="B2525" s="43" t="s">
        <v>44</v>
      </c>
      <c r="C2525" s="43" t="s">
        <v>45</v>
      </c>
      <c r="D2525" s="44">
        <v>45800</v>
      </c>
      <c r="E2525" s="45">
        <v>8.5</v>
      </c>
    </row>
    <row r="2526" spans="2:5">
      <c r="B2526" s="43" t="s">
        <v>72</v>
      </c>
      <c r="C2526" s="43" t="s">
        <v>73</v>
      </c>
      <c r="D2526" s="44">
        <v>45800</v>
      </c>
      <c r="E2526" s="45">
        <v>918</v>
      </c>
    </row>
    <row r="2527" spans="2:5">
      <c r="B2527" s="43" t="s">
        <v>46</v>
      </c>
      <c r="C2527" s="43" t="s">
        <v>47</v>
      </c>
      <c r="D2527" s="44">
        <v>45800</v>
      </c>
      <c r="E2527" s="45">
        <v>11.3</v>
      </c>
    </row>
    <row r="2528" spans="2:5">
      <c r="B2528" s="43" t="s">
        <v>74</v>
      </c>
      <c r="C2528" s="43" t="s">
        <v>75</v>
      </c>
      <c r="D2528" s="44">
        <v>45800</v>
      </c>
      <c r="E2528" s="45">
        <v>1245</v>
      </c>
    </row>
    <row r="2529" spans="2:5">
      <c r="B2529" s="43" t="s">
        <v>108</v>
      </c>
      <c r="C2529" s="43" t="s">
        <v>109</v>
      </c>
      <c r="D2529" s="44">
        <v>45800</v>
      </c>
      <c r="E2529" s="45">
        <v>15.5</v>
      </c>
    </row>
    <row r="2530" spans="2:5">
      <c r="B2530" s="43" t="s">
        <v>178</v>
      </c>
      <c r="C2530" s="43" t="s">
        <v>179</v>
      </c>
      <c r="D2530" s="44">
        <v>45800</v>
      </c>
      <c r="E2530" s="45">
        <v>36</v>
      </c>
    </row>
    <row r="2531" spans="2:5">
      <c r="B2531" s="43" t="s">
        <v>14</v>
      </c>
      <c r="C2531" s="43" t="s">
        <v>15</v>
      </c>
      <c r="D2531" s="44">
        <v>45800</v>
      </c>
      <c r="E2531" s="45">
        <v>54</v>
      </c>
    </row>
    <row r="2532" spans="2:5">
      <c r="B2532" s="43" t="s">
        <v>126</v>
      </c>
      <c r="C2532" s="43" t="s">
        <v>127</v>
      </c>
      <c r="D2532" s="44">
        <v>45800</v>
      </c>
      <c r="E2532" s="45">
        <v>47.2</v>
      </c>
    </row>
    <row r="2533" spans="2:5">
      <c r="B2533" s="43" t="s">
        <v>188</v>
      </c>
      <c r="C2533" s="43" t="s">
        <v>189</v>
      </c>
      <c r="D2533" s="44">
        <v>45800</v>
      </c>
      <c r="E2533" s="45">
        <v>46.2</v>
      </c>
    </row>
    <row r="2534" spans="2:5">
      <c r="B2534" s="43" t="s">
        <v>16</v>
      </c>
      <c r="C2534" s="43" t="s">
        <v>17</v>
      </c>
      <c r="D2534" s="44">
        <v>45800</v>
      </c>
      <c r="E2534" s="45">
        <v>68.4</v>
      </c>
    </row>
    <row r="2535" spans="2:5">
      <c r="B2535" s="43" t="s">
        <v>20</v>
      </c>
      <c r="C2535" s="43" t="s">
        <v>21</v>
      </c>
      <c r="D2535" s="44">
        <v>45800</v>
      </c>
      <c r="E2535" s="45">
        <v>19.6</v>
      </c>
    </row>
    <row r="2536" spans="2:5">
      <c r="B2536" s="43" t="s">
        <v>80</v>
      </c>
      <c r="C2536" s="43" t="s">
        <v>81</v>
      </c>
      <c r="D2536" s="44">
        <v>45800</v>
      </c>
      <c r="E2536" s="45">
        <v>4592</v>
      </c>
    </row>
    <row r="2537" spans="2:5">
      <c r="B2537" s="43" t="s">
        <v>24</v>
      </c>
      <c r="C2537" s="43" t="s">
        <v>25</v>
      </c>
      <c r="D2537" s="44">
        <v>45800</v>
      </c>
      <c r="E2537" s="45">
        <v>508.8</v>
      </c>
    </row>
    <row r="2538" spans="2:5">
      <c r="B2538" s="43" t="s">
        <v>26</v>
      </c>
      <c r="C2538" s="43" t="s">
        <v>27</v>
      </c>
      <c r="D2538" s="44">
        <v>45800</v>
      </c>
      <c r="E2538" s="45">
        <v>264.35</v>
      </c>
    </row>
    <row r="2539" spans="2:5">
      <c r="B2539" s="43" t="s">
        <v>62</v>
      </c>
      <c r="C2539" s="43" t="s">
        <v>63</v>
      </c>
      <c r="D2539" s="44">
        <v>45800</v>
      </c>
      <c r="E2539" s="45">
        <v>2152.5</v>
      </c>
    </row>
    <row r="2540" spans="2:5">
      <c r="B2540" s="43" t="s">
        <v>172</v>
      </c>
      <c r="C2540" s="43" t="s">
        <v>173</v>
      </c>
      <c r="D2540" s="44">
        <v>45800</v>
      </c>
      <c r="E2540" s="45">
        <v>45.1</v>
      </c>
    </row>
    <row r="2541" spans="2:5">
      <c r="B2541" s="43" t="s">
        <v>186</v>
      </c>
      <c r="C2541" s="43" t="s">
        <v>187</v>
      </c>
      <c r="D2541" s="44">
        <v>45800</v>
      </c>
      <c r="E2541" s="45">
        <v>162.8</v>
      </c>
    </row>
    <row r="2542" spans="2:5">
      <c r="B2542" s="43" t="s">
        <v>66</v>
      </c>
      <c r="C2542" s="43" t="s">
        <v>67</v>
      </c>
      <c r="D2542" s="44">
        <v>45800</v>
      </c>
      <c r="E2542" s="45">
        <v>470.9</v>
      </c>
    </row>
    <row r="2543" spans="2:5">
      <c r="B2543" s="43" t="s">
        <v>174</v>
      </c>
      <c r="C2543" s="43" t="s">
        <v>175</v>
      </c>
      <c r="D2543" s="44">
        <v>45800</v>
      </c>
      <c r="E2543" s="45">
        <v>212.4</v>
      </c>
    </row>
    <row r="2544" spans="2:5">
      <c r="B2544" s="43" t="s">
        <v>96</v>
      </c>
      <c r="C2544" s="43" t="s">
        <v>97</v>
      </c>
      <c r="D2544" s="44">
        <v>45800</v>
      </c>
      <c r="E2544" s="45">
        <v>12</v>
      </c>
    </row>
    <row r="2545" spans="2:5">
      <c r="B2545" s="43" t="s">
        <v>32</v>
      </c>
      <c r="C2545" s="43" t="s">
        <v>33</v>
      </c>
      <c r="D2545" s="44">
        <v>45800</v>
      </c>
      <c r="E2545" s="45">
        <v>4</v>
      </c>
    </row>
    <row r="2546" spans="2:5">
      <c r="B2546" s="43" t="s">
        <v>170</v>
      </c>
      <c r="C2546" s="43" t="s">
        <v>171</v>
      </c>
      <c r="D2546" s="44">
        <v>45800</v>
      </c>
      <c r="E2546" s="45">
        <v>1</v>
      </c>
    </row>
    <row r="2547" spans="2:5">
      <c r="B2547" s="43" t="s">
        <v>36</v>
      </c>
      <c r="C2547" s="43" t="s">
        <v>37</v>
      </c>
      <c r="D2547" s="44">
        <v>45800</v>
      </c>
      <c r="E2547" s="45">
        <v>4</v>
      </c>
    </row>
    <row r="2548" spans="2:5">
      <c r="B2548" s="43" t="s">
        <v>156</v>
      </c>
      <c r="C2548" s="43" t="s">
        <v>157</v>
      </c>
      <c r="D2548" s="44">
        <v>45803</v>
      </c>
      <c r="E2548" s="45">
        <v>7.8</v>
      </c>
    </row>
    <row r="2549" spans="2:5">
      <c r="B2549" s="43" t="s">
        <v>8</v>
      </c>
      <c r="C2549" s="43" t="s">
        <v>9</v>
      </c>
      <c r="D2549" s="44">
        <v>45803</v>
      </c>
      <c r="E2549" s="45">
        <v>69.6</v>
      </c>
    </row>
    <row r="2550" spans="2:5">
      <c r="B2550" s="43" t="s">
        <v>72</v>
      </c>
      <c r="C2550" s="43" t="s">
        <v>73</v>
      </c>
      <c r="D2550" s="44">
        <v>45803</v>
      </c>
      <c r="E2550" s="45">
        <v>102</v>
      </c>
    </row>
    <row r="2551" spans="2:5">
      <c r="B2551" s="43" t="s">
        <v>46</v>
      </c>
      <c r="C2551" s="43" t="s">
        <v>47</v>
      </c>
      <c r="D2551" s="44">
        <v>45803</v>
      </c>
      <c r="E2551" s="45">
        <v>158.2</v>
      </c>
    </row>
    <row r="2552" spans="2:5">
      <c r="B2552" s="43" t="s">
        <v>74</v>
      </c>
      <c r="C2552" s="43" t="s">
        <v>75</v>
      </c>
      <c r="D2552" s="44">
        <v>45803</v>
      </c>
      <c r="E2552" s="45">
        <v>373.5</v>
      </c>
    </row>
    <row r="2553" spans="2:5">
      <c r="B2553" s="43" t="s">
        <v>12</v>
      </c>
      <c r="C2553" s="43" t="s">
        <v>13</v>
      </c>
      <c r="D2553" s="44">
        <v>45803</v>
      </c>
      <c r="E2553" s="45">
        <v>179.4</v>
      </c>
    </row>
    <row r="2554" spans="2:5">
      <c r="B2554" s="43" t="s">
        <v>50</v>
      </c>
      <c r="C2554" s="43" t="s">
        <v>51</v>
      </c>
      <c r="D2554" s="44">
        <v>45803</v>
      </c>
      <c r="E2554" s="45">
        <v>40.8</v>
      </c>
    </row>
    <row r="2555" spans="2:5">
      <c r="B2555" s="43" t="s">
        <v>56</v>
      </c>
      <c r="C2555" s="43" t="s">
        <v>57</v>
      </c>
      <c r="D2555" s="44">
        <v>45803</v>
      </c>
      <c r="E2555" s="45">
        <v>72.4</v>
      </c>
    </row>
    <row r="2556" spans="2:5">
      <c r="B2556" s="43" t="s">
        <v>16</v>
      </c>
      <c r="C2556" s="43" t="s">
        <v>17</v>
      </c>
      <c r="D2556" s="44">
        <v>45803</v>
      </c>
      <c r="E2556" s="45">
        <v>45.6</v>
      </c>
    </row>
    <row r="2557" spans="2:5">
      <c r="B2557" s="43" t="s">
        <v>200</v>
      </c>
      <c r="C2557" s="43" t="s">
        <v>201</v>
      </c>
      <c r="D2557" s="44">
        <v>45803</v>
      </c>
      <c r="E2557" s="45">
        <v>275</v>
      </c>
    </row>
    <row r="2558" spans="2:5">
      <c r="B2558" s="43" t="s">
        <v>20</v>
      </c>
      <c r="C2558" s="43" t="s">
        <v>21</v>
      </c>
      <c r="D2558" s="44">
        <v>45803</v>
      </c>
      <c r="E2558" s="45">
        <v>9.8</v>
      </c>
    </row>
    <row r="2559" spans="2:5">
      <c r="B2559" s="43" t="s">
        <v>22</v>
      </c>
      <c r="C2559" s="43" t="s">
        <v>23</v>
      </c>
      <c r="D2559" s="44">
        <v>45803</v>
      </c>
      <c r="E2559" s="45">
        <v>19.2</v>
      </c>
    </row>
    <row r="2560" spans="2:5">
      <c r="B2560" s="43" t="s">
        <v>24</v>
      </c>
      <c r="C2560" s="43" t="s">
        <v>25</v>
      </c>
      <c r="D2560" s="44">
        <v>45803</v>
      </c>
      <c r="E2560" s="45">
        <v>1415.1</v>
      </c>
    </row>
    <row r="2561" spans="2:5">
      <c r="B2561" s="43" t="s">
        <v>62</v>
      </c>
      <c r="C2561" s="43" t="s">
        <v>63</v>
      </c>
      <c r="D2561" s="44">
        <v>45803</v>
      </c>
      <c r="E2561" s="45">
        <v>205</v>
      </c>
    </row>
    <row r="2562" spans="2:5">
      <c r="B2562" s="43" t="s">
        <v>198</v>
      </c>
      <c r="C2562" s="43" t="s">
        <v>199</v>
      </c>
      <c r="D2562" s="44">
        <v>45803</v>
      </c>
      <c r="E2562" s="45">
        <v>231</v>
      </c>
    </row>
    <row r="2563" spans="2:5">
      <c r="B2563" s="43" t="s">
        <v>66</v>
      </c>
      <c r="C2563" s="43" t="s">
        <v>67</v>
      </c>
      <c r="D2563" s="44">
        <v>45803</v>
      </c>
      <c r="E2563" s="45">
        <v>55.4</v>
      </c>
    </row>
    <row r="2564" spans="2:5">
      <c r="B2564" s="43" t="s">
        <v>196</v>
      </c>
      <c r="C2564" s="43" t="s">
        <v>197</v>
      </c>
      <c r="D2564" s="44">
        <v>45803</v>
      </c>
      <c r="E2564" s="45">
        <v>2</v>
      </c>
    </row>
    <row r="2565" spans="2:5">
      <c r="B2565" s="43" t="s">
        <v>96</v>
      </c>
      <c r="C2565" s="43" t="s">
        <v>97</v>
      </c>
      <c r="D2565" s="44">
        <v>45803</v>
      </c>
      <c r="E2565" s="45">
        <v>14</v>
      </c>
    </row>
    <row r="2566" spans="2:5">
      <c r="B2566" s="43" t="s">
        <v>170</v>
      </c>
      <c r="C2566" s="43" t="s">
        <v>171</v>
      </c>
      <c r="D2566" s="44">
        <v>45803</v>
      </c>
      <c r="E2566" s="45">
        <v>2</v>
      </c>
    </row>
    <row r="2567" spans="2:5">
      <c r="B2567" s="43" t="s">
        <v>38</v>
      </c>
      <c r="C2567" s="43" t="s">
        <v>39</v>
      </c>
      <c r="D2567" s="44">
        <v>45803</v>
      </c>
      <c r="E2567" s="45">
        <v>1</v>
      </c>
    </row>
    <row r="2568" spans="2:5">
      <c r="B2568" s="43" t="s">
        <v>4</v>
      </c>
      <c r="C2568" s="43" t="s">
        <v>5</v>
      </c>
      <c r="D2568" s="44">
        <v>45804</v>
      </c>
      <c r="E2568" s="45">
        <v>26.8</v>
      </c>
    </row>
    <row r="2569" spans="2:5">
      <c r="B2569" s="43" t="s">
        <v>6</v>
      </c>
      <c r="C2569" s="43" t="s">
        <v>7</v>
      </c>
      <c r="D2569" s="44">
        <v>45804</v>
      </c>
      <c r="E2569" s="45">
        <v>6.55</v>
      </c>
    </row>
    <row r="2570" spans="2:5">
      <c r="B2570" s="43" t="s">
        <v>156</v>
      </c>
      <c r="C2570" s="43" t="s">
        <v>157</v>
      </c>
      <c r="D2570" s="44">
        <v>45804</v>
      </c>
      <c r="E2570" s="45">
        <v>390</v>
      </c>
    </row>
    <row r="2571" spans="2:5">
      <c r="B2571" s="43" t="s">
        <v>8</v>
      </c>
      <c r="C2571" s="43" t="s">
        <v>9</v>
      </c>
      <c r="D2571" s="44">
        <v>45804</v>
      </c>
      <c r="E2571" s="45">
        <v>113.1</v>
      </c>
    </row>
    <row r="2572" spans="2:5">
      <c r="B2572" s="43" t="s">
        <v>44</v>
      </c>
      <c r="C2572" s="43" t="s">
        <v>45</v>
      </c>
      <c r="D2572" s="44">
        <v>45804</v>
      </c>
      <c r="E2572" s="45">
        <v>68</v>
      </c>
    </row>
    <row r="2573" spans="2:5">
      <c r="B2573" s="43" t="s">
        <v>46</v>
      </c>
      <c r="C2573" s="43" t="s">
        <v>47</v>
      </c>
      <c r="D2573" s="44">
        <v>45804</v>
      </c>
      <c r="E2573" s="45">
        <v>519.8</v>
      </c>
    </row>
    <row r="2574" spans="2:5">
      <c r="B2574" s="43" t="s">
        <v>10</v>
      </c>
      <c r="C2574" s="43" t="s">
        <v>11</v>
      </c>
      <c r="D2574" s="44">
        <v>45804</v>
      </c>
      <c r="E2574" s="45">
        <v>243.1</v>
      </c>
    </row>
    <row r="2575" spans="2:5">
      <c r="B2575" s="43" t="s">
        <v>74</v>
      </c>
      <c r="C2575" s="43" t="s">
        <v>75</v>
      </c>
      <c r="D2575" s="44">
        <v>45804</v>
      </c>
      <c r="E2575" s="45">
        <v>273.9</v>
      </c>
    </row>
    <row r="2576" spans="2:5">
      <c r="B2576" s="43" t="s">
        <v>12</v>
      </c>
      <c r="C2576" s="43" t="s">
        <v>13</v>
      </c>
      <c r="D2576" s="44">
        <v>45804</v>
      </c>
      <c r="E2576" s="45">
        <v>745.2</v>
      </c>
    </row>
    <row r="2577" spans="2:5">
      <c r="B2577" s="43" t="s">
        <v>178</v>
      </c>
      <c r="C2577" s="43" t="s">
        <v>179</v>
      </c>
      <c r="D2577" s="44">
        <v>45804</v>
      </c>
      <c r="E2577" s="45">
        <v>126</v>
      </c>
    </row>
    <row r="2578" spans="2:5">
      <c r="B2578" s="43" t="s">
        <v>14</v>
      </c>
      <c r="C2578" s="43" t="s">
        <v>15</v>
      </c>
      <c r="D2578" s="44">
        <v>45804</v>
      </c>
      <c r="E2578" s="45">
        <v>351</v>
      </c>
    </row>
    <row r="2579" spans="2:5">
      <c r="B2579" s="43" t="s">
        <v>50</v>
      </c>
      <c r="C2579" s="43" t="s">
        <v>51</v>
      </c>
      <c r="D2579" s="44">
        <v>45804</v>
      </c>
      <c r="E2579" s="45">
        <v>163.2</v>
      </c>
    </row>
    <row r="2580" spans="2:5">
      <c r="B2580" s="43" t="s">
        <v>126</v>
      </c>
      <c r="C2580" s="43" t="s">
        <v>127</v>
      </c>
      <c r="D2580" s="44">
        <v>45804</v>
      </c>
      <c r="E2580" s="45">
        <v>118</v>
      </c>
    </row>
    <row r="2581" spans="2:5">
      <c r="B2581" s="43" t="s">
        <v>192</v>
      </c>
      <c r="C2581" s="43" t="s">
        <v>193</v>
      </c>
      <c r="D2581" s="44">
        <v>45804</v>
      </c>
      <c r="E2581" s="45">
        <v>492.8</v>
      </c>
    </row>
    <row r="2582" spans="2:5">
      <c r="B2582" s="43" t="s">
        <v>78</v>
      </c>
      <c r="C2582" s="43" t="s">
        <v>79</v>
      </c>
      <c r="D2582" s="44">
        <v>45804</v>
      </c>
      <c r="E2582" s="45">
        <v>88.5</v>
      </c>
    </row>
    <row r="2583" spans="2:5">
      <c r="B2583" s="43" t="s">
        <v>20</v>
      </c>
      <c r="C2583" s="43" t="s">
        <v>21</v>
      </c>
      <c r="D2583" s="44">
        <v>45804</v>
      </c>
      <c r="E2583" s="45">
        <v>784</v>
      </c>
    </row>
    <row r="2584" spans="2:5">
      <c r="B2584" s="43" t="s">
        <v>22</v>
      </c>
      <c r="C2584" s="43" t="s">
        <v>23</v>
      </c>
      <c r="D2584" s="44">
        <v>45804</v>
      </c>
      <c r="E2584" s="45">
        <v>57.6</v>
      </c>
    </row>
    <row r="2585" spans="2:5">
      <c r="B2585" s="43" t="s">
        <v>24</v>
      </c>
      <c r="C2585" s="43" t="s">
        <v>25</v>
      </c>
      <c r="D2585" s="44">
        <v>45804</v>
      </c>
      <c r="E2585" s="45">
        <v>1923.9</v>
      </c>
    </row>
    <row r="2586" spans="2:5">
      <c r="B2586" s="43" t="s">
        <v>26</v>
      </c>
      <c r="C2586" s="43" t="s">
        <v>27</v>
      </c>
      <c r="D2586" s="44">
        <v>45804</v>
      </c>
      <c r="E2586" s="45">
        <v>2177</v>
      </c>
    </row>
    <row r="2587" spans="2:5">
      <c r="B2587" s="43" t="s">
        <v>60</v>
      </c>
      <c r="C2587" s="43" t="s">
        <v>61</v>
      </c>
      <c r="D2587" s="44">
        <v>45804</v>
      </c>
      <c r="E2587" s="45">
        <v>366</v>
      </c>
    </row>
    <row r="2588" spans="2:5">
      <c r="B2588" s="43" t="s">
        <v>62</v>
      </c>
      <c r="C2588" s="43" t="s">
        <v>63</v>
      </c>
      <c r="D2588" s="44">
        <v>45804</v>
      </c>
      <c r="E2588" s="45">
        <v>512.5</v>
      </c>
    </row>
    <row r="2589" spans="2:5">
      <c r="B2589" s="43" t="s">
        <v>64</v>
      </c>
      <c r="C2589" s="43" t="s">
        <v>65</v>
      </c>
      <c r="D2589" s="44">
        <v>45804</v>
      </c>
      <c r="E2589" s="45">
        <v>220</v>
      </c>
    </row>
    <row r="2590" spans="2:5">
      <c r="B2590" s="43" t="s">
        <v>198</v>
      </c>
      <c r="C2590" s="43" t="s">
        <v>199</v>
      </c>
      <c r="D2590" s="44">
        <v>45804</v>
      </c>
      <c r="E2590" s="45">
        <v>46.2</v>
      </c>
    </row>
    <row r="2591" spans="2:5">
      <c r="B2591" s="43" t="s">
        <v>172</v>
      </c>
      <c r="C2591" s="43" t="s">
        <v>173</v>
      </c>
      <c r="D2591" s="44">
        <v>45804</v>
      </c>
      <c r="E2591" s="45">
        <v>225.5</v>
      </c>
    </row>
    <row r="2592" spans="2:5">
      <c r="B2592" s="43" t="s">
        <v>68</v>
      </c>
      <c r="C2592" s="43" t="s">
        <v>69</v>
      </c>
      <c r="D2592" s="44">
        <v>45804</v>
      </c>
      <c r="E2592" s="45">
        <v>71.8</v>
      </c>
    </row>
    <row r="2593" spans="2:5">
      <c r="B2593" s="43" t="s">
        <v>106</v>
      </c>
      <c r="C2593" s="43" t="s">
        <v>107</v>
      </c>
      <c r="D2593" s="44">
        <v>45804</v>
      </c>
      <c r="E2593" s="45">
        <v>7.7</v>
      </c>
    </row>
    <row r="2594" spans="2:5">
      <c r="B2594" s="43" t="s">
        <v>142</v>
      </c>
      <c r="C2594" s="43" t="s">
        <v>143</v>
      </c>
      <c r="D2594" s="44">
        <v>45804</v>
      </c>
      <c r="E2594" s="45">
        <v>10</v>
      </c>
    </row>
    <row r="2595" spans="2:5">
      <c r="B2595" s="43" t="s">
        <v>30</v>
      </c>
      <c r="C2595" s="43" t="s">
        <v>31</v>
      </c>
      <c r="D2595" s="44">
        <v>45804</v>
      </c>
      <c r="E2595" s="45">
        <v>24</v>
      </c>
    </row>
    <row r="2596" spans="2:5">
      <c r="B2596" s="43" t="s">
        <v>96</v>
      </c>
      <c r="C2596" s="43" t="s">
        <v>97</v>
      </c>
      <c r="D2596" s="44">
        <v>45804</v>
      </c>
      <c r="E2596" s="45">
        <v>80</v>
      </c>
    </row>
    <row r="2597" spans="2:5">
      <c r="B2597" s="43" t="s">
        <v>32</v>
      </c>
      <c r="C2597" s="43" t="s">
        <v>33</v>
      </c>
      <c r="D2597" s="44">
        <v>45804</v>
      </c>
      <c r="E2597" s="45">
        <v>19</v>
      </c>
    </row>
    <row r="2598" spans="2:5">
      <c r="B2598" s="43" t="s">
        <v>160</v>
      </c>
      <c r="C2598" s="43" t="s">
        <v>161</v>
      </c>
      <c r="D2598" s="44">
        <v>45804</v>
      </c>
      <c r="E2598" s="45">
        <v>7</v>
      </c>
    </row>
    <row r="2599" spans="2:5">
      <c r="B2599" s="43" t="s">
        <v>34</v>
      </c>
      <c r="C2599" s="43" t="s">
        <v>35</v>
      </c>
      <c r="D2599" s="44">
        <v>45804</v>
      </c>
      <c r="E2599" s="45">
        <v>7</v>
      </c>
    </row>
    <row r="2600" spans="2:5">
      <c r="B2600" s="43" t="s">
        <v>36</v>
      </c>
      <c r="C2600" s="43" t="s">
        <v>37</v>
      </c>
      <c r="D2600" s="44">
        <v>45804</v>
      </c>
      <c r="E2600" s="45">
        <v>3</v>
      </c>
    </row>
    <row r="2601" spans="2:5">
      <c r="B2601" s="43" t="s">
        <v>4</v>
      </c>
      <c r="C2601" s="43" t="s">
        <v>5</v>
      </c>
      <c r="D2601" s="44">
        <v>45805</v>
      </c>
      <c r="E2601" s="45">
        <v>154.1</v>
      </c>
    </row>
    <row r="2602" spans="2:5">
      <c r="B2602" s="43" t="s">
        <v>156</v>
      </c>
      <c r="C2602" s="43" t="s">
        <v>157</v>
      </c>
      <c r="D2602" s="44">
        <v>45805</v>
      </c>
      <c r="E2602" s="45">
        <v>39</v>
      </c>
    </row>
    <row r="2603" spans="2:5">
      <c r="B2603" s="43" t="s">
        <v>8</v>
      </c>
      <c r="C2603" s="43" t="s">
        <v>9</v>
      </c>
      <c r="D2603" s="44">
        <v>45805</v>
      </c>
      <c r="E2603" s="45">
        <v>252.3</v>
      </c>
    </row>
    <row r="2604" spans="2:5">
      <c r="B2604" s="43" t="s">
        <v>44</v>
      </c>
      <c r="C2604" s="43" t="s">
        <v>45</v>
      </c>
      <c r="D2604" s="44">
        <v>45805</v>
      </c>
      <c r="E2604" s="45">
        <v>34</v>
      </c>
    </row>
    <row r="2605" spans="2:5">
      <c r="B2605" s="43" t="s">
        <v>72</v>
      </c>
      <c r="C2605" s="43" t="s">
        <v>73</v>
      </c>
      <c r="D2605" s="44">
        <v>45805</v>
      </c>
      <c r="E2605" s="45">
        <v>744.6</v>
      </c>
    </row>
    <row r="2606" spans="2:5">
      <c r="B2606" s="43" t="s">
        <v>46</v>
      </c>
      <c r="C2606" s="43" t="s">
        <v>47</v>
      </c>
      <c r="D2606" s="44">
        <v>45805</v>
      </c>
      <c r="E2606" s="45">
        <v>565</v>
      </c>
    </row>
    <row r="2607" spans="2:5">
      <c r="B2607" s="43" t="s">
        <v>10</v>
      </c>
      <c r="C2607" s="43" t="s">
        <v>11</v>
      </c>
      <c r="D2607" s="44">
        <v>45805</v>
      </c>
      <c r="E2607" s="45">
        <v>519.35</v>
      </c>
    </row>
    <row r="2608" spans="2:5">
      <c r="B2608" s="43" t="s">
        <v>74</v>
      </c>
      <c r="C2608" s="43" t="s">
        <v>75</v>
      </c>
      <c r="D2608" s="44">
        <v>45805</v>
      </c>
      <c r="E2608" s="45">
        <v>348.6</v>
      </c>
    </row>
    <row r="2609" spans="2:5">
      <c r="B2609" s="43" t="s">
        <v>12</v>
      </c>
      <c r="C2609" s="43" t="s">
        <v>13</v>
      </c>
      <c r="D2609" s="44">
        <v>45805</v>
      </c>
      <c r="E2609" s="45">
        <v>910.8</v>
      </c>
    </row>
    <row r="2610" spans="2:5">
      <c r="B2610" s="43" t="s">
        <v>14</v>
      </c>
      <c r="C2610" s="43" t="s">
        <v>15</v>
      </c>
      <c r="D2610" s="44">
        <v>45805</v>
      </c>
      <c r="E2610" s="45">
        <v>607.5</v>
      </c>
    </row>
    <row r="2611" spans="2:5">
      <c r="B2611" s="43" t="s">
        <v>50</v>
      </c>
      <c r="C2611" s="43" t="s">
        <v>51</v>
      </c>
      <c r="D2611" s="44">
        <v>45805</v>
      </c>
      <c r="E2611" s="45">
        <v>408</v>
      </c>
    </row>
    <row r="2612" spans="2:5">
      <c r="B2612" s="43" t="s">
        <v>114</v>
      </c>
      <c r="C2612" s="43" t="s">
        <v>115</v>
      </c>
      <c r="D2612" s="44">
        <v>45805</v>
      </c>
      <c r="E2612" s="45">
        <v>146.3</v>
      </c>
    </row>
    <row r="2613" spans="2:5">
      <c r="B2613" s="43" t="s">
        <v>144</v>
      </c>
      <c r="C2613" s="43" t="s">
        <v>145</v>
      </c>
      <c r="D2613" s="44">
        <v>45805</v>
      </c>
      <c r="E2613" s="45">
        <v>486</v>
      </c>
    </row>
    <row r="2614" spans="2:5">
      <c r="B2614" s="43" t="s">
        <v>138</v>
      </c>
      <c r="C2614" s="43" t="s">
        <v>139</v>
      </c>
      <c r="D2614" s="44">
        <v>45805</v>
      </c>
      <c r="E2614" s="45">
        <v>126.8</v>
      </c>
    </row>
    <row r="2615" spans="2:5">
      <c r="B2615" s="43" t="s">
        <v>18</v>
      </c>
      <c r="C2615" s="43" t="s">
        <v>19</v>
      </c>
      <c r="D2615" s="44">
        <v>45805</v>
      </c>
      <c r="E2615" s="45">
        <v>400.5</v>
      </c>
    </row>
    <row r="2616" spans="2:5">
      <c r="B2616" s="43" t="s">
        <v>20</v>
      </c>
      <c r="C2616" s="43" t="s">
        <v>21</v>
      </c>
      <c r="D2616" s="44">
        <v>45805</v>
      </c>
      <c r="E2616" s="45">
        <v>421.4</v>
      </c>
    </row>
    <row r="2617" spans="2:5">
      <c r="B2617" s="43" t="s">
        <v>22</v>
      </c>
      <c r="C2617" s="43" t="s">
        <v>23</v>
      </c>
      <c r="D2617" s="44">
        <v>45805</v>
      </c>
      <c r="E2617" s="45">
        <v>278.4</v>
      </c>
    </row>
    <row r="2618" spans="2:5">
      <c r="B2618" s="43" t="s">
        <v>24</v>
      </c>
      <c r="C2618" s="43" t="s">
        <v>25</v>
      </c>
      <c r="D2618" s="44">
        <v>45805</v>
      </c>
      <c r="E2618" s="45">
        <v>3513.9</v>
      </c>
    </row>
    <row r="2619" spans="2:5">
      <c r="B2619" s="43" t="s">
        <v>26</v>
      </c>
      <c r="C2619" s="43" t="s">
        <v>27</v>
      </c>
      <c r="D2619" s="44">
        <v>45805</v>
      </c>
      <c r="E2619" s="45">
        <v>3421</v>
      </c>
    </row>
    <row r="2620" spans="2:5">
      <c r="B2620" s="43" t="s">
        <v>28</v>
      </c>
      <c r="C2620" s="43" t="s">
        <v>29</v>
      </c>
      <c r="D2620" s="44">
        <v>45805</v>
      </c>
      <c r="E2620" s="45">
        <v>268.5</v>
      </c>
    </row>
    <row r="2621" spans="2:5">
      <c r="B2621" s="43" t="s">
        <v>62</v>
      </c>
      <c r="C2621" s="43" t="s">
        <v>63</v>
      </c>
      <c r="D2621" s="44">
        <v>45805</v>
      </c>
      <c r="E2621" s="45">
        <v>1045.5</v>
      </c>
    </row>
    <row r="2622" spans="2:5">
      <c r="B2622" s="43" t="s">
        <v>64</v>
      </c>
      <c r="C2622" s="43" t="s">
        <v>65</v>
      </c>
      <c r="D2622" s="44">
        <v>45805</v>
      </c>
      <c r="E2622" s="45">
        <v>80</v>
      </c>
    </row>
    <row r="2623" spans="2:5">
      <c r="B2623" s="43" t="s">
        <v>198</v>
      </c>
      <c r="C2623" s="43" t="s">
        <v>199</v>
      </c>
      <c r="D2623" s="44">
        <v>45805</v>
      </c>
      <c r="E2623" s="45">
        <v>1848</v>
      </c>
    </row>
    <row r="2624" spans="2:5">
      <c r="B2624" s="43" t="s">
        <v>172</v>
      </c>
      <c r="C2624" s="43" t="s">
        <v>173</v>
      </c>
      <c r="D2624" s="44">
        <v>45805</v>
      </c>
      <c r="E2624" s="45">
        <v>1150.05</v>
      </c>
    </row>
    <row r="2625" spans="2:5">
      <c r="B2625" s="43" t="s">
        <v>66</v>
      </c>
      <c r="C2625" s="43" t="s">
        <v>67</v>
      </c>
      <c r="D2625" s="44">
        <v>45805</v>
      </c>
      <c r="E2625" s="45">
        <v>775.6</v>
      </c>
    </row>
    <row r="2626" spans="2:5">
      <c r="B2626" s="43" t="s">
        <v>150</v>
      </c>
      <c r="C2626" s="43" t="s">
        <v>151</v>
      </c>
      <c r="D2626" s="44">
        <v>45805</v>
      </c>
      <c r="E2626" s="45">
        <v>189.35</v>
      </c>
    </row>
    <row r="2627" spans="2:5">
      <c r="B2627" s="43" t="s">
        <v>106</v>
      </c>
      <c r="C2627" s="43" t="s">
        <v>107</v>
      </c>
      <c r="D2627" s="44">
        <v>45805</v>
      </c>
      <c r="E2627" s="45">
        <v>7.7</v>
      </c>
    </row>
    <row r="2628" spans="2:5">
      <c r="B2628" s="43" t="s">
        <v>142</v>
      </c>
      <c r="C2628" s="43" t="s">
        <v>143</v>
      </c>
      <c r="D2628" s="44">
        <v>45805</v>
      </c>
      <c r="E2628" s="45">
        <v>19</v>
      </c>
    </row>
    <row r="2629" spans="2:5">
      <c r="B2629" s="43" t="s">
        <v>96</v>
      </c>
      <c r="C2629" s="43" t="s">
        <v>97</v>
      </c>
      <c r="D2629" s="44">
        <v>45805</v>
      </c>
      <c r="E2629" s="45">
        <v>248</v>
      </c>
    </row>
    <row r="2630" spans="2:5">
      <c r="B2630" s="43" t="s">
        <v>32</v>
      </c>
      <c r="C2630" s="43" t="s">
        <v>33</v>
      </c>
      <c r="D2630" s="44">
        <v>45805</v>
      </c>
      <c r="E2630" s="45">
        <v>11</v>
      </c>
    </row>
    <row r="2631" spans="2:5">
      <c r="B2631" s="43" t="s">
        <v>38</v>
      </c>
      <c r="C2631" s="43" t="s">
        <v>39</v>
      </c>
      <c r="D2631" s="44">
        <v>45805</v>
      </c>
      <c r="E2631" s="45">
        <v>8</v>
      </c>
    </row>
    <row r="2632" spans="2:5">
      <c r="B2632" s="43" t="s">
        <v>4</v>
      </c>
      <c r="C2632" s="43" t="s">
        <v>5</v>
      </c>
      <c r="D2632" s="44">
        <v>45806</v>
      </c>
      <c r="E2632" s="45">
        <v>13.4</v>
      </c>
    </row>
    <row r="2633" spans="2:5">
      <c r="B2633" s="43" t="s">
        <v>8</v>
      </c>
      <c r="C2633" s="43" t="s">
        <v>9</v>
      </c>
      <c r="D2633" s="44">
        <v>45806</v>
      </c>
      <c r="E2633" s="45">
        <v>43.5</v>
      </c>
    </row>
    <row r="2634" spans="2:5">
      <c r="B2634" s="43" t="s">
        <v>72</v>
      </c>
      <c r="C2634" s="43" t="s">
        <v>73</v>
      </c>
      <c r="D2634" s="44">
        <v>45806</v>
      </c>
      <c r="E2634" s="45">
        <v>163.2</v>
      </c>
    </row>
    <row r="2635" spans="2:5">
      <c r="B2635" s="43" t="s">
        <v>46</v>
      </c>
      <c r="C2635" s="43" t="s">
        <v>47</v>
      </c>
      <c r="D2635" s="44">
        <v>45806</v>
      </c>
      <c r="E2635" s="45">
        <v>463.3</v>
      </c>
    </row>
    <row r="2636" spans="2:5">
      <c r="B2636" s="43" t="s">
        <v>10</v>
      </c>
      <c r="C2636" s="43" t="s">
        <v>11</v>
      </c>
      <c r="D2636" s="44">
        <v>45806</v>
      </c>
      <c r="E2636" s="45">
        <v>419.9</v>
      </c>
    </row>
    <row r="2637" spans="2:5">
      <c r="B2637" s="43" t="s">
        <v>12</v>
      </c>
      <c r="C2637" s="43" t="s">
        <v>13</v>
      </c>
      <c r="D2637" s="44">
        <v>45806</v>
      </c>
      <c r="E2637" s="45">
        <v>676.2</v>
      </c>
    </row>
    <row r="2638" spans="2:5">
      <c r="B2638" s="43" t="s">
        <v>14</v>
      </c>
      <c r="C2638" s="43" t="s">
        <v>15</v>
      </c>
      <c r="D2638" s="44">
        <v>45806</v>
      </c>
      <c r="E2638" s="45">
        <v>1080</v>
      </c>
    </row>
    <row r="2639" spans="2:5">
      <c r="B2639" s="43" t="s">
        <v>114</v>
      </c>
      <c r="C2639" s="43" t="s">
        <v>115</v>
      </c>
      <c r="D2639" s="44">
        <v>45806</v>
      </c>
      <c r="E2639" s="45">
        <v>133</v>
      </c>
    </row>
    <row r="2640" spans="2:5">
      <c r="B2640" s="43" t="s">
        <v>162</v>
      </c>
      <c r="C2640" s="43" t="s">
        <v>163</v>
      </c>
      <c r="D2640" s="44">
        <v>45806</v>
      </c>
      <c r="E2640" s="45">
        <v>60.6</v>
      </c>
    </row>
    <row r="2641" spans="2:5">
      <c r="B2641" s="43" t="s">
        <v>76</v>
      </c>
      <c r="C2641" s="43" t="s">
        <v>77</v>
      </c>
      <c r="D2641" s="44">
        <v>45806</v>
      </c>
      <c r="E2641" s="45">
        <v>105.9</v>
      </c>
    </row>
    <row r="2642" spans="2:5">
      <c r="B2642" s="43" t="s">
        <v>188</v>
      </c>
      <c r="C2642" s="43" t="s">
        <v>189</v>
      </c>
      <c r="D2642" s="44">
        <v>45806</v>
      </c>
      <c r="E2642" s="45">
        <v>92.4</v>
      </c>
    </row>
    <row r="2643" spans="2:5">
      <c r="B2643" s="43" t="s">
        <v>168</v>
      </c>
      <c r="C2643" s="43" t="s">
        <v>169</v>
      </c>
      <c r="D2643" s="44">
        <v>45806</v>
      </c>
      <c r="E2643" s="45">
        <v>341.7</v>
      </c>
    </row>
    <row r="2644" spans="2:5">
      <c r="B2644" s="43" t="s">
        <v>18</v>
      </c>
      <c r="C2644" s="43" t="s">
        <v>19</v>
      </c>
      <c r="D2644" s="44">
        <v>45806</v>
      </c>
      <c r="E2644" s="45">
        <v>44.5</v>
      </c>
    </row>
    <row r="2645" spans="2:5">
      <c r="B2645" s="43" t="s">
        <v>146</v>
      </c>
      <c r="C2645" s="43" t="s">
        <v>147</v>
      </c>
      <c r="D2645" s="44">
        <v>45806</v>
      </c>
      <c r="E2645" s="45">
        <v>40.7</v>
      </c>
    </row>
    <row r="2646" spans="2:5">
      <c r="B2646" s="43" t="s">
        <v>20</v>
      </c>
      <c r="C2646" s="43" t="s">
        <v>21</v>
      </c>
      <c r="D2646" s="44">
        <v>45806</v>
      </c>
      <c r="E2646" s="45">
        <v>19.6</v>
      </c>
    </row>
    <row r="2647" spans="2:5">
      <c r="B2647" s="43" t="s">
        <v>22</v>
      </c>
      <c r="C2647" s="43" t="s">
        <v>23</v>
      </c>
      <c r="D2647" s="44">
        <v>45806</v>
      </c>
      <c r="E2647" s="45">
        <v>259.2</v>
      </c>
    </row>
    <row r="2648" spans="2:5">
      <c r="B2648" s="43" t="s">
        <v>24</v>
      </c>
      <c r="C2648" s="43" t="s">
        <v>25</v>
      </c>
      <c r="D2648" s="44">
        <v>45806</v>
      </c>
      <c r="E2648" s="45">
        <v>2241.9</v>
      </c>
    </row>
    <row r="2649" spans="2:5">
      <c r="B2649" s="43" t="s">
        <v>26</v>
      </c>
      <c r="C2649" s="43" t="s">
        <v>27</v>
      </c>
      <c r="D2649" s="44">
        <v>45806</v>
      </c>
      <c r="E2649" s="45">
        <v>435.4</v>
      </c>
    </row>
    <row r="2650" spans="2:5">
      <c r="B2650" s="43" t="s">
        <v>62</v>
      </c>
      <c r="C2650" s="43" t="s">
        <v>63</v>
      </c>
      <c r="D2650" s="44">
        <v>45806</v>
      </c>
      <c r="E2650" s="45">
        <v>512.5</v>
      </c>
    </row>
    <row r="2651" spans="2:5">
      <c r="B2651" s="43" t="s">
        <v>198</v>
      </c>
      <c r="C2651" s="43" t="s">
        <v>199</v>
      </c>
      <c r="D2651" s="44">
        <v>45806</v>
      </c>
      <c r="E2651" s="45">
        <v>531.3</v>
      </c>
    </row>
    <row r="2652" spans="2:5">
      <c r="B2652" s="43" t="s">
        <v>92</v>
      </c>
      <c r="C2652" s="43" t="s">
        <v>93</v>
      </c>
      <c r="D2652" s="44">
        <v>45806</v>
      </c>
      <c r="E2652" s="45">
        <v>72.2</v>
      </c>
    </row>
    <row r="2653" spans="2:5">
      <c r="B2653" s="43" t="s">
        <v>196</v>
      </c>
      <c r="C2653" s="43" t="s">
        <v>197</v>
      </c>
      <c r="D2653" s="44">
        <v>45806</v>
      </c>
      <c r="E2653" s="45">
        <v>1</v>
      </c>
    </row>
    <row r="2654" spans="2:5">
      <c r="B2654" s="43" t="s">
        <v>96</v>
      </c>
      <c r="C2654" s="43" t="s">
        <v>97</v>
      </c>
      <c r="D2654" s="44">
        <v>45806</v>
      </c>
      <c r="E2654" s="45">
        <v>15</v>
      </c>
    </row>
    <row r="2655" spans="2:5">
      <c r="B2655" s="43" t="s">
        <v>32</v>
      </c>
      <c r="C2655" s="43" t="s">
        <v>33</v>
      </c>
      <c r="D2655" s="44">
        <v>45806</v>
      </c>
      <c r="E2655" s="45">
        <v>6</v>
      </c>
    </row>
    <row r="2656" spans="2:5">
      <c r="B2656" s="43" t="s">
        <v>36</v>
      </c>
      <c r="C2656" s="43" t="s">
        <v>37</v>
      </c>
      <c r="D2656" s="44">
        <v>45806</v>
      </c>
      <c r="E2656" s="45">
        <v>7</v>
      </c>
    </row>
    <row r="2657" spans="2:5">
      <c r="B2657" s="43" t="s">
        <v>42</v>
      </c>
      <c r="C2657" s="43" t="s">
        <v>43</v>
      </c>
      <c r="D2657" s="44">
        <v>45807</v>
      </c>
      <c r="E2657" s="45">
        <v>223.85</v>
      </c>
    </row>
    <row r="2658" spans="2:5">
      <c r="B2658" s="43" t="s">
        <v>156</v>
      </c>
      <c r="C2658" s="43" t="s">
        <v>157</v>
      </c>
      <c r="D2658" s="44">
        <v>45807</v>
      </c>
      <c r="E2658" s="45">
        <v>426.9</v>
      </c>
    </row>
    <row r="2659" spans="2:5">
      <c r="B2659" s="43" t="s">
        <v>8</v>
      </c>
      <c r="C2659" s="43" t="s">
        <v>9</v>
      </c>
      <c r="D2659" s="44">
        <v>45807</v>
      </c>
      <c r="E2659" s="45">
        <v>8.7</v>
      </c>
    </row>
    <row r="2660" spans="2:5">
      <c r="B2660" s="43" t="s">
        <v>44</v>
      </c>
      <c r="C2660" s="43" t="s">
        <v>45</v>
      </c>
      <c r="D2660" s="44">
        <v>45807</v>
      </c>
      <c r="E2660" s="45">
        <v>51</v>
      </c>
    </row>
    <row r="2661" spans="2:5">
      <c r="B2661" s="43" t="s">
        <v>46</v>
      </c>
      <c r="C2661" s="43" t="s">
        <v>47</v>
      </c>
      <c r="D2661" s="44">
        <v>45807</v>
      </c>
      <c r="E2661" s="45">
        <v>135.6</v>
      </c>
    </row>
    <row r="2662" spans="2:5">
      <c r="B2662" s="43" t="s">
        <v>10</v>
      </c>
      <c r="C2662" s="43" t="s">
        <v>11</v>
      </c>
      <c r="D2662" s="44">
        <v>45807</v>
      </c>
      <c r="E2662" s="45">
        <v>44.2</v>
      </c>
    </row>
    <row r="2663" spans="2:5">
      <c r="B2663" s="43" t="s">
        <v>12</v>
      </c>
      <c r="C2663" s="43" t="s">
        <v>13</v>
      </c>
      <c r="D2663" s="44">
        <v>45807</v>
      </c>
      <c r="E2663" s="45">
        <v>179.4</v>
      </c>
    </row>
    <row r="2664" spans="2:5">
      <c r="B2664" s="43" t="s">
        <v>138</v>
      </c>
      <c r="C2664" s="43" t="s">
        <v>139</v>
      </c>
      <c r="D2664" s="44">
        <v>45807</v>
      </c>
      <c r="E2664" s="45">
        <v>15.85</v>
      </c>
    </row>
    <row r="2665" spans="2:5">
      <c r="B2665" s="43" t="s">
        <v>188</v>
      </c>
      <c r="C2665" s="43" t="s">
        <v>189</v>
      </c>
      <c r="D2665" s="44">
        <v>45807</v>
      </c>
      <c r="E2665" s="45">
        <v>369.6</v>
      </c>
    </row>
    <row r="2666" spans="2:5">
      <c r="B2666" s="43" t="s">
        <v>180</v>
      </c>
      <c r="C2666" s="43" t="s">
        <v>181</v>
      </c>
      <c r="D2666" s="44">
        <v>45807</v>
      </c>
      <c r="E2666" s="45">
        <v>67.2</v>
      </c>
    </row>
    <row r="2667" spans="2:5">
      <c r="B2667" s="43" t="s">
        <v>18</v>
      </c>
      <c r="C2667" s="43" t="s">
        <v>19</v>
      </c>
      <c r="D2667" s="44">
        <v>45807</v>
      </c>
      <c r="E2667" s="45">
        <v>44.5</v>
      </c>
    </row>
    <row r="2668" spans="2:5">
      <c r="B2668" s="43" t="s">
        <v>20</v>
      </c>
      <c r="C2668" s="43" t="s">
        <v>21</v>
      </c>
      <c r="D2668" s="44">
        <v>45807</v>
      </c>
      <c r="E2668" s="45">
        <v>78.4</v>
      </c>
    </row>
    <row r="2669" spans="2:5">
      <c r="B2669" s="43" t="s">
        <v>22</v>
      </c>
      <c r="C2669" s="43" t="s">
        <v>23</v>
      </c>
      <c r="D2669" s="44">
        <v>45807</v>
      </c>
      <c r="E2669" s="45">
        <v>432</v>
      </c>
    </row>
    <row r="2670" spans="2:5">
      <c r="B2670" s="43" t="s">
        <v>140</v>
      </c>
      <c r="C2670" s="43" t="s">
        <v>141</v>
      </c>
      <c r="D2670" s="44">
        <v>45807</v>
      </c>
      <c r="E2670" s="45">
        <v>69.6</v>
      </c>
    </row>
    <row r="2671" spans="2:5">
      <c r="B2671" s="43" t="s">
        <v>80</v>
      </c>
      <c r="C2671" s="43" t="s">
        <v>81</v>
      </c>
      <c r="D2671" s="44">
        <v>45807</v>
      </c>
      <c r="E2671" s="45">
        <v>172.2</v>
      </c>
    </row>
    <row r="2672" spans="2:5">
      <c r="B2672" s="43" t="s">
        <v>24</v>
      </c>
      <c r="C2672" s="43" t="s">
        <v>25</v>
      </c>
      <c r="D2672" s="44">
        <v>45807</v>
      </c>
      <c r="E2672" s="45">
        <v>1780.8</v>
      </c>
    </row>
    <row r="2673" spans="2:5">
      <c r="B2673" s="43" t="s">
        <v>26</v>
      </c>
      <c r="C2673" s="43" t="s">
        <v>27</v>
      </c>
      <c r="D2673" s="44">
        <v>45807</v>
      </c>
      <c r="E2673" s="45">
        <v>1088.5</v>
      </c>
    </row>
    <row r="2674" spans="2:5">
      <c r="B2674" s="43" t="s">
        <v>62</v>
      </c>
      <c r="C2674" s="43" t="s">
        <v>63</v>
      </c>
      <c r="D2674" s="44">
        <v>45807</v>
      </c>
      <c r="E2674" s="45">
        <v>1435</v>
      </c>
    </row>
    <row r="2675" spans="2:5">
      <c r="B2675" s="43" t="s">
        <v>64</v>
      </c>
      <c r="C2675" s="43" t="s">
        <v>65</v>
      </c>
      <c r="D2675" s="44">
        <v>45807</v>
      </c>
      <c r="E2675" s="45">
        <v>720</v>
      </c>
    </row>
    <row r="2676" spans="2:5">
      <c r="B2676" s="43" t="s">
        <v>96</v>
      </c>
      <c r="C2676" s="43" t="s">
        <v>97</v>
      </c>
      <c r="D2676" s="44">
        <v>45807</v>
      </c>
      <c r="E2676" s="45">
        <v>14</v>
      </c>
    </row>
    <row r="2677" spans="2:5">
      <c r="B2677" s="43" t="s">
        <v>32</v>
      </c>
      <c r="C2677" s="43" t="s">
        <v>33</v>
      </c>
      <c r="D2677" s="44">
        <v>45807</v>
      </c>
      <c r="E2677" s="45">
        <v>10</v>
      </c>
    </row>
    <row r="2678" spans="2:5">
      <c r="B2678" s="43" t="s">
        <v>34</v>
      </c>
      <c r="C2678" s="43" t="s">
        <v>35</v>
      </c>
      <c r="D2678" s="44">
        <v>45807</v>
      </c>
      <c r="E2678" s="45">
        <v>6</v>
      </c>
    </row>
    <row r="2679" spans="2:5">
      <c r="B2679" s="43" t="s">
        <v>36</v>
      </c>
      <c r="C2679" s="43" t="s">
        <v>37</v>
      </c>
      <c r="D2679" s="44">
        <v>45807</v>
      </c>
      <c r="E2679" s="45">
        <v>32</v>
      </c>
    </row>
    <row r="2680" spans="2:5">
      <c r="B2680" s="43" t="s">
        <v>38</v>
      </c>
      <c r="C2680" s="43" t="s">
        <v>39</v>
      </c>
      <c r="D2680" s="44">
        <v>45807</v>
      </c>
      <c r="E2680" s="45">
        <v>20</v>
      </c>
    </row>
    <row r="2681" spans="2:5">
      <c r="B2681" s="43" t="s">
        <v>4</v>
      </c>
      <c r="C2681" s="43" t="s">
        <v>5</v>
      </c>
      <c r="D2681" s="44">
        <v>45810</v>
      </c>
      <c r="E2681" s="45">
        <v>20.1</v>
      </c>
    </row>
    <row r="2682" spans="2:5">
      <c r="B2682" s="43" t="s">
        <v>8</v>
      </c>
      <c r="C2682" s="43" t="s">
        <v>9</v>
      </c>
      <c r="D2682" s="44">
        <v>45810</v>
      </c>
      <c r="E2682" s="45">
        <v>34.8</v>
      </c>
    </row>
    <row r="2683" spans="2:5">
      <c r="B2683" s="43" t="s">
        <v>72</v>
      </c>
      <c r="C2683" s="43" t="s">
        <v>73</v>
      </c>
      <c r="D2683" s="44">
        <v>45810</v>
      </c>
      <c r="E2683" s="45">
        <v>255</v>
      </c>
    </row>
    <row r="2684" spans="2:5">
      <c r="B2684" s="43" t="s">
        <v>46</v>
      </c>
      <c r="C2684" s="43" t="s">
        <v>47</v>
      </c>
      <c r="D2684" s="44">
        <v>45810</v>
      </c>
      <c r="E2684" s="45">
        <v>67.8</v>
      </c>
    </row>
    <row r="2685" spans="2:5">
      <c r="B2685" s="43" t="s">
        <v>10</v>
      </c>
      <c r="C2685" s="43" t="s">
        <v>11</v>
      </c>
      <c r="D2685" s="44">
        <v>45810</v>
      </c>
      <c r="E2685" s="45">
        <v>221</v>
      </c>
    </row>
    <row r="2686" spans="2:5">
      <c r="B2686" s="43" t="s">
        <v>12</v>
      </c>
      <c r="C2686" s="43" t="s">
        <v>13</v>
      </c>
      <c r="D2686" s="44">
        <v>45810</v>
      </c>
      <c r="E2686" s="45">
        <v>593.4</v>
      </c>
    </row>
    <row r="2687" spans="2:5">
      <c r="B2687" s="43" t="s">
        <v>14</v>
      </c>
      <c r="C2687" s="43" t="s">
        <v>15</v>
      </c>
      <c r="D2687" s="44">
        <v>45810</v>
      </c>
      <c r="E2687" s="45">
        <v>877.5</v>
      </c>
    </row>
    <row r="2688" spans="2:5">
      <c r="B2688" s="43" t="s">
        <v>134</v>
      </c>
      <c r="C2688" s="43" t="s">
        <v>135</v>
      </c>
      <c r="D2688" s="44">
        <v>45810</v>
      </c>
      <c r="E2688" s="45">
        <v>122.5</v>
      </c>
    </row>
    <row r="2689" spans="2:5">
      <c r="B2689" s="43" t="s">
        <v>114</v>
      </c>
      <c r="C2689" s="43" t="s">
        <v>115</v>
      </c>
      <c r="D2689" s="44">
        <v>45810</v>
      </c>
      <c r="E2689" s="45">
        <v>13.3</v>
      </c>
    </row>
    <row r="2690" spans="2:5">
      <c r="B2690" s="43" t="s">
        <v>116</v>
      </c>
      <c r="C2690" s="43" t="s">
        <v>117</v>
      </c>
      <c r="D2690" s="44">
        <v>45810</v>
      </c>
      <c r="E2690" s="45">
        <v>195.6</v>
      </c>
    </row>
    <row r="2691" spans="2:5">
      <c r="B2691" s="43" t="s">
        <v>168</v>
      </c>
      <c r="C2691" s="43" t="s">
        <v>169</v>
      </c>
      <c r="D2691" s="44">
        <v>45810</v>
      </c>
      <c r="E2691" s="45">
        <v>20.1</v>
      </c>
    </row>
    <row r="2692" spans="2:5">
      <c r="B2692" s="43" t="s">
        <v>18</v>
      </c>
      <c r="C2692" s="43" t="s">
        <v>19</v>
      </c>
      <c r="D2692" s="44">
        <v>45810</v>
      </c>
      <c r="E2692" s="45">
        <v>311.5</v>
      </c>
    </row>
    <row r="2693" spans="2:5">
      <c r="B2693" s="43" t="s">
        <v>20</v>
      </c>
      <c r="C2693" s="43" t="s">
        <v>21</v>
      </c>
      <c r="D2693" s="44">
        <v>45810</v>
      </c>
      <c r="E2693" s="45">
        <v>107.8</v>
      </c>
    </row>
    <row r="2694" spans="2:5">
      <c r="B2694" s="43" t="s">
        <v>22</v>
      </c>
      <c r="C2694" s="43" t="s">
        <v>23</v>
      </c>
      <c r="D2694" s="44">
        <v>45810</v>
      </c>
      <c r="E2694" s="45">
        <v>9.6</v>
      </c>
    </row>
    <row r="2695" spans="2:5">
      <c r="B2695" s="43" t="s">
        <v>140</v>
      </c>
      <c r="C2695" s="43" t="s">
        <v>141</v>
      </c>
      <c r="D2695" s="44">
        <v>45810</v>
      </c>
      <c r="E2695" s="45">
        <v>46.4</v>
      </c>
    </row>
    <row r="2696" spans="2:5">
      <c r="B2696" s="43" t="s">
        <v>80</v>
      </c>
      <c r="C2696" s="43" t="s">
        <v>81</v>
      </c>
      <c r="D2696" s="44">
        <v>45810</v>
      </c>
      <c r="E2696" s="45">
        <v>229.6</v>
      </c>
    </row>
    <row r="2697" spans="2:5">
      <c r="B2697" s="43" t="s">
        <v>24</v>
      </c>
      <c r="C2697" s="43" t="s">
        <v>25</v>
      </c>
      <c r="D2697" s="44">
        <v>45810</v>
      </c>
      <c r="E2697" s="45">
        <v>349.8</v>
      </c>
    </row>
    <row r="2698" spans="2:5">
      <c r="B2698" s="43" t="s">
        <v>26</v>
      </c>
      <c r="C2698" s="43" t="s">
        <v>27</v>
      </c>
      <c r="D2698" s="44">
        <v>45810</v>
      </c>
      <c r="E2698" s="45">
        <v>948.55</v>
      </c>
    </row>
    <row r="2699" spans="2:5">
      <c r="B2699" s="43" t="s">
        <v>62</v>
      </c>
      <c r="C2699" s="43" t="s">
        <v>63</v>
      </c>
      <c r="D2699" s="44">
        <v>45810</v>
      </c>
      <c r="E2699" s="45">
        <v>20.5</v>
      </c>
    </row>
    <row r="2700" spans="2:5">
      <c r="B2700" s="43" t="s">
        <v>64</v>
      </c>
      <c r="C2700" s="43" t="s">
        <v>65</v>
      </c>
      <c r="D2700" s="44">
        <v>45810</v>
      </c>
      <c r="E2700" s="45">
        <v>540</v>
      </c>
    </row>
    <row r="2701" spans="2:5">
      <c r="B2701" s="43" t="s">
        <v>150</v>
      </c>
      <c r="C2701" s="43" t="s">
        <v>151</v>
      </c>
      <c r="D2701" s="44">
        <v>45810</v>
      </c>
      <c r="E2701" s="45">
        <v>676.25</v>
      </c>
    </row>
    <row r="2702" spans="2:5">
      <c r="B2702" s="43" t="s">
        <v>196</v>
      </c>
      <c r="C2702" s="43" t="s">
        <v>197</v>
      </c>
      <c r="D2702" s="44">
        <v>45810</v>
      </c>
      <c r="E2702" s="45">
        <v>6</v>
      </c>
    </row>
    <row r="2703" spans="2:5">
      <c r="B2703" s="43" t="s">
        <v>96</v>
      </c>
      <c r="C2703" s="43" t="s">
        <v>97</v>
      </c>
      <c r="D2703" s="44">
        <v>45810</v>
      </c>
      <c r="E2703" s="45">
        <v>28</v>
      </c>
    </row>
    <row r="2704" spans="2:5">
      <c r="B2704" s="43" t="s">
        <v>32</v>
      </c>
      <c r="C2704" s="43" t="s">
        <v>33</v>
      </c>
      <c r="D2704" s="44">
        <v>45810</v>
      </c>
      <c r="E2704" s="45">
        <v>21</v>
      </c>
    </row>
    <row r="2705" spans="2:5">
      <c r="B2705" s="43" t="s">
        <v>34</v>
      </c>
      <c r="C2705" s="43" t="s">
        <v>35</v>
      </c>
      <c r="D2705" s="44">
        <v>45810</v>
      </c>
      <c r="E2705" s="45">
        <v>3</v>
      </c>
    </row>
    <row r="2706" spans="2:5">
      <c r="B2706" s="43" t="s">
        <v>4</v>
      </c>
      <c r="C2706" s="43" t="s">
        <v>5</v>
      </c>
      <c r="D2706" s="44">
        <v>45811</v>
      </c>
      <c r="E2706" s="45">
        <v>67</v>
      </c>
    </row>
    <row r="2707" spans="2:5">
      <c r="B2707" s="43" t="s">
        <v>8</v>
      </c>
      <c r="C2707" s="43" t="s">
        <v>9</v>
      </c>
      <c r="D2707" s="44">
        <v>45811</v>
      </c>
      <c r="E2707" s="45">
        <v>121.8</v>
      </c>
    </row>
    <row r="2708" spans="2:5">
      <c r="B2708" s="43" t="s">
        <v>44</v>
      </c>
      <c r="C2708" s="43" t="s">
        <v>45</v>
      </c>
      <c r="D2708" s="44">
        <v>45811</v>
      </c>
      <c r="E2708" s="45">
        <v>51</v>
      </c>
    </row>
    <row r="2709" spans="2:5">
      <c r="B2709" s="43" t="s">
        <v>46</v>
      </c>
      <c r="C2709" s="43" t="s">
        <v>47</v>
      </c>
      <c r="D2709" s="44">
        <v>45811</v>
      </c>
      <c r="E2709" s="45">
        <v>113</v>
      </c>
    </row>
    <row r="2710" spans="2:5">
      <c r="B2710" s="43" t="s">
        <v>10</v>
      </c>
      <c r="C2710" s="43" t="s">
        <v>11</v>
      </c>
      <c r="D2710" s="44">
        <v>45811</v>
      </c>
      <c r="E2710" s="45">
        <v>121.55</v>
      </c>
    </row>
    <row r="2711" spans="2:5">
      <c r="B2711" s="43" t="s">
        <v>12</v>
      </c>
      <c r="C2711" s="43" t="s">
        <v>13</v>
      </c>
      <c r="D2711" s="44">
        <v>45811</v>
      </c>
      <c r="E2711" s="45">
        <v>165.6</v>
      </c>
    </row>
    <row r="2712" spans="2:5">
      <c r="B2712" s="43" t="s">
        <v>14</v>
      </c>
      <c r="C2712" s="43" t="s">
        <v>15</v>
      </c>
      <c r="D2712" s="44">
        <v>45811</v>
      </c>
      <c r="E2712" s="45">
        <v>135</v>
      </c>
    </row>
    <row r="2713" spans="2:5">
      <c r="B2713" s="43" t="s">
        <v>50</v>
      </c>
      <c r="C2713" s="43" t="s">
        <v>51</v>
      </c>
      <c r="D2713" s="44">
        <v>45811</v>
      </c>
      <c r="E2713" s="45">
        <v>217.6</v>
      </c>
    </row>
    <row r="2714" spans="2:5">
      <c r="B2714" s="43" t="s">
        <v>138</v>
      </c>
      <c r="C2714" s="43" t="s">
        <v>139</v>
      </c>
      <c r="D2714" s="44">
        <v>45811</v>
      </c>
      <c r="E2714" s="45">
        <v>47.55</v>
      </c>
    </row>
    <row r="2715" spans="2:5">
      <c r="B2715" s="43" t="s">
        <v>56</v>
      </c>
      <c r="C2715" s="43" t="s">
        <v>57</v>
      </c>
      <c r="D2715" s="44">
        <v>45811</v>
      </c>
      <c r="E2715" s="45">
        <v>307.7</v>
      </c>
    </row>
    <row r="2716" spans="2:5">
      <c r="B2716" s="43" t="s">
        <v>126</v>
      </c>
      <c r="C2716" s="43" t="s">
        <v>127</v>
      </c>
      <c r="D2716" s="44">
        <v>45811</v>
      </c>
      <c r="E2716" s="45">
        <v>542.8</v>
      </c>
    </row>
    <row r="2717" spans="2:5">
      <c r="B2717" s="43" t="s">
        <v>76</v>
      </c>
      <c r="C2717" s="43" t="s">
        <v>77</v>
      </c>
      <c r="D2717" s="44">
        <v>45811</v>
      </c>
      <c r="E2717" s="45">
        <v>176.5</v>
      </c>
    </row>
    <row r="2718" spans="2:5">
      <c r="B2718" s="43" t="s">
        <v>128</v>
      </c>
      <c r="C2718" s="43" t="s">
        <v>129</v>
      </c>
      <c r="D2718" s="44">
        <v>45811</v>
      </c>
      <c r="E2718" s="45">
        <v>29.8</v>
      </c>
    </row>
    <row r="2719" spans="2:5">
      <c r="B2719" s="43" t="s">
        <v>20</v>
      </c>
      <c r="C2719" s="43" t="s">
        <v>21</v>
      </c>
      <c r="D2719" s="44">
        <v>45811</v>
      </c>
      <c r="E2719" s="45">
        <v>29.4</v>
      </c>
    </row>
    <row r="2720" spans="2:5">
      <c r="B2720" s="43" t="s">
        <v>22</v>
      </c>
      <c r="C2720" s="43" t="s">
        <v>23</v>
      </c>
      <c r="D2720" s="44">
        <v>45811</v>
      </c>
      <c r="E2720" s="45">
        <v>19.2</v>
      </c>
    </row>
    <row r="2721" spans="2:5">
      <c r="B2721" s="43" t="s">
        <v>24</v>
      </c>
      <c r="C2721" s="43" t="s">
        <v>25</v>
      </c>
      <c r="D2721" s="44">
        <v>45811</v>
      </c>
      <c r="E2721" s="45">
        <v>2305.5</v>
      </c>
    </row>
    <row r="2722" spans="2:5">
      <c r="B2722" s="43" t="s">
        <v>26</v>
      </c>
      <c r="C2722" s="43" t="s">
        <v>27</v>
      </c>
      <c r="D2722" s="44">
        <v>45811</v>
      </c>
      <c r="E2722" s="45">
        <v>544.25</v>
      </c>
    </row>
    <row r="2723" spans="2:5">
      <c r="B2723" s="43" t="s">
        <v>60</v>
      </c>
      <c r="C2723" s="43" t="s">
        <v>61</v>
      </c>
      <c r="D2723" s="44">
        <v>45811</v>
      </c>
      <c r="E2723" s="45">
        <v>146.4</v>
      </c>
    </row>
    <row r="2724" spans="2:5">
      <c r="B2724" s="43" t="s">
        <v>28</v>
      </c>
      <c r="C2724" s="43" t="s">
        <v>29</v>
      </c>
      <c r="D2724" s="44">
        <v>45811</v>
      </c>
      <c r="E2724" s="45">
        <v>447.5</v>
      </c>
    </row>
    <row r="2725" spans="2:5">
      <c r="B2725" s="43" t="s">
        <v>62</v>
      </c>
      <c r="C2725" s="43" t="s">
        <v>63</v>
      </c>
      <c r="D2725" s="44">
        <v>45811</v>
      </c>
      <c r="E2725" s="45">
        <v>512.5</v>
      </c>
    </row>
    <row r="2726" spans="2:5">
      <c r="B2726" s="43" t="s">
        <v>148</v>
      </c>
      <c r="C2726" s="43" t="s">
        <v>149</v>
      </c>
      <c r="D2726" s="44">
        <v>45811</v>
      </c>
      <c r="E2726" s="45">
        <v>458</v>
      </c>
    </row>
    <row r="2727" spans="2:5">
      <c r="B2727" s="43" t="s">
        <v>64</v>
      </c>
      <c r="C2727" s="43" t="s">
        <v>65</v>
      </c>
      <c r="D2727" s="44">
        <v>45811</v>
      </c>
      <c r="E2727" s="45">
        <v>1140</v>
      </c>
    </row>
    <row r="2728" spans="2:5">
      <c r="B2728" s="43" t="s">
        <v>198</v>
      </c>
      <c r="C2728" s="43" t="s">
        <v>199</v>
      </c>
      <c r="D2728" s="44">
        <v>45811</v>
      </c>
      <c r="E2728" s="45">
        <v>2032.8</v>
      </c>
    </row>
    <row r="2729" spans="2:5">
      <c r="B2729" s="43" t="s">
        <v>68</v>
      </c>
      <c r="C2729" s="43" t="s">
        <v>69</v>
      </c>
      <c r="D2729" s="44">
        <v>45811</v>
      </c>
      <c r="E2729" s="45">
        <v>35.9</v>
      </c>
    </row>
    <row r="2730" spans="2:5">
      <c r="B2730" s="43" t="s">
        <v>96</v>
      </c>
      <c r="C2730" s="43" t="s">
        <v>97</v>
      </c>
      <c r="D2730" s="44">
        <v>45811</v>
      </c>
      <c r="E2730" s="45">
        <v>281</v>
      </c>
    </row>
    <row r="2731" spans="2:5">
      <c r="B2731" s="43" t="s">
        <v>32</v>
      </c>
      <c r="C2731" s="43" t="s">
        <v>33</v>
      </c>
      <c r="D2731" s="44">
        <v>45811</v>
      </c>
      <c r="E2731" s="45">
        <v>12</v>
      </c>
    </row>
    <row r="2732" spans="2:5">
      <c r="B2732" s="43" t="s">
        <v>170</v>
      </c>
      <c r="C2732" s="43" t="s">
        <v>171</v>
      </c>
      <c r="D2732" s="44">
        <v>45811</v>
      </c>
      <c r="E2732" s="45">
        <v>2</v>
      </c>
    </row>
    <row r="2733" spans="2:5">
      <c r="B2733" s="43" t="s">
        <v>36</v>
      </c>
      <c r="C2733" s="43" t="s">
        <v>37</v>
      </c>
      <c r="D2733" s="44">
        <v>45811</v>
      </c>
      <c r="E2733" s="45">
        <v>5</v>
      </c>
    </row>
    <row r="2734" spans="2:5">
      <c r="B2734" s="43" t="s">
        <v>4</v>
      </c>
      <c r="C2734" s="43" t="s">
        <v>5</v>
      </c>
      <c r="D2734" s="44">
        <v>45812</v>
      </c>
      <c r="E2734" s="45">
        <v>26.8</v>
      </c>
    </row>
    <row r="2735" spans="2:5">
      <c r="B2735" s="43" t="s">
        <v>8</v>
      </c>
      <c r="C2735" s="43" t="s">
        <v>9</v>
      </c>
      <c r="D2735" s="44">
        <v>45812</v>
      </c>
      <c r="E2735" s="45">
        <v>147.9</v>
      </c>
    </row>
    <row r="2736" spans="2:5">
      <c r="B2736" s="43" t="s">
        <v>44</v>
      </c>
      <c r="C2736" s="43" t="s">
        <v>45</v>
      </c>
      <c r="D2736" s="44">
        <v>45812</v>
      </c>
      <c r="E2736" s="45">
        <v>93.5</v>
      </c>
    </row>
    <row r="2737" spans="2:5">
      <c r="B2737" s="43" t="s">
        <v>46</v>
      </c>
      <c r="C2737" s="43" t="s">
        <v>47</v>
      </c>
      <c r="D2737" s="44">
        <v>45812</v>
      </c>
      <c r="E2737" s="45">
        <v>610.2</v>
      </c>
    </row>
    <row r="2738" spans="2:5">
      <c r="B2738" s="43" t="s">
        <v>12</v>
      </c>
      <c r="C2738" s="43" t="s">
        <v>13</v>
      </c>
      <c r="D2738" s="44">
        <v>45812</v>
      </c>
      <c r="E2738" s="45">
        <v>869.4</v>
      </c>
    </row>
    <row r="2739" spans="2:5">
      <c r="B2739" s="43" t="s">
        <v>48</v>
      </c>
      <c r="C2739" s="43" t="s">
        <v>49</v>
      </c>
      <c r="D2739" s="44">
        <v>45812</v>
      </c>
      <c r="E2739" s="45">
        <v>60.8</v>
      </c>
    </row>
    <row r="2740" spans="2:5">
      <c r="B2740" s="43" t="s">
        <v>14</v>
      </c>
      <c r="C2740" s="43" t="s">
        <v>15</v>
      </c>
      <c r="D2740" s="44">
        <v>45812</v>
      </c>
      <c r="E2740" s="45">
        <v>27</v>
      </c>
    </row>
    <row r="2741" spans="2:5">
      <c r="B2741" s="43" t="s">
        <v>50</v>
      </c>
      <c r="C2741" s="43" t="s">
        <v>51</v>
      </c>
      <c r="D2741" s="44">
        <v>45812</v>
      </c>
      <c r="E2741" s="45">
        <v>40.8</v>
      </c>
    </row>
    <row r="2742" spans="2:5">
      <c r="B2742" s="43" t="s">
        <v>126</v>
      </c>
      <c r="C2742" s="43" t="s">
        <v>127</v>
      </c>
      <c r="D2742" s="44">
        <v>45812</v>
      </c>
      <c r="E2742" s="45">
        <v>47.2</v>
      </c>
    </row>
    <row r="2743" spans="2:5">
      <c r="B2743" s="43" t="s">
        <v>76</v>
      </c>
      <c r="C2743" s="43" t="s">
        <v>77</v>
      </c>
      <c r="D2743" s="44">
        <v>45812</v>
      </c>
      <c r="E2743" s="45">
        <v>194.15</v>
      </c>
    </row>
    <row r="2744" spans="2:5">
      <c r="B2744" s="43" t="s">
        <v>20</v>
      </c>
      <c r="C2744" s="43" t="s">
        <v>21</v>
      </c>
      <c r="D2744" s="44">
        <v>45812</v>
      </c>
      <c r="E2744" s="45">
        <v>9.8</v>
      </c>
    </row>
    <row r="2745" spans="2:5">
      <c r="B2745" s="43" t="s">
        <v>22</v>
      </c>
      <c r="C2745" s="43" t="s">
        <v>23</v>
      </c>
      <c r="D2745" s="44">
        <v>45812</v>
      </c>
      <c r="E2745" s="45">
        <v>48</v>
      </c>
    </row>
    <row r="2746" spans="2:5">
      <c r="B2746" s="43" t="s">
        <v>140</v>
      </c>
      <c r="C2746" s="43" t="s">
        <v>141</v>
      </c>
      <c r="D2746" s="44">
        <v>45812</v>
      </c>
      <c r="E2746" s="45">
        <v>881.6</v>
      </c>
    </row>
    <row r="2747" spans="2:5">
      <c r="B2747" s="43" t="s">
        <v>24</v>
      </c>
      <c r="C2747" s="43" t="s">
        <v>25</v>
      </c>
      <c r="D2747" s="44">
        <v>45812</v>
      </c>
      <c r="E2747" s="45">
        <v>1971.6</v>
      </c>
    </row>
    <row r="2748" spans="2:5">
      <c r="B2748" s="43" t="s">
        <v>26</v>
      </c>
      <c r="C2748" s="43" t="s">
        <v>27</v>
      </c>
      <c r="D2748" s="44">
        <v>45812</v>
      </c>
      <c r="E2748" s="45">
        <v>404.3</v>
      </c>
    </row>
    <row r="2749" spans="2:5">
      <c r="B2749" s="43" t="s">
        <v>60</v>
      </c>
      <c r="C2749" s="43" t="s">
        <v>61</v>
      </c>
      <c r="D2749" s="44">
        <v>45812</v>
      </c>
      <c r="E2749" s="45">
        <v>713.7</v>
      </c>
    </row>
    <row r="2750" spans="2:5">
      <c r="B2750" s="43" t="s">
        <v>62</v>
      </c>
      <c r="C2750" s="43" t="s">
        <v>63</v>
      </c>
      <c r="D2750" s="44">
        <v>45812</v>
      </c>
      <c r="E2750" s="45">
        <v>164</v>
      </c>
    </row>
    <row r="2751" spans="2:5">
      <c r="B2751" s="43" t="s">
        <v>64</v>
      </c>
      <c r="C2751" s="43" t="s">
        <v>65</v>
      </c>
      <c r="D2751" s="44">
        <v>45812</v>
      </c>
      <c r="E2751" s="45">
        <v>360</v>
      </c>
    </row>
    <row r="2752" spans="2:5">
      <c r="B2752" s="43" t="s">
        <v>172</v>
      </c>
      <c r="C2752" s="43" t="s">
        <v>173</v>
      </c>
      <c r="D2752" s="44">
        <v>45812</v>
      </c>
      <c r="E2752" s="45">
        <v>180.4</v>
      </c>
    </row>
    <row r="2753" spans="2:5">
      <c r="B2753" s="43" t="s">
        <v>186</v>
      </c>
      <c r="C2753" s="43" t="s">
        <v>187</v>
      </c>
      <c r="D2753" s="44">
        <v>45812</v>
      </c>
      <c r="E2753" s="45">
        <v>1383.8</v>
      </c>
    </row>
    <row r="2754" spans="2:5">
      <c r="B2754" s="43" t="s">
        <v>66</v>
      </c>
      <c r="C2754" s="43" t="s">
        <v>67</v>
      </c>
      <c r="D2754" s="44">
        <v>45812</v>
      </c>
      <c r="E2754" s="45">
        <v>27.7</v>
      </c>
    </row>
    <row r="2755" spans="2:5">
      <c r="B2755" s="43" t="s">
        <v>150</v>
      </c>
      <c r="C2755" s="43" t="s">
        <v>151</v>
      </c>
      <c r="D2755" s="44">
        <v>45812</v>
      </c>
      <c r="E2755" s="45">
        <v>27.05</v>
      </c>
    </row>
    <row r="2756" spans="2:5">
      <c r="B2756" s="43" t="s">
        <v>94</v>
      </c>
      <c r="C2756" s="43" t="s">
        <v>95</v>
      </c>
      <c r="D2756" s="44">
        <v>45812</v>
      </c>
      <c r="E2756" s="45">
        <v>797.3</v>
      </c>
    </row>
    <row r="2757" spans="2:5">
      <c r="B2757" s="43" t="s">
        <v>106</v>
      </c>
      <c r="C2757" s="43" t="s">
        <v>107</v>
      </c>
      <c r="D2757" s="44">
        <v>45812</v>
      </c>
      <c r="E2757" s="45">
        <v>15.4</v>
      </c>
    </row>
    <row r="2758" spans="2:5">
      <c r="B2758" s="43" t="s">
        <v>96</v>
      </c>
      <c r="C2758" s="43" t="s">
        <v>97</v>
      </c>
      <c r="D2758" s="44">
        <v>45812</v>
      </c>
      <c r="E2758" s="45">
        <v>10</v>
      </c>
    </row>
    <row r="2759" spans="2:5">
      <c r="B2759" s="43" t="s">
        <v>32</v>
      </c>
      <c r="C2759" s="43" t="s">
        <v>33</v>
      </c>
      <c r="D2759" s="44">
        <v>45812</v>
      </c>
      <c r="E2759" s="45">
        <v>11</v>
      </c>
    </row>
    <row r="2760" spans="2:5">
      <c r="B2760" s="43" t="s">
        <v>98</v>
      </c>
      <c r="C2760" s="43" t="s">
        <v>99</v>
      </c>
      <c r="D2760" s="44">
        <v>45812</v>
      </c>
      <c r="E2760" s="45">
        <v>4</v>
      </c>
    </row>
    <row r="2761" spans="2:5">
      <c r="B2761" s="43" t="s">
        <v>36</v>
      </c>
      <c r="C2761" s="43" t="s">
        <v>37</v>
      </c>
      <c r="D2761" s="44">
        <v>45812</v>
      </c>
      <c r="E2761" s="45">
        <v>14</v>
      </c>
    </row>
    <row r="2762" spans="2:5">
      <c r="B2762" s="43" t="s">
        <v>42</v>
      </c>
      <c r="C2762" s="43" t="s">
        <v>43</v>
      </c>
      <c r="D2762" s="44">
        <v>45813</v>
      </c>
      <c r="E2762" s="45">
        <v>60.5</v>
      </c>
    </row>
    <row r="2763" spans="2:5">
      <c r="B2763" s="43" t="s">
        <v>4</v>
      </c>
      <c r="C2763" s="43" t="s">
        <v>5</v>
      </c>
      <c r="D2763" s="44">
        <v>45813</v>
      </c>
      <c r="E2763" s="45">
        <v>80.4</v>
      </c>
    </row>
    <row r="2764" spans="2:5">
      <c r="B2764" s="43" t="s">
        <v>6</v>
      </c>
      <c r="C2764" s="43" t="s">
        <v>7</v>
      </c>
      <c r="D2764" s="44">
        <v>45813</v>
      </c>
      <c r="E2764" s="45">
        <v>26.2</v>
      </c>
    </row>
    <row r="2765" spans="2:5">
      <c r="B2765" s="43" t="s">
        <v>156</v>
      </c>
      <c r="C2765" s="43" t="s">
        <v>157</v>
      </c>
      <c r="D2765" s="44">
        <v>45813</v>
      </c>
      <c r="E2765" s="45">
        <v>78</v>
      </c>
    </row>
    <row r="2766" spans="2:5">
      <c r="B2766" s="43" t="s">
        <v>8</v>
      </c>
      <c r="C2766" s="43" t="s">
        <v>9</v>
      </c>
      <c r="D2766" s="44">
        <v>45813</v>
      </c>
      <c r="E2766" s="45">
        <v>191.4</v>
      </c>
    </row>
    <row r="2767" spans="2:5">
      <c r="B2767" s="43" t="s">
        <v>44</v>
      </c>
      <c r="C2767" s="43" t="s">
        <v>45</v>
      </c>
      <c r="D2767" s="44">
        <v>45813</v>
      </c>
      <c r="E2767" s="45">
        <v>42.5</v>
      </c>
    </row>
    <row r="2768" spans="2:5">
      <c r="B2768" s="43" t="s">
        <v>72</v>
      </c>
      <c r="C2768" s="43" t="s">
        <v>73</v>
      </c>
      <c r="D2768" s="44">
        <v>45813</v>
      </c>
      <c r="E2768" s="45">
        <v>122.4</v>
      </c>
    </row>
    <row r="2769" spans="2:5">
      <c r="B2769" s="43" t="s">
        <v>46</v>
      </c>
      <c r="C2769" s="43" t="s">
        <v>47</v>
      </c>
      <c r="D2769" s="44">
        <v>45813</v>
      </c>
      <c r="E2769" s="45">
        <v>327.7</v>
      </c>
    </row>
    <row r="2770" spans="2:5">
      <c r="B2770" s="43" t="s">
        <v>10</v>
      </c>
      <c r="C2770" s="43" t="s">
        <v>11</v>
      </c>
      <c r="D2770" s="44">
        <v>45813</v>
      </c>
      <c r="E2770" s="45">
        <v>66.3</v>
      </c>
    </row>
    <row r="2771" spans="2:5">
      <c r="B2771" s="43" t="s">
        <v>74</v>
      </c>
      <c r="C2771" s="43" t="s">
        <v>75</v>
      </c>
      <c r="D2771" s="44">
        <v>45813</v>
      </c>
      <c r="E2771" s="45">
        <v>149.4</v>
      </c>
    </row>
    <row r="2772" spans="2:5">
      <c r="B2772" s="43" t="s">
        <v>178</v>
      </c>
      <c r="C2772" s="43" t="s">
        <v>179</v>
      </c>
      <c r="D2772" s="44">
        <v>45813</v>
      </c>
      <c r="E2772" s="45">
        <v>1242</v>
      </c>
    </row>
    <row r="2773" spans="2:5">
      <c r="B2773" s="43" t="s">
        <v>14</v>
      </c>
      <c r="C2773" s="43" t="s">
        <v>15</v>
      </c>
      <c r="D2773" s="44">
        <v>45813</v>
      </c>
      <c r="E2773" s="45">
        <v>297</v>
      </c>
    </row>
    <row r="2774" spans="2:5">
      <c r="B2774" s="43" t="s">
        <v>50</v>
      </c>
      <c r="C2774" s="43" t="s">
        <v>51</v>
      </c>
      <c r="D2774" s="44">
        <v>45813</v>
      </c>
      <c r="E2774" s="45">
        <v>408</v>
      </c>
    </row>
    <row r="2775" spans="2:5">
      <c r="B2775" s="43" t="s">
        <v>114</v>
      </c>
      <c r="C2775" s="43" t="s">
        <v>115</v>
      </c>
      <c r="D2775" s="44">
        <v>45813</v>
      </c>
      <c r="E2775" s="45">
        <v>26.6</v>
      </c>
    </row>
    <row r="2776" spans="2:5">
      <c r="B2776" s="43" t="s">
        <v>144</v>
      </c>
      <c r="C2776" s="43" t="s">
        <v>145</v>
      </c>
      <c r="D2776" s="44">
        <v>45813</v>
      </c>
      <c r="E2776" s="45">
        <v>486</v>
      </c>
    </row>
    <row r="2777" spans="2:5">
      <c r="B2777" s="43" t="s">
        <v>76</v>
      </c>
      <c r="C2777" s="43" t="s">
        <v>77</v>
      </c>
      <c r="D2777" s="44">
        <v>45813</v>
      </c>
      <c r="E2777" s="45">
        <v>52.95</v>
      </c>
    </row>
    <row r="2778" spans="2:5">
      <c r="B2778" s="43" t="s">
        <v>128</v>
      </c>
      <c r="C2778" s="43" t="s">
        <v>129</v>
      </c>
      <c r="D2778" s="44">
        <v>45813</v>
      </c>
      <c r="E2778" s="45">
        <v>59.6</v>
      </c>
    </row>
    <row r="2779" spans="2:5">
      <c r="B2779" s="43" t="s">
        <v>20</v>
      </c>
      <c r="C2779" s="43" t="s">
        <v>21</v>
      </c>
      <c r="D2779" s="44">
        <v>45813</v>
      </c>
      <c r="E2779" s="45">
        <v>313.6</v>
      </c>
    </row>
    <row r="2780" spans="2:5">
      <c r="B2780" s="43" t="s">
        <v>22</v>
      </c>
      <c r="C2780" s="43" t="s">
        <v>23</v>
      </c>
      <c r="D2780" s="44">
        <v>45813</v>
      </c>
      <c r="E2780" s="45">
        <v>105.6</v>
      </c>
    </row>
    <row r="2781" spans="2:5">
      <c r="B2781" s="43" t="s">
        <v>140</v>
      </c>
      <c r="C2781" s="43" t="s">
        <v>141</v>
      </c>
      <c r="D2781" s="44">
        <v>45813</v>
      </c>
      <c r="E2781" s="45">
        <v>92.8</v>
      </c>
    </row>
    <row r="2782" spans="2:5">
      <c r="B2782" s="43" t="s">
        <v>80</v>
      </c>
      <c r="C2782" s="43" t="s">
        <v>81</v>
      </c>
      <c r="D2782" s="44">
        <v>45813</v>
      </c>
      <c r="E2782" s="45">
        <v>430.5</v>
      </c>
    </row>
    <row r="2783" spans="2:5">
      <c r="B2783" s="43" t="s">
        <v>24</v>
      </c>
      <c r="C2783" s="43" t="s">
        <v>25</v>
      </c>
      <c r="D2783" s="44">
        <v>45813</v>
      </c>
      <c r="E2783" s="45">
        <v>1892.1</v>
      </c>
    </row>
    <row r="2784" spans="2:5">
      <c r="B2784" s="43" t="s">
        <v>26</v>
      </c>
      <c r="C2784" s="43" t="s">
        <v>27</v>
      </c>
      <c r="D2784" s="44">
        <v>45813</v>
      </c>
      <c r="E2784" s="45">
        <v>1415.05</v>
      </c>
    </row>
    <row r="2785" spans="2:5">
      <c r="B2785" s="43" t="s">
        <v>28</v>
      </c>
      <c r="C2785" s="43" t="s">
        <v>29</v>
      </c>
      <c r="D2785" s="44">
        <v>45813</v>
      </c>
      <c r="E2785" s="45">
        <v>1253</v>
      </c>
    </row>
    <row r="2786" spans="2:5">
      <c r="B2786" s="43" t="s">
        <v>62</v>
      </c>
      <c r="C2786" s="43" t="s">
        <v>63</v>
      </c>
      <c r="D2786" s="44">
        <v>45813</v>
      </c>
      <c r="E2786" s="45">
        <v>348.5</v>
      </c>
    </row>
    <row r="2787" spans="2:5">
      <c r="B2787" s="43" t="s">
        <v>90</v>
      </c>
      <c r="C2787" s="43" t="s">
        <v>91</v>
      </c>
      <c r="D2787" s="44">
        <v>45813</v>
      </c>
      <c r="E2787" s="45">
        <v>907.8</v>
      </c>
    </row>
    <row r="2788" spans="2:5">
      <c r="B2788" s="43" t="s">
        <v>64</v>
      </c>
      <c r="C2788" s="43" t="s">
        <v>65</v>
      </c>
      <c r="D2788" s="44">
        <v>45813</v>
      </c>
      <c r="E2788" s="45">
        <v>880</v>
      </c>
    </row>
    <row r="2789" spans="2:5">
      <c r="B2789" s="43" t="s">
        <v>66</v>
      </c>
      <c r="C2789" s="43" t="s">
        <v>67</v>
      </c>
      <c r="D2789" s="44">
        <v>45813</v>
      </c>
      <c r="E2789" s="45">
        <v>221.6</v>
      </c>
    </row>
    <row r="2790" spans="2:5">
      <c r="B2790" s="43" t="s">
        <v>196</v>
      </c>
      <c r="C2790" s="43" t="s">
        <v>197</v>
      </c>
      <c r="D2790" s="44">
        <v>45813</v>
      </c>
      <c r="E2790" s="45">
        <v>7</v>
      </c>
    </row>
    <row r="2791" spans="2:5">
      <c r="B2791" s="43" t="s">
        <v>96</v>
      </c>
      <c r="C2791" s="43" t="s">
        <v>97</v>
      </c>
      <c r="D2791" s="44">
        <v>45813</v>
      </c>
      <c r="E2791" s="45">
        <v>11</v>
      </c>
    </row>
    <row r="2792" spans="2:5">
      <c r="B2792" s="43" t="s">
        <v>32</v>
      </c>
      <c r="C2792" s="43" t="s">
        <v>33</v>
      </c>
      <c r="D2792" s="44">
        <v>45813</v>
      </c>
      <c r="E2792" s="45">
        <v>6</v>
      </c>
    </row>
    <row r="2793" spans="2:5">
      <c r="B2793" s="43" t="s">
        <v>170</v>
      </c>
      <c r="C2793" s="43" t="s">
        <v>171</v>
      </c>
      <c r="D2793" s="44">
        <v>45813</v>
      </c>
      <c r="E2793" s="45">
        <v>4</v>
      </c>
    </row>
    <row r="2794" spans="2:5">
      <c r="B2794" s="43" t="s">
        <v>36</v>
      </c>
      <c r="C2794" s="43" t="s">
        <v>37</v>
      </c>
      <c r="D2794" s="44">
        <v>45813</v>
      </c>
      <c r="E2794" s="45">
        <v>3</v>
      </c>
    </row>
    <row r="2795" spans="2:5">
      <c r="B2795" s="43" t="s">
        <v>4</v>
      </c>
      <c r="C2795" s="43" t="s">
        <v>5</v>
      </c>
      <c r="D2795" s="44">
        <v>45814</v>
      </c>
      <c r="E2795" s="45">
        <v>187.6</v>
      </c>
    </row>
    <row r="2796" spans="2:5">
      <c r="B2796" s="43" t="s">
        <v>8</v>
      </c>
      <c r="C2796" s="43" t="s">
        <v>9</v>
      </c>
      <c r="D2796" s="44">
        <v>45814</v>
      </c>
      <c r="E2796" s="45">
        <v>304.5</v>
      </c>
    </row>
    <row r="2797" spans="2:5">
      <c r="B2797" s="43" t="s">
        <v>44</v>
      </c>
      <c r="C2797" s="43" t="s">
        <v>45</v>
      </c>
      <c r="D2797" s="44">
        <v>45814</v>
      </c>
      <c r="E2797" s="45">
        <v>8.5</v>
      </c>
    </row>
    <row r="2798" spans="2:5">
      <c r="B2798" s="43" t="s">
        <v>46</v>
      </c>
      <c r="C2798" s="43" t="s">
        <v>47</v>
      </c>
      <c r="D2798" s="44">
        <v>45814</v>
      </c>
      <c r="E2798" s="45">
        <v>45.2</v>
      </c>
    </row>
    <row r="2799" spans="2:5">
      <c r="B2799" s="43" t="s">
        <v>10</v>
      </c>
      <c r="C2799" s="43" t="s">
        <v>11</v>
      </c>
      <c r="D2799" s="44">
        <v>45814</v>
      </c>
      <c r="E2799" s="45">
        <v>287.3</v>
      </c>
    </row>
    <row r="2800" spans="2:5">
      <c r="B2800" s="43" t="s">
        <v>108</v>
      </c>
      <c r="C2800" s="43" t="s">
        <v>109</v>
      </c>
      <c r="D2800" s="44">
        <v>45814</v>
      </c>
      <c r="E2800" s="45">
        <v>108.5</v>
      </c>
    </row>
    <row r="2801" spans="2:5">
      <c r="B2801" s="43" t="s">
        <v>14</v>
      </c>
      <c r="C2801" s="43" t="s">
        <v>15</v>
      </c>
      <c r="D2801" s="44">
        <v>45814</v>
      </c>
      <c r="E2801" s="45">
        <v>324</v>
      </c>
    </row>
    <row r="2802" spans="2:5">
      <c r="B2802" s="43" t="s">
        <v>20</v>
      </c>
      <c r="C2802" s="43" t="s">
        <v>21</v>
      </c>
      <c r="D2802" s="44">
        <v>45814</v>
      </c>
      <c r="E2802" s="45">
        <v>29.4</v>
      </c>
    </row>
    <row r="2803" spans="2:5">
      <c r="B2803" s="43" t="s">
        <v>24</v>
      </c>
      <c r="C2803" s="43" t="s">
        <v>25</v>
      </c>
      <c r="D2803" s="44">
        <v>45814</v>
      </c>
      <c r="E2803" s="45">
        <v>1892.1</v>
      </c>
    </row>
    <row r="2804" spans="2:5">
      <c r="B2804" s="43" t="s">
        <v>26</v>
      </c>
      <c r="C2804" s="43" t="s">
        <v>27</v>
      </c>
      <c r="D2804" s="44">
        <v>45814</v>
      </c>
      <c r="E2804" s="45">
        <v>1321.75</v>
      </c>
    </row>
    <row r="2805" spans="2:5">
      <c r="B2805" s="43" t="s">
        <v>28</v>
      </c>
      <c r="C2805" s="43" t="s">
        <v>29</v>
      </c>
      <c r="D2805" s="44">
        <v>45814</v>
      </c>
      <c r="E2805" s="45">
        <v>53.7</v>
      </c>
    </row>
    <row r="2806" spans="2:5">
      <c r="B2806" s="43" t="s">
        <v>62</v>
      </c>
      <c r="C2806" s="43" t="s">
        <v>63</v>
      </c>
      <c r="D2806" s="44">
        <v>45814</v>
      </c>
      <c r="E2806" s="45">
        <v>287</v>
      </c>
    </row>
    <row r="2807" spans="2:5">
      <c r="B2807" s="43" t="s">
        <v>64</v>
      </c>
      <c r="C2807" s="43" t="s">
        <v>65</v>
      </c>
      <c r="D2807" s="44">
        <v>45814</v>
      </c>
      <c r="E2807" s="45">
        <v>160</v>
      </c>
    </row>
    <row r="2808" spans="2:5">
      <c r="B2808" s="43" t="s">
        <v>96</v>
      </c>
      <c r="C2808" s="43" t="s">
        <v>97</v>
      </c>
      <c r="D2808" s="44">
        <v>45814</v>
      </c>
      <c r="E2808" s="45">
        <v>9</v>
      </c>
    </row>
    <row r="2809" spans="2:5">
      <c r="B2809" s="43" t="s">
        <v>32</v>
      </c>
      <c r="C2809" s="43" t="s">
        <v>33</v>
      </c>
      <c r="D2809" s="44">
        <v>45814</v>
      </c>
      <c r="E2809" s="45">
        <v>1</v>
      </c>
    </row>
    <row r="2810" spans="2:5">
      <c r="B2810" s="43" t="s">
        <v>8</v>
      </c>
      <c r="C2810" s="43" t="s">
        <v>9</v>
      </c>
      <c r="D2810" s="44">
        <v>45817</v>
      </c>
      <c r="E2810" s="45">
        <v>60.9</v>
      </c>
    </row>
    <row r="2811" spans="2:5">
      <c r="B2811" s="43" t="s">
        <v>12</v>
      </c>
      <c r="C2811" s="43" t="s">
        <v>13</v>
      </c>
      <c r="D2811" s="44">
        <v>45817</v>
      </c>
      <c r="E2811" s="45">
        <v>124.2</v>
      </c>
    </row>
    <row r="2812" spans="2:5">
      <c r="B2812" s="43" t="s">
        <v>144</v>
      </c>
      <c r="C2812" s="43" t="s">
        <v>145</v>
      </c>
      <c r="D2812" s="44">
        <v>45817</v>
      </c>
      <c r="E2812" s="45">
        <v>32.4</v>
      </c>
    </row>
    <row r="2813" spans="2:5">
      <c r="B2813" s="43" t="s">
        <v>146</v>
      </c>
      <c r="C2813" s="43" t="s">
        <v>147</v>
      </c>
      <c r="D2813" s="44">
        <v>45817</v>
      </c>
      <c r="E2813" s="45">
        <v>203.5</v>
      </c>
    </row>
    <row r="2814" spans="2:5">
      <c r="B2814" s="43" t="s">
        <v>78</v>
      </c>
      <c r="C2814" s="43" t="s">
        <v>79</v>
      </c>
      <c r="D2814" s="44">
        <v>45817</v>
      </c>
      <c r="E2814" s="45">
        <v>88.5</v>
      </c>
    </row>
    <row r="2815" spans="2:5">
      <c r="B2815" s="43" t="s">
        <v>20</v>
      </c>
      <c r="C2815" s="43" t="s">
        <v>21</v>
      </c>
      <c r="D2815" s="44">
        <v>45817</v>
      </c>
      <c r="E2815" s="45">
        <v>235.2</v>
      </c>
    </row>
    <row r="2816" spans="2:5">
      <c r="B2816" s="43" t="s">
        <v>22</v>
      </c>
      <c r="C2816" s="43" t="s">
        <v>23</v>
      </c>
      <c r="D2816" s="44">
        <v>45817</v>
      </c>
      <c r="E2816" s="45">
        <v>960</v>
      </c>
    </row>
    <row r="2817" spans="2:5">
      <c r="B2817" s="43" t="s">
        <v>24</v>
      </c>
      <c r="C2817" s="43" t="s">
        <v>25</v>
      </c>
      <c r="D2817" s="44">
        <v>45817</v>
      </c>
      <c r="E2817" s="45">
        <v>174.9</v>
      </c>
    </row>
    <row r="2818" spans="2:5">
      <c r="B2818" s="43" t="s">
        <v>210</v>
      </c>
      <c r="C2818" s="43" t="s">
        <v>211</v>
      </c>
      <c r="D2818" s="44">
        <v>45817</v>
      </c>
      <c r="E2818" s="45">
        <v>205</v>
      </c>
    </row>
    <row r="2819" spans="2:5">
      <c r="B2819" s="43" t="s">
        <v>26</v>
      </c>
      <c r="C2819" s="43" t="s">
        <v>27</v>
      </c>
      <c r="D2819" s="44">
        <v>45817</v>
      </c>
      <c r="E2819" s="45">
        <v>2301.4</v>
      </c>
    </row>
    <row r="2820" spans="2:5">
      <c r="B2820" s="43" t="s">
        <v>60</v>
      </c>
      <c r="C2820" s="43" t="s">
        <v>61</v>
      </c>
      <c r="D2820" s="44">
        <v>45817</v>
      </c>
      <c r="E2820" s="45">
        <v>732</v>
      </c>
    </row>
    <row r="2821" spans="2:5">
      <c r="B2821" s="43" t="s">
        <v>148</v>
      </c>
      <c r="C2821" s="43" t="s">
        <v>149</v>
      </c>
      <c r="D2821" s="44">
        <v>45817</v>
      </c>
      <c r="E2821" s="45">
        <v>160.3</v>
      </c>
    </row>
    <row r="2822" spans="2:5">
      <c r="B2822" s="43" t="s">
        <v>172</v>
      </c>
      <c r="C2822" s="43" t="s">
        <v>173</v>
      </c>
      <c r="D2822" s="44">
        <v>45817</v>
      </c>
      <c r="E2822" s="45">
        <v>67.65</v>
      </c>
    </row>
    <row r="2823" spans="2:5">
      <c r="B2823" s="43" t="s">
        <v>66</v>
      </c>
      <c r="C2823" s="43" t="s">
        <v>67</v>
      </c>
      <c r="D2823" s="44">
        <v>45817</v>
      </c>
      <c r="E2823" s="45">
        <v>138.5</v>
      </c>
    </row>
    <row r="2824" spans="2:5">
      <c r="B2824" s="43" t="s">
        <v>106</v>
      </c>
      <c r="C2824" s="43" t="s">
        <v>107</v>
      </c>
      <c r="D2824" s="44">
        <v>45817</v>
      </c>
      <c r="E2824" s="45">
        <v>7.7</v>
      </c>
    </row>
    <row r="2825" spans="2:5">
      <c r="B2825" s="43" t="s">
        <v>30</v>
      </c>
      <c r="C2825" s="43" t="s">
        <v>31</v>
      </c>
      <c r="D2825" s="44">
        <v>45817</v>
      </c>
      <c r="E2825" s="45">
        <v>9</v>
      </c>
    </row>
    <row r="2826" spans="2:5">
      <c r="B2826" s="43" t="s">
        <v>96</v>
      </c>
      <c r="C2826" s="43" t="s">
        <v>97</v>
      </c>
      <c r="D2826" s="44">
        <v>45817</v>
      </c>
      <c r="E2826" s="45">
        <v>6</v>
      </c>
    </row>
    <row r="2827" spans="2:5">
      <c r="B2827" s="43" t="s">
        <v>32</v>
      </c>
      <c r="C2827" s="43" t="s">
        <v>33</v>
      </c>
      <c r="D2827" s="44">
        <v>45817</v>
      </c>
      <c r="E2827" s="45">
        <v>8</v>
      </c>
    </row>
    <row r="2828" spans="2:5">
      <c r="B2828" s="43" t="s">
        <v>160</v>
      </c>
      <c r="C2828" s="43" t="s">
        <v>161</v>
      </c>
      <c r="D2828" s="44">
        <v>45817</v>
      </c>
      <c r="E2828" s="45">
        <v>1</v>
      </c>
    </row>
    <row r="2829" spans="2:5">
      <c r="B2829" s="43" t="s">
        <v>170</v>
      </c>
      <c r="C2829" s="43" t="s">
        <v>171</v>
      </c>
      <c r="D2829" s="44">
        <v>45817</v>
      </c>
      <c r="E2829" s="45">
        <v>3</v>
      </c>
    </row>
    <row r="2830" spans="2:5">
      <c r="B2830" s="43" t="s">
        <v>8</v>
      </c>
      <c r="C2830" s="43" t="s">
        <v>9</v>
      </c>
      <c r="D2830" s="44">
        <v>45818</v>
      </c>
      <c r="E2830" s="45">
        <v>78.3</v>
      </c>
    </row>
    <row r="2831" spans="2:5">
      <c r="B2831" s="43" t="s">
        <v>44</v>
      </c>
      <c r="C2831" s="43" t="s">
        <v>45</v>
      </c>
      <c r="D2831" s="44">
        <v>45818</v>
      </c>
      <c r="E2831" s="45">
        <v>25.5</v>
      </c>
    </row>
    <row r="2832" spans="2:5">
      <c r="B2832" s="43" t="s">
        <v>46</v>
      </c>
      <c r="C2832" s="43" t="s">
        <v>47</v>
      </c>
      <c r="D2832" s="44">
        <v>45818</v>
      </c>
      <c r="E2832" s="45">
        <v>192.1</v>
      </c>
    </row>
    <row r="2833" spans="2:5">
      <c r="B2833" s="43" t="s">
        <v>108</v>
      </c>
      <c r="C2833" s="43" t="s">
        <v>109</v>
      </c>
      <c r="D2833" s="44">
        <v>45818</v>
      </c>
      <c r="E2833" s="45">
        <v>46.5</v>
      </c>
    </row>
    <row r="2834" spans="2:5">
      <c r="B2834" s="43" t="s">
        <v>178</v>
      </c>
      <c r="C2834" s="43" t="s">
        <v>179</v>
      </c>
      <c r="D2834" s="44">
        <v>45818</v>
      </c>
      <c r="E2834" s="45">
        <v>180</v>
      </c>
    </row>
    <row r="2835" spans="2:5">
      <c r="B2835" s="43" t="s">
        <v>56</v>
      </c>
      <c r="C2835" s="43" t="s">
        <v>57</v>
      </c>
      <c r="D2835" s="44">
        <v>45818</v>
      </c>
      <c r="E2835" s="45">
        <v>126.7</v>
      </c>
    </row>
    <row r="2836" spans="2:5">
      <c r="B2836" s="43" t="s">
        <v>126</v>
      </c>
      <c r="C2836" s="43" t="s">
        <v>127</v>
      </c>
      <c r="D2836" s="44">
        <v>45818</v>
      </c>
      <c r="E2836" s="45">
        <v>70.8</v>
      </c>
    </row>
    <row r="2837" spans="2:5">
      <c r="B2837" s="43" t="s">
        <v>20</v>
      </c>
      <c r="C2837" s="43" t="s">
        <v>21</v>
      </c>
      <c r="D2837" s="44">
        <v>45818</v>
      </c>
      <c r="E2837" s="45">
        <v>78.4</v>
      </c>
    </row>
    <row r="2838" spans="2:5">
      <c r="B2838" s="43" t="s">
        <v>22</v>
      </c>
      <c r="C2838" s="43" t="s">
        <v>23</v>
      </c>
      <c r="D2838" s="44">
        <v>45818</v>
      </c>
      <c r="E2838" s="45">
        <v>86.4</v>
      </c>
    </row>
    <row r="2839" spans="2:5">
      <c r="B2839" s="43" t="s">
        <v>24</v>
      </c>
      <c r="C2839" s="43" t="s">
        <v>25</v>
      </c>
      <c r="D2839" s="44">
        <v>45818</v>
      </c>
      <c r="E2839" s="45">
        <v>731.4</v>
      </c>
    </row>
    <row r="2840" spans="2:5">
      <c r="B2840" s="43" t="s">
        <v>58</v>
      </c>
      <c r="C2840" s="43" t="s">
        <v>59</v>
      </c>
      <c r="D2840" s="44">
        <v>45818</v>
      </c>
      <c r="E2840" s="45">
        <v>212.4</v>
      </c>
    </row>
    <row r="2841" spans="2:5">
      <c r="B2841" s="43" t="s">
        <v>26</v>
      </c>
      <c r="C2841" s="43" t="s">
        <v>27</v>
      </c>
      <c r="D2841" s="44">
        <v>45818</v>
      </c>
      <c r="E2841" s="45">
        <v>4587.25</v>
      </c>
    </row>
    <row r="2842" spans="2:5">
      <c r="B2842" s="43" t="s">
        <v>28</v>
      </c>
      <c r="C2842" s="43" t="s">
        <v>29</v>
      </c>
      <c r="D2842" s="44">
        <v>45818</v>
      </c>
      <c r="E2842" s="45">
        <v>537</v>
      </c>
    </row>
    <row r="2843" spans="2:5">
      <c r="B2843" s="43" t="s">
        <v>62</v>
      </c>
      <c r="C2843" s="43" t="s">
        <v>63</v>
      </c>
      <c r="D2843" s="44">
        <v>45818</v>
      </c>
      <c r="E2843" s="45">
        <v>697</v>
      </c>
    </row>
    <row r="2844" spans="2:5">
      <c r="B2844" s="43" t="s">
        <v>148</v>
      </c>
      <c r="C2844" s="43" t="s">
        <v>149</v>
      </c>
      <c r="D2844" s="44">
        <v>45818</v>
      </c>
      <c r="E2844" s="45">
        <v>274.8</v>
      </c>
    </row>
    <row r="2845" spans="2:5">
      <c r="B2845" s="43" t="s">
        <v>64</v>
      </c>
      <c r="C2845" s="43" t="s">
        <v>65</v>
      </c>
      <c r="D2845" s="44">
        <v>45818</v>
      </c>
      <c r="E2845" s="45">
        <v>100</v>
      </c>
    </row>
    <row r="2846" spans="2:5">
      <c r="B2846" s="43" t="s">
        <v>66</v>
      </c>
      <c r="C2846" s="43" t="s">
        <v>67</v>
      </c>
      <c r="D2846" s="44">
        <v>45818</v>
      </c>
      <c r="E2846" s="45">
        <v>332.4</v>
      </c>
    </row>
    <row r="2847" spans="2:5">
      <c r="B2847" s="43" t="s">
        <v>68</v>
      </c>
      <c r="C2847" s="43" t="s">
        <v>69</v>
      </c>
      <c r="D2847" s="44">
        <v>45818</v>
      </c>
      <c r="E2847" s="45">
        <v>502.6</v>
      </c>
    </row>
    <row r="2848" spans="2:5">
      <c r="B2848" s="43" t="s">
        <v>106</v>
      </c>
      <c r="C2848" s="43" t="s">
        <v>107</v>
      </c>
      <c r="D2848" s="44">
        <v>45818</v>
      </c>
      <c r="E2848" s="45">
        <v>15.4</v>
      </c>
    </row>
    <row r="2849" spans="2:5">
      <c r="B2849" s="43" t="s">
        <v>30</v>
      </c>
      <c r="C2849" s="43" t="s">
        <v>31</v>
      </c>
      <c r="D2849" s="44">
        <v>45818</v>
      </c>
      <c r="E2849" s="45">
        <v>11</v>
      </c>
    </row>
    <row r="2850" spans="2:5">
      <c r="B2850" s="43" t="s">
        <v>96</v>
      </c>
      <c r="C2850" s="43" t="s">
        <v>97</v>
      </c>
      <c r="D2850" s="44">
        <v>45818</v>
      </c>
      <c r="E2850" s="45">
        <v>7</v>
      </c>
    </row>
    <row r="2851" spans="2:5">
      <c r="B2851" s="43" t="s">
        <v>32</v>
      </c>
      <c r="C2851" s="43" t="s">
        <v>33</v>
      </c>
      <c r="D2851" s="44">
        <v>45818</v>
      </c>
      <c r="E2851" s="45">
        <v>3</v>
      </c>
    </row>
    <row r="2852" spans="2:5">
      <c r="B2852" s="43" t="s">
        <v>98</v>
      </c>
      <c r="C2852" s="43" t="s">
        <v>99</v>
      </c>
      <c r="D2852" s="44">
        <v>45818</v>
      </c>
      <c r="E2852" s="45">
        <v>1</v>
      </c>
    </row>
    <row r="2853" spans="2:5">
      <c r="B2853" s="43" t="s">
        <v>170</v>
      </c>
      <c r="C2853" s="43" t="s">
        <v>171</v>
      </c>
      <c r="D2853" s="44">
        <v>45818</v>
      </c>
      <c r="E2853" s="45">
        <v>1</v>
      </c>
    </row>
    <row r="2854" spans="2:5">
      <c r="B2854" s="43" t="s">
        <v>8</v>
      </c>
      <c r="C2854" s="43" t="s">
        <v>9</v>
      </c>
      <c r="D2854" s="44">
        <v>45819</v>
      </c>
      <c r="E2854" s="45">
        <v>26.1</v>
      </c>
    </row>
    <row r="2855" spans="2:5">
      <c r="B2855" s="43" t="s">
        <v>44</v>
      </c>
      <c r="C2855" s="43" t="s">
        <v>45</v>
      </c>
      <c r="D2855" s="44">
        <v>45819</v>
      </c>
      <c r="E2855" s="45">
        <v>76.5</v>
      </c>
    </row>
    <row r="2856" spans="2:5">
      <c r="B2856" s="43" t="s">
        <v>10</v>
      </c>
      <c r="C2856" s="43" t="s">
        <v>11</v>
      </c>
      <c r="D2856" s="44">
        <v>45819</v>
      </c>
      <c r="E2856" s="45">
        <v>44.2</v>
      </c>
    </row>
    <row r="2857" spans="2:5">
      <c r="B2857" s="43" t="s">
        <v>14</v>
      </c>
      <c r="C2857" s="43" t="s">
        <v>15</v>
      </c>
      <c r="D2857" s="44">
        <v>45819</v>
      </c>
      <c r="E2857" s="45">
        <v>13.5</v>
      </c>
    </row>
    <row r="2858" spans="2:5">
      <c r="B2858" s="43" t="s">
        <v>50</v>
      </c>
      <c r="C2858" s="43" t="s">
        <v>51</v>
      </c>
      <c r="D2858" s="44">
        <v>45819</v>
      </c>
      <c r="E2858" s="45">
        <v>340</v>
      </c>
    </row>
    <row r="2859" spans="2:5">
      <c r="B2859" s="43" t="s">
        <v>114</v>
      </c>
      <c r="C2859" s="43" t="s">
        <v>115</v>
      </c>
      <c r="D2859" s="44">
        <v>45819</v>
      </c>
      <c r="E2859" s="45">
        <v>13.3</v>
      </c>
    </row>
    <row r="2860" spans="2:5">
      <c r="B2860" s="43" t="s">
        <v>138</v>
      </c>
      <c r="C2860" s="43" t="s">
        <v>139</v>
      </c>
      <c r="D2860" s="44">
        <v>45819</v>
      </c>
      <c r="E2860" s="45">
        <v>317</v>
      </c>
    </row>
    <row r="2861" spans="2:5">
      <c r="B2861" s="43" t="s">
        <v>126</v>
      </c>
      <c r="C2861" s="43" t="s">
        <v>127</v>
      </c>
      <c r="D2861" s="44">
        <v>45819</v>
      </c>
      <c r="E2861" s="45">
        <v>472</v>
      </c>
    </row>
    <row r="2862" spans="2:5">
      <c r="B2862" s="43" t="s">
        <v>20</v>
      </c>
      <c r="C2862" s="43" t="s">
        <v>21</v>
      </c>
      <c r="D2862" s="44">
        <v>45819</v>
      </c>
      <c r="E2862" s="45">
        <v>19.6</v>
      </c>
    </row>
    <row r="2863" spans="2:5">
      <c r="B2863" s="43" t="s">
        <v>22</v>
      </c>
      <c r="C2863" s="43" t="s">
        <v>23</v>
      </c>
      <c r="D2863" s="44">
        <v>45819</v>
      </c>
      <c r="E2863" s="45">
        <v>153.6</v>
      </c>
    </row>
    <row r="2864" spans="2:5">
      <c r="B2864" s="43" t="s">
        <v>24</v>
      </c>
      <c r="C2864" s="43" t="s">
        <v>25</v>
      </c>
      <c r="D2864" s="44">
        <v>45819</v>
      </c>
      <c r="E2864" s="45">
        <v>795</v>
      </c>
    </row>
    <row r="2865" spans="2:5">
      <c r="B2865" s="43" t="s">
        <v>26</v>
      </c>
      <c r="C2865" s="43" t="s">
        <v>27</v>
      </c>
      <c r="D2865" s="44">
        <v>45819</v>
      </c>
      <c r="E2865" s="45">
        <v>4944.9</v>
      </c>
    </row>
    <row r="2866" spans="2:5">
      <c r="B2866" s="43" t="s">
        <v>60</v>
      </c>
      <c r="C2866" s="43" t="s">
        <v>61</v>
      </c>
      <c r="D2866" s="44">
        <v>45819</v>
      </c>
      <c r="E2866" s="45">
        <v>18.3</v>
      </c>
    </row>
    <row r="2867" spans="2:5">
      <c r="B2867" s="43" t="s">
        <v>62</v>
      </c>
      <c r="C2867" s="43" t="s">
        <v>63</v>
      </c>
      <c r="D2867" s="44">
        <v>45819</v>
      </c>
      <c r="E2867" s="45">
        <v>20.5</v>
      </c>
    </row>
    <row r="2868" spans="2:5">
      <c r="B2868" s="43" t="s">
        <v>64</v>
      </c>
      <c r="C2868" s="43" t="s">
        <v>65</v>
      </c>
      <c r="D2868" s="44">
        <v>45819</v>
      </c>
      <c r="E2868" s="45">
        <v>360</v>
      </c>
    </row>
    <row r="2869" spans="2:5">
      <c r="B2869" s="43" t="s">
        <v>198</v>
      </c>
      <c r="C2869" s="43" t="s">
        <v>199</v>
      </c>
      <c r="D2869" s="44">
        <v>45819</v>
      </c>
      <c r="E2869" s="45">
        <v>924</v>
      </c>
    </row>
    <row r="2870" spans="2:5">
      <c r="B2870" s="43" t="s">
        <v>150</v>
      </c>
      <c r="C2870" s="43" t="s">
        <v>151</v>
      </c>
      <c r="D2870" s="44">
        <v>45819</v>
      </c>
      <c r="E2870" s="45">
        <v>81.15</v>
      </c>
    </row>
    <row r="2871" spans="2:5">
      <c r="B2871" s="43" t="s">
        <v>68</v>
      </c>
      <c r="C2871" s="43" t="s">
        <v>69</v>
      </c>
      <c r="D2871" s="44">
        <v>45819</v>
      </c>
      <c r="E2871" s="45">
        <v>107.7</v>
      </c>
    </row>
    <row r="2872" spans="2:5">
      <c r="B2872" s="43" t="s">
        <v>208</v>
      </c>
      <c r="C2872" s="43" t="s">
        <v>209</v>
      </c>
      <c r="D2872" s="44">
        <v>45819</v>
      </c>
      <c r="E2872" s="45">
        <v>700</v>
      </c>
    </row>
    <row r="2873" spans="2:5">
      <c r="B2873" s="43" t="s">
        <v>106</v>
      </c>
      <c r="C2873" s="43" t="s">
        <v>107</v>
      </c>
      <c r="D2873" s="44">
        <v>45819</v>
      </c>
      <c r="E2873" s="45">
        <v>7.7</v>
      </c>
    </row>
    <row r="2874" spans="2:5">
      <c r="B2874" s="43" t="s">
        <v>30</v>
      </c>
      <c r="C2874" s="43" t="s">
        <v>31</v>
      </c>
      <c r="D2874" s="44">
        <v>45819</v>
      </c>
      <c r="E2874" s="45">
        <v>6</v>
      </c>
    </row>
    <row r="2875" spans="2:5">
      <c r="B2875" s="43" t="s">
        <v>96</v>
      </c>
      <c r="C2875" s="43" t="s">
        <v>97</v>
      </c>
      <c r="D2875" s="44">
        <v>45819</v>
      </c>
      <c r="E2875" s="45">
        <v>11</v>
      </c>
    </row>
    <row r="2876" spans="2:5">
      <c r="B2876" s="43" t="s">
        <v>32</v>
      </c>
      <c r="C2876" s="43" t="s">
        <v>33</v>
      </c>
      <c r="D2876" s="44">
        <v>45819</v>
      </c>
      <c r="E2876" s="45">
        <v>2</v>
      </c>
    </row>
    <row r="2877" spans="2:5">
      <c r="B2877" s="43" t="s">
        <v>4</v>
      </c>
      <c r="C2877" s="43" t="s">
        <v>5</v>
      </c>
      <c r="D2877" s="44">
        <v>45820</v>
      </c>
      <c r="E2877" s="45">
        <v>160.8</v>
      </c>
    </row>
    <row r="2878" spans="2:5">
      <c r="B2878" s="43" t="s">
        <v>156</v>
      </c>
      <c r="C2878" s="43" t="s">
        <v>157</v>
      </c>
      <c r="D2878" s="44">
        <v>45820</v>
      </c>
      <c r="E2878" s="45">
        <v>23.4</v>
      </c>
    </row>
    <row r="2879" spans="2:5">
      <c r="B2879" s="43" t="s">
        <v>8</v>
      </c>
      <c r="C2879" s="43" t="s">
        <v>9</v>
      </c>
      <c r="D2879" s="44">
        <v>45820</v>
      </c>
      <c r="E2879" s="45">
        <v>261</v>
      </c>
    </row>
    <row r="2880" spans="2:5">
      <c r="B2880" s="43" t="s">
        <v>72</v>
      </c>
      <c r="C2880" s="43" t="s">
        <v>73</v>
      </c>
      <c r="D2880" s="44">
        <v>45820</v>
      </c>
      <c r="E2880" s="45">
        <v>30.6</v>
      </c>
    </row>
    <row r="2881" spans="2:5">
      <c r="B2881" s="43" t="s">
        <v>46</v>
      </c>
      <c r="C2881" s="43" t="s">
        <v>47</v>
      </c>
      <c r="D2881" s="44">
        <v>45820</v>
      </c>
      <c r="E2881" s="45">
        <v>565</v>
      </c>
    </row>
    <row r="2882" spans="2:5">
      <c r="B2882" s="43" t="s">
        <v>12</v>
      </c>
      <c r="C2882" s="43" t="s">
        <v>13</v>
      </c>
      <c r="D2882" s="44">
        <v>45820</v>
      </c>
      <c r="E2882" s="45">
        <v>469.2</v>
      </c>
    </row>
    <row r="2883" spans="2:5">
      <c r="B2883" s="43" t="s">
        <v>178</v>
      </c>
      <c r="C2883" s="43" t="s">
        <v>179</v>
      </c>
      <c r="D2883" s="44">
        <v>45820</v>
      </c>
      <c r="E2883" s="45">
        <v>180</v>
      </c>
    </row>
    <row r="2884" spans="2:5">
      <c r="B2884" s="43" t="s">
        <v>14</v>
      </c>
      <c r="C2884" s="43" t="s">
        <v>15</v>
      </c>
      <c r="D2884" s="44">
        <v>45820</v>
      </c>
      <c r="E2884" s="45">
        <v>13.5</v>
      </c>
    </row>
    <row r="2885" spans="2:5">
      <c r="B2885" s="43" t="s">
        <v>50</v>
      </c>
      <c r="C2885" s="43" t="s">
        <v>51</v>
      </c>
      <c r="D2885" s="44">
        <v>45820</v>
      </c>
      <c r="E2885" s="45">
        <v>190.4</v>
      </c>
    </row>
    <row r="2886" spans="2:5">
      <c r="B2886" s="43" t="s">
        <v>144</v>
      </c>
      <c r="C2886" s="43" t="s">
        <v>145</v>
      </c>
      <c r="D2886" s="44">
        <v>45820</v>
      </c>
      <c r="E2886" s="45">
        <v>226.8</v>
      </c>
    </row>
    <row r="2887" spans="2:5">
      <c r="B2887" s="43" t="s">
        <v>118</v>
      </c>
      <c r="C2887" s="43" t="s">
        <v>119</v>
      </c>
      <c r="D2887" s="44">
        <v>45820</v>
      </c>
      <c r="E2887" s="45">
        <v>30.4</v>
      </c>
    </row>
    <row r="2888" spans="2:5">
      <c r="B2888" s="43" t="s">
        <v>20</v>
      </c>
      <c r="C2888" s="43" t="s">
        <v>21</v>
      </c>
      <c r="D2888" s="44">
        <v>45820</v>
      </c>
      <c r="E2888" s="45">
        <v>19.6</v>
      </c>
    </row>
    <row r="2889" spans="2:5">
      <c r="B2889" s="43" t="s">
        <v>80</v>
      </c>
      <c r="C2889" s="43" t="s">
        <v>81</v>
      </c>
      <c r="D2889" s="44">
        <v>45820</v>
      </c>
      <c r="E2889" s="45">
        <v>645.75</v>
      </c>
    </row>
    <row r="2890" spans="2:5">
      <c r="B2890" s="43" t="s">
        <v>24</v>
      </c>
      <c r="C2890" s="43" t="s">
        <v>25</v>
      </c>
      <c r="D2890" s="44">
        <v>45820</v>
      </c>
      <c r="E2890" s="45">
        <v>1653.6</v>
      </c>
    </row>
    <row r="2891" spans="2:5">
      <c r="B2891" s="43" t="s">
        <v>58</v>
      </c>
      <c r="C2891" s="43" t="s">
        <v>59</v>
      </c>
      <c r="D2891" s="44">
        <v>45820</v>
      </c>
      <c r="E2891" s="45">
        <v>212.4</v>
      </c>
    </row>
    <row r="2892" spans="2:5">
      <c r="B2892" s="43" t="s">
        <v>26</v>
      </c>
      <c r="C2892" s="43" t="s">
        <v>27</v>
      </c>
      <c r="D2892" s="44">
        <v>45820</v>
      </c>
      <c r="E2892" s="45">
        <v>62.2</v>
      </c>
    </row>
    <row r="2893" spans="2:5">
      <c r="B2893" s="43" t="s">
        <v>194</v>
      </c>
      <c r="C2893" s="43" t="s">
        <v>195</v>
      </c>
      <c r="D2893" s="44">
        <v>45820</v>
      </c>
      <c r="E2893" s="45">
        <v>243.6</v>
      </c>
    </row>
    <row r="2894" spans="2:5">
      <c r="B2894" s="43" t="s">
        <v>62</v>
      </c>
      <c r="C2894" s="43" t="s">
        <v>63</v>
      </c>
      <c r="D2894" s="44">
        <v>45820</v>
      </c>
      <c r="E2894" s="45">
        <v>328</v>
      </c>
    </row>
    <row r="2895" spans="2:5">
      <c r="B2895" s="43" t="s">
        <v>198</v>
      </c>
      <c r="C2895" s="43" t="s">
        <v>199</v>
      </c>
      <c r="D2895" s="44">
        <v>45820</v>
      </c>
      <c r="E2895" s="45">
        <v>184.8</v>
      </c>
    </row>
    <row r="2896" spans="2:5">
      <c r="B2896" s="43" t="s">
        <v>68</v>
      </c>
      <c r="C2896" s="43" t="s">
        <v>69</v>
      </c>
      <c r="D2896" s="44">
        <v>45820</v>
      </c>
      <c r="E2896" s="45">
        <v>933.4</v>
      </c>
    </row>
    <row r="2897" spans="2:5">
      <c r="B2897" s="43" t="s">
        <v>96</v>
      </c>
      <c r="C2897" s="43" t="s">
        <v>97</v>
      </c>
      <c r="D2897" s="44">
        <v>45820</v>
      </c>
      <c r="E2897" s="45">
        <v>3</v>
      </c>
    </row>
    <row r="2898" spans="2:5">
      <c r="B2898" s="43" t="s">
        <v>32</v>
      </c>
      <c r="C2898" s="43" t="s">
        <v>33</v>
      </c>
      <c r="D2898" s="44">
        <v>45820</v>
      </c>
      <c r="E2898" s="45">
        <v>3</v>
      </c>
    </row>
    <row r="2899" spans="2:5">
      <c r="B2899" s="43" t="s">
        <v>98</v>
      </c>
      <c r="C2899" s="43" t="s">
        <v>99</v>
      </c>
      <c r="D2899" s="44">
        <v>45820</v>
      </c>
      <c r="E2899" s="45">
        <v>4</v>
      </c>
    </row>
    <row r="2900" spans="2:5">
      <c r="B2900" s="43" t="s">
        <v>170</v>
      </c>
      <c r="C2900" s="43" t="s">
        <v>171</v>
      </c>
      <c r="D2900" s="44">
        <v>45820</v>
      </c>
      <c r="E2900" s="45">
        <v>3</v>
      </c>
    </row>
    <row r="2901" spans="2:5">
      <c r="B2901" s="43" t="s">
        <v>86</v>
      </c>
      <c r="C2901" s="43" t="s">
        <v>87</v>
      </c>
      <c r="D2901" s="44">
        <v>45821</v>
      </c>
      <c r="E2901" s="45">
        <v>5</v>
      </c>
    </row>
    <row r="2902" spans="2:5">
      <c r="B2902" s="43" t="s">
        <v>42</v>
      </c>
      <c r="C2902" s="43" t="s">
        <v>43</v>
      </c>
      <c r="D2902" s="44">
        <v>45821</v>
      </c>
      <c r="E2902" s="45">
        <v>266.2</v>
      </c>
    </row>
    <row r="2903" spans="2:5">
      <c r="B2903" s="43" t="s">
        <v>4</v>
      </c>
      <c r="C2903" s="43" t="s">
        <v>5</v>
      </c>
      <c r="D2903" s="44">
        <v>45821</v>
      </c>
      <c r="E2903" s="45">
        <v>53.6</v>
      </c>
    </row>
    <row r="2904" spans="2:5">
      <c r="B2904" s="43" t="s">
        <v>6</v>
      </c>
      <c r="C2904" s="43" t="s">
        <v>7</v>
      </c>
      <c r="D2904" s="44">
        <v>45821</v>
      </c>
      <c r="E2904" s="45">
        <v>314.4</v>
      </c>
    </row>
    <row r="2905" spans="2:5">
      <c r="B2905" s="43" t="s">
        <v>156</v>
      </c>
      <c r="C2905" s="43" t="s">
        <v>157</v>
      </c>
      <c r="D2905" s="44">
        <v>45821</v>
      </c>
      <c r="E2905" s="45">
        <v>631.8</v>
      </c>
    </row>
    <row r="2906" spans="2:5">
      <c r="B2906" s="43" t="s">
        <v>8</v>
      </c>
      <c r="C2906" s="43" t="s">
        <v>9</v>
      </c>
      <c r="D2906" s="44">
        <v>45821</v>
      </c>
      <c r="E2906" s="45">
        <v>156.4</v>
      </c>
    </row>
    <row r="2907" spans="2:5">
      <c r="B2907" s="43" t="s">
        <v>44</v>
      </c>
      <c r="C2907" s="43" t="s">
        <v>45</v>
      </c>
      <c r="D2907" s="44">
        <v>45821</v>
      </c>
      <c r="E2907" s="45">
        <v>8.5</v>
      </c>
    </row>
    <row r="2908" spans="2:5">
      <c r="B2908" s="43" t="s">
        <v>46</v>
      </c>
      <c r="C2908" s="43" t="s">
        <v>47</v>
      </c>
      <c r="D2908" s="44">
        <v>45821</v>
      </c>
      <c r="E2908" s="45">
        <v>429.4</v>
      </c>
    </row>
    <row r="2909" spans="2:5">
      <c r="B2909" s="43" t="s">
        <v>12</v>
      </c>
      <c r="C2909" s="43" t="s">
        <v>13</v>
      </c>
      <c r="D2909" s="44">
        <v>45821</v>
      </c>
      <c r="E2909" s="45">
        <v>510.6</v>
      </c>
    </row>
    <row r="2910" spans="2:5">
      <c r="B2910" s="43" t="s">
        <v>178</v>
      </c>
      <c r="C2910" s="43" t="s">
        <v>179</v>
      </c>
      <c r="D2910" s="44">
        <v>45821</v>
      </c>
      <c r="E2910" s="45">
        <v>72</v>
      </c>
    </row>
    <row r="2911" spans="2:5">
      <c r="B2911" s="43" t="s">
        <v>50</v>
      </c>
      <c r="C2911" s="43" t="s">
        <v>51</v>
      </c>
      <c r="D2911" s="44">
        <v>45821</v>
      </c>
      <c r="E2911" s="45">
        <v>340</v>
      </c>
    </row>
    <row r="2912" spans="2:5">
      <c r="B2912" s="43" t="s">
        <v>114</v>
      </c>
      <c r="C2912" s="43" t="s">
        <v>115</v>
      </c>
      <c r="D2912" s="44">
        <v>45821</v>
      </c>
      <c r="E2912" s="45">
        <v>279.3</v>
      </c>
    </row>
    <row r="2913" spans="2:5">
      <c r="B2913" s="43" t="s">
        <v>56</v>
      </c>
      <c r="C2913" s="43" t="s">
        <v>57</v>
      </c>
      <c r="D2913" s="44">
        <v>45821</v>
      </c>
      <c r="E2913" s="45">
        <v>362</v>
      </c>
    </row>
    <row r="2914" spans="2:5">
      <c r="B2914" s="43" t="s">
        <v>176</v>
      </c>
      <c r="C2914" s="43" t="s">
        <v>177</v>
      </c>
      <c r="D2914" s="44">
        <v>45821</v>
      </c>
      <c r="E2914" s="45">
        <v>40.5</v>
      </c>
    </row>
    <row r="2915" spans="2:5">
      <c r="B2915" s="43" t="s">
        <v>76</v>
      </c>
      <c r="C2915" s="43" t="s">
        <v>77</v>
      </c>
      <c r="D2915" s="44">
        <v>45821</v>
      </c>
      <c r="E2915" s="45">
        <v>307.7</v>
      </c>
    </row>
    <row r="2916" spans="2:5">
      <c r="B2916" s="43" t="s">
        <v>200</v>
      </c>
      <c r="C2916" s="43" t="s">
        <v>201</v>
      </c>
      <c r="D2916" s="44">
        <v>45821</v>
      </c>
      <c r="E2916" s="45">
        <v>220</v>
      </c>
    </row>
    <row r="2917" spans="2:5">
      <c r="B2917" s="43" t="s">
        <v>78</v>
      </c>
      <c r="C2917" s="43" t="s">
        <v>79</v>
      </c>
      <c r="D2917" s="44">
        <v>45821</v>
      </c>
      <c r="E2917" s="45">
        <v>17.7</v>
      </c>
    </row>
    <row r="2918" spans="2:5">
      <c r="B2918" s="43" t="s">
        <v>20</v>
      </c>
      <c r="C2918" s="43" t="s">
        <v>21</v>
      </c>
      <c r="D2918" s="44">
        <v>45821</v>
      </c>
      <c r="E2918" s="45">
        <v>117.6</v>
      </c>
    </row>
    <row r="2919" spans="2:5">
      <c r="B2919" s="43" t="s">
        <v>22</v>
      </c>
      <c r="C2919" s="43" t="s">
        <v>23</v>
      </c>
      <c r="D2919" s="44">
        <v>45821</v>
      </c>
      <c r="E2919" s="45">
        <v>393.6</v>
      </c>
    </row>
    <row r="2920" spans="2:5">
      <c r="B2920" s="43" t="s">
        <v>80</v>
      </c>
      <c r="C2920" s="43" t="s">
        <v>81</v>
      </c>
      <c r="D2920" s="44">
        <v>45821</v>
      </c>
      <c r="E2920" s="45">
        <v>358.75</v>
      </c>
    </row>
    <row r="2921" spans="2:5">
      <c r="B2921" s="43" t="s">
        <v>24</v>
      </c>
      <c r="C2921" s="43" t="s">
        <v>25</v>
      </c>
      <c r="D2921" s="44">
        <v>45821</v>
      </c>
      <c r="E2921" s="45">
        <v>1955.7</v>
      </c>
    </row>
    <row r="2922" spans="2:5">
      <c r="B2922" s="43" t="s">
        <v>26</v>
      </c>
      <c r="C2922" s="43" t="s">
        <v>27</v>
      </c>
      <c r="D2922" s="44">
        <v>45821</v>
      </c>
      <c r="E2922" s="45">
        <v>2348.05</v>
      </c>
    </row>
    <row r="2923" spans="2:5">
      <c r="B2923" s="43" t="s">
        <v>60</v>
      </c>
      <c r="C2923" s="43" t="s">
        <v>61</v>
      </c>
      <c r="D2923" s="44">
        <v>45821</v>
      </c>
      <c r="E2923" s="45">
        <v>36.6</v>
      </c>
    </row>
    <row r="2924" spans="2:5">
      <c r="B2924" s="43" t="s">
        <v>28</v>
      </c>
      <c r="C2924" s="43" t="s">
        <v>29</v>
      </c>
      <c r="D2924" s="44">
        <v>45821</v>
      </c>
      <c r="E2924" s="45">
        <v>161.1</v>
      </c>
    </row>
    <row r="2925" spans="2:5">
      <c r="B2925" s="43" t="s">
        <v>62</v>
      </c>
      <c r="C2925" s="43" t="s">
        <v>63</v>
      </c>
      <c r="D2925" s="44">
        <v>45821</v>
      </c>
      <c r="E2925" s="45">
        <v>1230</v>
      </c>
    </row>
    <row r="2926" spans="2:5">
      <c r="B2926" s="43" t="s">
        <v>64</v>
      </c>
      <c r="C2926" s="43" t="s">
        <v>65</v>
      </c>
      <c r="D2926" s="44">
        <v>45821</v>
      </c>
      <c r="E2926" s="45">
        <v>140</v>
      </c>
    </row>
    <row r="2927" spans="2:5">
      <c r="B2927" s="43" t="s">
        <v>66</v>
      </c>
      <c r="C2927" s="43" t="s">
        <v>67</v>
      </c>
      <c r="D2927" s="44">
        <v>45821</v>
      </c>
      <c r="E2927" s="45">
        <v>332.4</v>
      </c>
    </row>
    <row r="2928" spans="2:5">
      <c r="B2928" s="43" t="s">
        <v>150</v>
      </c>
      <c r="C2928" s="43" t="s">
        <v>151</v>
      </c>
      <c r="D2928" s="44">
        <v>45821</v>
      </c>
      <c r="E2928" s="45">
        <v>1650.05</v>
      </c>
    </row>
    <row r="2929" spans="2:5">
      <c r="B2929" s="43" t="s">
        <v>208</v>
      </c>
      <c r="C2929" s="43" t="s">
        <v>209</v>
      </c>
      <c r="D2929" s="44">
        <v>45821</v>
      </c>
      <c r="E2929" s="45">
        <v>420</v>
      </c>
    </row>
    <row r="2930" spans="2:5">
      <c r="B2930" s="43" t="s">
        <v>142</v>
      </c>
      <c r="C2930" s="43" t="s">
        <v>143</v>
      </c>
      <c r="D2930" s="44">
        <v>45821</v>
      </c>
      <c r="E2930" s="45">
        <v>48</v>
      </c>
    </row>
    <row r="2931" spans="2:5">
      <c r="B2931" s="43" t="s">
        <v>96</v>
      </c>
      <c r="C2931" s="43" t="s">
        <v>97</v>
      </c>
      <c r="D2931" s="44">
        <v>45821</v>
      </c>
      <c r="E2931" s="45">
        <v>4</v>
      </c>
    </row>
    <row r="2932" spans="2:5">
      <c r="B2932" s="43" t="s">
        <v>32</v>
      </c>
      <c r="C2932" s="43" t="s">
        <v>33</v>
      </c>
      <c r="D2932" s="44">
        <v>45821</v>
      </c>
      <c r="E2932" s="45">
        <v>5</v>
      </c>
    </row>
    <row r="2933" spans="2:5">
      <c r="B2933" s="43" t="s">
        <v>160</v>
      </c>
      <c r="C2933" s="43" t="s">
        <v>161</v>
      </c>
      <c r="D2933" s="44">
        <v>45821</v>
      </c>
      <c r="E2933" s="45">
        <v>1</v>
      </c>
    </row>
    <row r="2934" spans="2:5">
      <c r="B2934" s="43" t="s">
        <v>170</v>
      </c>
      <c r="C2934" s="43" t="s">
        <v>171</v>
      </c>
      <c r="D2934" s="44">
        <v>45821</v>
      </c>
      <c r="E2934" s="45">
        <v>3</v>
      </c>
    </row>
    <row r="2935" spans="2:5">
      <c r="B2935" s="43" t="s">
        <v>36</v>
      </c>
      <c r="C2935" s="43" t="s">
        <v>37</v>
      </c>
      <c r="D2935" s="44">
        <v>45821</v>
      </c>
      <c r="E2935" s="45">
        <v>17</v>
      </c>
    </row>
    <row r="2936" spans="2:5">
      <c r="B2936" s="43" t="s">
        <v>154</v>
      </c>
      <c r="C2936" s="43" t="s">
        <v>155</v>
      </c>
      <c r="D2936" s="44">
        <v>45824</v>
      </c>
      <c r="E2936" s="45">
        <v>14</v>
      </c>
    </row>
    <row r="2937" spans="2:5">
      <c r="B2937" s="43" t="s">
        <v>4</v>
      </c>
      <c r="C2937" s="43" t="s">
        <v>5</v>
      </c>
      <c r="D2937" s="44">
        <v>45824</v>
      </c>
      <c r="E2937" s="45">
        <v>40.2</v>
      </c>
    </row>
    <row r="2938" spans="2:5">
      <c r="B2938" s="43" t="s">
        <v>8</v>
      </c>
      <c r="C2938" s="43" t="s">
        <v>9</v>
      </c>
      <c r="D2938" s="44">
        <v>45824</v>
      </c>
      <c r="E2938" s="45">
        <v>1102.6656</v>
      </c>
    </row>
    <row r="2939" spans="2:5">
      <c r="B2939" s="43" t="s">
        <v>46</v>
      </c>
      <c r="C2939" s="43" t="s">
        <v>47</v>
      </c>
      <c r="D2939" s="44">
        <v>45824</v>
      </c>
      <c r="E2939" s="45">
        <v>146.9</v>
      </c>
    </row>
    <row r="2940" spans="2:5">
      <c r="B2940" s="43" t="s">
        <v>12</v>
      </c>
      <c r="C2940" s="43" t="s">
        <v>13</v>
      </c>
      <c r="D2940" s="44">
        <v>45824</v>
      </c>
      <c r="E2940" s="45">
        <v>345</v>
      </c>
    </row>
    <row r="2941" spans="2:5">
      <c r="B2941" s="43" t="s">
        <v>144</v>
      </c>
      <c r="C2941" s="43" t="s">
        <v>145</v>
      </c>
      <c r="D2941" s="44">
        <v>45824</v>
      </c>
      <c r="E2941" s="45">
        <v>162</v>
      </c>
    </row>
    <row r="2942" spans="2:5">
      <c r="B2942" s="43" t="s">
        <v>20</v>
      </c>
      <c r="C2942" s="43" t="s">
        <v>21</v>
      </c>
      <c r="D2942" s="44">
        <v>45824</v>
      </c>
      <c r="E2942" s="45">
        <v>29.4</v>
      </c>
    </row>
    <row r="2943" spans="2:5">
      <c r="B2943" s="43" t="s">
        <v>140</v>
      </c>
      <c r="C2943" s="43" t="s">
        <v>141</v>
      </c>
      <c r="D2943" s="44">
        <v>45824</v>
      </c>
      <c r="E2943" s="45">
        <v>69.6</v>
      </c>
    </row>
    <row r="2944" spans="2:5">
      <c r="B2944" s="43" t="s">
        <v>24</v>
      </c>
      <c r="C2944" s="43" t="s">
        <v>25</v>
      </c>
      <c r="D2944" s="44">
        <v>45824</v>
      </c>
      <c r="E2944" s="45">
        <v>1319.7</v>
      </c>
    </row>
    <row r="2945" spans="2:5">
      <c r="B2945" s="43" t="s">
        <v>26</v>
      </c>
      <c r="C2945" s="43" t="s">
        <v>27</v>
      </c>
      <c r="D2945" s="44">
        <v>45824</v>
      </c>
      <c r="E2945" s="45">
        <v>342.6</v>
      </c>
    </row>
    <row r="2946" spans="2:5">
      <c r="B2946" s="43" t="s">
        <v>60</v>
      </c>
      <c r="C2946" s="43" t="s">
        <v>61</v>
      </c>
      <c r="D2946" s="44">
        <v>45824</v>
      </c>
      <c r="E2946" s="45">
        <v>73.2</v>
      </c>
    </row>
    <row r="2947" spans="2:5">
      <c r="B2947" s="43" t="s">
        <v>28</v>
      </c>
      <c r="C2947" s="43" t="s">
        <v>29</v>
      </c>
      <c r="D2947" s="44">
        <v>45824</v>
      </c>
      <c r="E2947" s="45">
        <v>196.9</v>
      </c>
    </row>
    <row r="2948" spans="2:5">
      <c r="B2948" s="43" t="s">
        <v>62</v>
      </c>
      <c r="C2948" s="43" t="s">
        <v>63</v>
      </c>
      <c r="D2948" s="44">
        <v>45824</v>
      </c>
      <c r="E2948" s="45">
        <v>1045.5</v>
      </c>
    </row>
    <row r="2949" spans="2:5">
      <c r="B2949" s="43" t="s">
        <v>64</v>
      </c>
      <c r="C2949" s="43" t="s">
        <v>65</v>
      </c>
      <c r="D2949" s="44">
        <v>45824</v>
      </c>
      <c r="E2949" s="45">
        <v>40</v>
      </c>
    </row>
    <row r="2950" spans="2:5">
      <c r="B2950" s="43" t="s">
        <v>30</v>
      </c>
      <c r="C2950" s="43" t="s">
        <v>31</v>
      </c>
      <c r="D2950" s="44">
        <v>45824</v>
      </c>
      <c r="E2950" s="45">
        <v>9</v>
      </c>
    </row>
    <row r="2951" spans="2:5">
      <c r="B2951" s="43" t="s">
        <v>96</v>
      </c>
      <c r="C2951" s="43" t="s">
        <v>97</v>
      </c>
      <c r="D2951" s="44">
        <v>45824</v>
      </c>
      <c r="E2951" s="45">
        <v>4</v>
      </c>
    </row>
    <row r="2952" spans="2:5">
      <c r="B2952" s="43" t="s">
        <v>32</v>
      </c>
      <c r="C2952" s="43" t="s">
        <v>33</v>
      </c>
      <c r="D2952" s="44">
        <v>45824</v>
      </c>
      <c r="E2952" s="45">
        <v>2</v>
      </c>
    </row>
    <row r="2953" spans="2:5">
      <c r="B2953" s="43" t="s">
        <v>36</v>
      </c>
      <c r="C2953" s="43" t="s">
        <v>37</v>
      </c>
      <c r="D2953" s="44">
        <v>45824</v>
      </c>
      <c r="E2953" s="45">
        <v>5</v>
      </c>
    </row>
    <row r="2954" spans="2:5">
      <c r="B2954" s="43" t="s">
        <v>212</v>
      </c>
      <c r="C2954" s="43" t="s">
        <v>213</v>
      </c>
      <c r="D2954" s="44">
        <v>45825</v>
      </c>
      <c r="E2954" s="45">
        <v>30</v>
      </c>
    </row>
    <row r="2955" spans="2:5">
      <c r="B2955" s="43" t="s">
        <v>214</v>
      </c>
      <c r="C2955" s="43" t="s">
        <v>215</v>
      </c>
      <c r="D2955" s="44">
        <v>45825</v>
      </c>
      <c r="E2955" s="45">
        <v>30</v>
      </c>
    </row>
    <row r="2956" spans="2:5">
      <c r="B2956" s="43" t="s">
        <v>216</v>
      </c>
      <c r="C2956" s="43" t="s">
        <v>217</v>
      </c>
      <c r="D2956" s="44">
        <v>45825</v>
      </c>
      <c r="E2956" s="45">
        <v>30</v>
      </c>
    </row>
    <row r="2957" spans="2:5">
      <c r="B2957" s="43" t="s">
        <v>218</v>
      </c>
      <c r="C2957" s="43" t="s">
        <v>219</v>
      </c>
      <c r="D2957" s="44">
        <v>45825</v>
      </c>
      <c r="E2957" s="45">
        <v>30</v>
      </c>
    </row>
    <row r="2958" spans="2:5">
      <c r="B2958" s="43" t="s">
        <v>220</v>
      </c>
      <c r="C2958" s="43" t="s">
        <v>221</v>
      </c>
      <c r="D2958" s="44">
        <v>45825</v>
      </c>
      <c r="E2958" s="45">
        <v>30</v>
      </c>
    </row>
    <row r="2959" spans="2:5">
      <c r="B2959" s="43" t="s">
        <v>4</v>
      </c>
      <c r="C2959" s="43" t="s">
        <v>5</v>
      </c>
      <c r="D2959" s="44">
        <v>45825</v>
      </c>
      <c r="E2959" s="45">
        <v>67</v>
      </c>
    </row>
    <row r="2960" spans="2:5">
      <c r="B2960" s="43" t="s">
        <v>8</v>
      </c>
      <c r="C2960" s="43" t="s">
        <v>9</v>
      </c>
      <c r="D2960" s="44">
        <v>45825</v>
      </c>
      <c r="E2960" s="45">
        <v>139.2</v>
      </c>
    </row>
    <row r="2961" spans="2:5">
      <c r="B2961" s="43" t="s">
        <v>72</v>
      </c>
      <c r="C2961" s="43" t="s">
        <v>73</v>
      </c>
      <c r="D2961" s="44">
        <v>45825</v>
      </c>
      <c r="E2961" s="45">
        <v>153</v>
      </c>
    </row>
    <row r="2962" spans="2:5">
      <c r="B2962" s="43" t="s">
        <v>46</v>
      </c>
      <c r="C2962" s="43" t="s">
        <v>47</v>
      </c>
      <c r="D2962" s="44">
        <v>45825</v>
      </c>
      <c r="E2962" s="45">
        <v>248.6</v>
      </c>
    </row>
    <row r="2963" spans="2:5">
      <c r="B2963" s="43" t="s">
        <v>10</v>
      </c>
      <c r="C2963" s="43" t="s">
        <v>11</v>
      </c>
      <c r="D2963" s="44">
        <v>45825</v>
      </c>
      <c r="E2963" s="45">
        <v>22.1</v>
      </c>
    </row>
    <row r="2964" spans="2:5">
      <c r="B2964" s="43" t="s">
        <v>12</v>
      </c>
      <c r="C2964" s="43" t="s">
        <v>13</v>
      </c>
      <c r="D2964" s="44">
        <v>45825</v>
      </c>
      <c r="E2964" s="45">
        <v>165.6</v>
      </c>
    </row>
    <row r="2965" spans="2:5">
      <c r="B2965" s="43" t="s">
        <v>178</v>
      </c>
      <c r="C2965" s="43" t="s">
        <v>179</v>
      </c>
      <c r="D2965" s="44">
        <v>45825</v>
      </c>
      <c r="E2965" s="45">
        <v>900</v>
      </c>
    </row>
    <row r="2966" spans="2:5">
      <c r="B2966" s="43" t="s">
        <v>14</v>
      </c>
      <c r="C2966" s="43" t="s">
        <v>15</v>
      </c>
      <c r="D2966" s="44">
        <v>45825</v>
      </c>
      <c r="E2966" s="45">
        <v>324</v>
      </c>
    </row>
    <row r="2967" spans="2:5">
      <c r="B2967" s="43" t="s">
        <v>50</v>
      </c>
      <c r="C2967" s="43" t="s">
        <v>51</v>
      </c>
      <c r="D2967" s="44">
        <v>45825</v>
      </c>
      <c r="E2967" s="45">
        <v>204</v>
      </c>
    </row>
    <row r="2968" spans="2:5">
      <c r="B2968" s="43" t="s">
        <v>114</v>
      </c>
      <c r="C2968" s="43" t="s">
        <v>115</v>
      </c>
      <c r="D2968" s="44">
        <v>45825</v>
      </c>
      <c r="E2968" s="45">
        <v>532</v>
      </c>
    </row>
    <row r="2969" spans="2:5">
      <c r="B2969" s="43" t="s">
        <v>138</v>
      </c>
      <c r="C2969" s="43" t="s">
        <v>139</v>
      </c>
      <c r="D2969" s="44">
        <v>45825</v>
      </c>
      <c r="E2969" s="45">
        <v>1268</v>
      </c>
    </row>
    <row r="2970" spans="2:5">
      <c r="B2970" s="43" t="s">
        <v>56</v>
      </c>
      <c r="C2970" s="43" t="s">
        <v>57</v>
      </c>
      <c r="D2970" s="44">
        <v>45825</v>
      </c>
      <c r="E2970" s="45">
        <v>217.2</v>
      </c>
    </row>
    <row r="2971" spans="2:5">
      <c r="B2971" s="43" t="s">
        <v>20</v>
      </c>
      <c r="C2971" s="43" t="s">
        <v>21</v>
      </c>
      <c r="D2971" s="44">
        <v>45825</v>
      </c>
      <c r="E2971" s="45">
        <v>9.8</v>
      </c>
    </row>
    <row r="2972" spans="2:5">
      <c r="B2972" s="43" t="s">
        <v>120</v>
      </c>
      <c r="C2972" s="43" t="s">
        <v>121</v>
      </c>
      <c r="D2972" s="44">
        <v>45825</v>
      </c>
      <c r="E2972" s="45">
        <v>22.8</v>
      </c>
    </row>
    <row r="2973" spans="2:5">
      <c r="B2973" s="43" t="s">
        <v>22</v>
      </c>
      <c r="C2973" s="43" t="s">
        <v>23</v>
      </c>
      <c r="D2973" s="44">
        <v>45825</v>
      </c>
      <c r="E2973" s="45">
        <v>96</v>
      </c>
    </row>
    <row r="2974" spans="2:5">
      <c r="B2974" s="43" t="s">
        <v>80</v>
      </c>
      <c r="C2974" s="43" t="s">
        <v>81</v>
      </c>
      <c r="D2974" s="44">
        <v>45825</v>
      </c>
      <c r="E2974" s="45">
        <v>1435</v>
      </c>
    </row>
    <row r="2975" spans="2:5">
      <c r="B2975" s="43" t="s">
        <v>24</v>
      </c>
      <c r="C2975" s="43" t="s">
        <v>25</v>
      </c>
      <c r="D2975" s="44">
        <v>45825</v>
      </c>
      <c r="E2975" s="45">
        <v>1908</v>
      </c>
    </row>
    <row r="2976" spans="2:5">
      <c r="B2976" s="43" t="s">
        <v>210</v>
      </c>
      <c r="C2976" s="43" t="s">
        <v>211</v>
      </c>
      <c r="D2976" s="44">
        <v>45825</v>
      </c>
      <c r="E2976" s="45">
        <v>963.5</v>
      </c>
    </row>
    <row r="2977" spans="2:5">
      <c r="B2977" s="43" t="s">
        <v>60</v>
      </c>
      <c r="C2977" s="43" t="s">
        <v>61</v>
      </c>
      <c r="D2977" s="44">
        <v>45825</v>
      </c>
      <c r="E2977" s="45">
        <v>36.6</v>
      </c>
    </row>
    <row r="2978" spans="2:5">
      <c r="B2978" s="43" t="s">
        <v>184</v>
      </c>
      <c r="C2978" s="43" t="s">
        <v>185</v>
      </c>
      <c r="D2978" s="44">
        <v>45825</v>
      </c>
      <c r="E2978" s="45">
        <v>237</v>
      </c>
    </row>
    <row r="2979" spans="2:5">
      <c r="B2979" s="43" t="s">
        <v>28</v>
      </c>
      <c r="C2979" s="43" t="s">
        <v>29</v>
      </c>
      <c r="D2979" s="44">
        <v>45825</v>
      </c>
      <c r="E2979" s="45">
        <v>447.5</v>
      </c>
    </row>
    <row r="2980" spans="2:5">
      <c r="B2980" s="43" t="s">
        <v>62</v>
      </c>
      <c r="C2980" s="43" t="s">
        <v>63</v>
      </c>
      <c r="D2980" s="44">
        <v>45825</v>
      </c>
      <c r="E2980" s="45">
        <v>2050</v>
      </c>
    </row>
    <row r="2981" spans="2:5">
      <c r="B2981" s="43" t="s">
        <v>64</v>
      </c>
      <c r="C2981" s="43" t="s">
        <v>65</v>
      </c>
      <c r="D2981" s="44">
        <v>45825</v>
      </c>
      <c r="E2981" s="45">
        <v>540</v>
      </c>
    </row>
    <row r="2982" spans="2:5">
      <c r="B2982" s="43" t="s">
        <v>164</v>
      </c>
      <c r="C2982" s="43" t="s">
        <v>165</v>
      </c>
      <c r="D2982" s="44">
        <v>45825</v>
      </c>
      <c r="E2982" s="45">
        <v>135.6</v>
      </c>
    </row>
    <row r="2983" spans="2:5">
      <c r="B2983" s="43" t="s">
        <v>94</v>
      </c>
      <c r="C2983" s="43" t="s">
        <v>95</v>
      </c>
      <c r="D2983" s="44">
        <v>45825</v>
      </c>
      <c r="E2983" s="45">
        <v>1547.7</v>
      </c>
    </row>
    <row r="2984" spans="2:5">
      <c r="B2984" s="43" t="s">
        <v>208</v>
      </c>
      <c r="C2984" s="43" t="s">
        <v>209</v>
      </c>
      <c r="D2984" s="44">
        <v>45825</v>
      </c>
      <c r="E2984" s="45">
        <v>525</v>
      </c>
    </row>
    <row r="2985" spans="2:5">
      <c r="B2985" s="43" t="s">
        <v>106</v>
      </c>
      <c r="C2985" s="43" t="s">
        <v>107</v>
      </c>
      <c r="D2985" s="44">
        <v>45825</v>
      </c>
      <c r="E2985" s="45">
        <v>7.7</v>
      </c>
    </row>
    <row r="2986" spans="2:5">
      <c r="B2986" s="43" t="s">
        <v>142</v>
      </c>
      <c r="C2986" s="43" t="s">
        <v>143</v>
      </c>
      <c r="D2986" s="44">
        <v>45825</v>
      </c>
      <c r="E2986" s="45">
        <v>3</v>
      </c>
    </row>
    <row r="2987" spans="2:5">
      <c r="B2987" s="43" t="s">
        <v>30</v>
      </c>
      <c r="C2987" s="43" t="s">
        <v>31</v>
      </c>
      <c r="D2987" s="44">
        <v>45825</v>
      </c>
      <c r="E2987" s="45">
        <v>7</v>
      </c>
    </row>
    <row r="2988" spans="2:5">
      <c r="B2988" s="43" t="s">
        <v>96</v>
      </c>
      <c r="C2988" s="43" t="s">
        <v>97</v>
      </c>
      <c r="D2988" s="44">
        <v>45825</v>
      </c>
      <c r="E2988" s="45">
        <v>10</v>
      </c>
    </row>
    <row r="2989" spans="2:5">
      <c r="B2989" s="43" t="s">
        <v>32</v>
      </c>
      <c r="C2989" s="43" t="s">
        <v>33</v>
      </c>
      <c r="D2989" s="44">
        <v>45825</v>
      </c>
      <c r="E2989" s="45">
        <v>100</v>
      </c>
    </row>
    <row r="2990" spans="2:5">
      <c r="B2990" s="43" t="s">
        <v>160</v>
      </c>
      <c r="C2990" s="43" t="s">
        <v>161</v>
      </c>
      <c r="D2990" s="44">
        <v>45825</v>
      </c>
      <c r="E2990" s="45">
        <v>14</v>
      </c>
    </row>
    <row r="2991" spans="2:5">
      <c r="B2991" s="43" t="s">
        <v>170</v>
      </c>
      <c r="C2991" s="43" t="s">
        <v>171</v>
      </c>
      <c r="D2991" s="44">
        <v>45825</v>
      </c>
      <c r="E2991" s="45">
        <v>2</v>
      </c>
    </row>
    <row r="2992" spans="2:5">
      <c r="B2992" s="43" t="s">
        <v>4</v>
      </c>
      <c r="C2992" s="43" t="s">
        <v>5</v>
      </c>
      <c r="D2992" s="44">
        <v>45826</v>
      </c>
      <c r="E2992" s="45">
        <v>40.2</v>
      </c>
    </row>
    <row r="2993" spans="2:5">
      <c r="B2993" s="43" t="s">
        <v>6</v>
      </c>
      <c r="C2993" s="43" t="s">
        <v>7</v>
      </c>
      <c r="D2993" s="44">
        <v>45826</v>
      </c>
      <c r="E2993" s="45">
        <v>19.65</v>
      </c>
    </row>
    <row r="2994" spans="2:5">
      <c r="B2994" s="43" t="s">
        <v>156</v>
      </c>
      <c r="C2994" s="43" t="s">
        <v>157</v>
      </c>
      <c r="D2994" s="44">
        <v>45826</v>
      </c>
      <c r="E2994" s="45">
        <v>23.4</v>
      </c>
    </row>
    <row r="2995" spans="2:5">
      <c r="B2995" s="43" t="s">
        <v>8</v>
      </c>
      <c r="C2995" s="43" t="s">
        <v>9</v>
      </c>
      <c r="D2995" s="44">
        <v>45826</v>
      </c>
      <c r="E2995" s="45">
        <v>121.8</v>
      </c>
    </row>
    <row r="2996" spans="2:5">
      <c r="B2996" s="43" t="s">
        <v>44</v>
      </c>
      <c r="C2996" s="43" t="s">
        <v>45</v>
      </c>
      <c r="D2996" s="44">
        <v>45826</v>
      </c>
      <c r="E2996" s="45">
        <v>68</v>
      </c>
    </row>
    <row r="2997" spans="2:5">
      <c r="B2997" s="43" t="s">
        <v>46</v>
      </c>
      <c r="C2997" s="43" t="s">
        <v>47</v>
      </c>
      <c r="D2997" s="44">
        <v>45826</v>
      </c>
      <c r="E2997" s="45">
        <v>158.2</v>
      </c>
    </row>
    <row r="2998" spans="2:5">
      <c r="B2998" s="43" t="s">
        <v>12</v>
      </c>
      <c r="C2998" s="43" t="s">
        <v>13</v>
      </c>
      <c r="D2998" s="44">
        <v>45826</v>
      </c>
      <c r="E2998" s="45">
        <v>82.8</v>
      </c>
    </row>
    <row r="2999" spans="2:5">
      <c r="B2999" s="43" t="s">
        <v>48</v>
      </c>
      <c r="C2999" s="43" t="s">
        <v>49</v>
      </c>
      <c r="D2999" s="44">
        <v>45826</v>
      </c>
      <c r="E2999" s="45">
        <v>91.2</v>
      </c>
    </row>
    <row r="3000" spans="2:5">
      <c r="B3000" s="43" t="s">
        <v>14</v>
      </c>
      <c r="C3000" s="43" t="s">
        <v>15</v>
      </c>
      <c r="D3000" s="44">
        <v>45826</v>
      </c>
      <c r="E3000" s="45">
        <v>229.5</v>
      </c>
    </row>
    <row r="3001" spans="2:5">
      <c r="B3001" s="43" t="s">
        <v>50</v>
      </c>
      <c r="C3001" s="43" t="s">
        <v>51</v>
      </c>
      <c r="D3001" s="44">
        <v>45826</v>
      </c>
      <c r="E3001" s="45">
        <v>204</v>
      </c>
    </row>
    <row r="3002" spans="2:5">
      <c r="B3002" s="43" t="s">
        <v>56</v>
      </c>
      <c r="C3002" s="43" t="s">
        <v>57</v>
      </c>
      <c r="D3002" s="44">
        <v>45826</v>
      </c>
      <c r="E3002" s="45">
        <v>543</v>
      </c>
    </row>
    <row r="3003" spans="2:5">
      <c r="B3003" s="43" t="s">
        <v>152</v>
      </c>
      <c r="C3003" s="43" t="s">
        <v>153</v>
      </c>
      <c r="D3003" s="44">
        <v>45826</v>
      </c>
      <c r="E3003" s="45">
        <v>46.5</v>
      </c>
    </row>
    <row r="3004" spans="2:5">
      <c r="B3004" s="43" t="s">
        <v>18</v>
      </c>
      <c r="C3004" s="43" t="s">
        <v>19</v>
      </c>
      <c r="D3004" s="44">
        <v>45826</v>
      </c>
      <c r="E3004" s="45">
        <v>44.5</v>
      </c>
    </row>
    <row r="3005" spans="2:5">
      <c r="B3005" s="43" t="s">
        <v>20</v>
      </c>
      <c r="C3005" s="43" t="s">
        <v>21</v>
      </c>
      <c r="D3005" s="44">
        <v>45826</v>
      </c>
      <c r="E3005" s="45">
        <v>186.2</v>
      </c>
    </row>
    <row r="3006" spans="2:5">
      <c r="B3006" s="43" t="s">
        <v>22</v>
      </c>
      <c r="C3006" s="43" t="s">
        <v>23</v>
      </c>
      <c r="D3006" s="44">
        <v>45826</v>
      </c>
      <c r="E3006" s="45">
        <v>259.2</v>
      </c>
    </row>
    <row r="3007" spans="2:5">
      <c r="B3007" s="43" t="s">
        <v>24</v>
      </c>
      <c r="C3007" s="43" t="s">
        <v>25</v>
      </c>
      <c r="D3007" s="44">
        <v>45826</v>
      </c>
      <c r="E3007" s="45">
        <v>5644.5</v>
      </c>
    </row>
    <row r="3008" spans="2:5">
      <c r="B3008" s="43" t="s">
        <v>26</v>
      </c>
      <c r="C3008" s="43" t="s">
        <v>27</v>
      </c>
      <c r="D3008" s="44">
        <v>45826</v>
      </c>
      <c r="E3008" s="45">
        <v>124.4</v>
      </c>
    </row>
    <row r="3009" spans="2:5">
      <c r="B3009" s="43" t="s">
        <v>222</v>
      </c>
      <c r="C3009" s="43" t="s">
        <v>223</v>
      </c>
      <c r="D3009" s="44">
        <v>45826</v>
      </c>
      <c r="E3009" s="45">
        <v>128.45</v>
      </c>
    </row>
    <row r="3010" spans="2:5">
      <c r="B3010" s="43" t="s">
        <v>28</v>
      </c>
      <c r="C3010" s="43" t="s">
        <v>29</v>
      </c>
      <c r="D3010" s="44">
        <v>45826</v>
      </c>
      <c r="E3010" s="45">
        <v>250.6</v>
      </c>
    </row>
    <row r="3011" spans="2:5">
      <c r="B3011" s="43" t="s">
        <v>62</v>
      </c>
      <c r="C3011" s="43" t="s">
        <v>63</v>
      </c>
      <c r="D3011" s="44">
        <v>45826</v>
      </c>
      <c r="E3011" s="45">
        <v>123</v>
      </c>
    </row>
    <row r="3012" spans="2:5">
      <c r="B3012" s="43" t="s">
        <v>148</v>
      </c>
      <c r="C3012" s="43" t="s">
        <v>149</v>
      </c>
      <c r="D3012" s="44">
        <v>45826</v>
      </c>
      <c r="E3012" s="45">
        <v>1145</v>
      </c>
    </row>
    <row r="3013" spans="2:5">
      <c r="B3013" s="43" t="s">
        <v>64</v>
      </c>
      <c r="C3013" s="43" t="s">
        <v>65</v>
      </c>
      <c r="D3013" s="44">
        <v>45826</v>
      </c>
      <c r="E3013" s="45">
        <v>240</v>
      </c>
    </row>
    <row r="3014" spans="2:5">
      <c r="B3014" s="43" t="s">
        <v>172</v>
      </c>
      <c r="C3014" s="43" t="s">
        <v>173</v>
      </c>
      <c r="D3014" s="44">
        <v>45826</v>
      </c>
      <c r="E3014" s="45">
        <v>157.85</v>
      </c>
    </row>
    <row r="3015" spans="2:5">
      <c r="B3015" s="43" t="s">
        <v>106</v>
      </c>
      <c r="C3015" s="43" t="s">
        <v>107</v>
      </c>
      <c r="D3015" s="44">
        <v>45826</v>
      </c>
      <c r="E3015" s="45">
        <v>23.1</v>
      </c>
    </row>
    <row r="3016" spans="2:5">
      <c r="B3016" s="43" t="s">
        <v>142</v>
      </c>
      <c r="C3016" s="43" t="s">
        <v>143</v>
      </c>
      <c r="D3016" s="44">
        <v>45826</v>
      </c>
      <c r="E3016" s="45">
        <v>21</v>
      </c>
    </row>
    <row r="3017" spans="2:5">
      <c r="B3017" s="43" t="s">
        <v>196</v>
      </c>
      <c r="C3017" s="43" t="s">
        <v>197</v>
      </c>
      <c r="D3017" s="44">
        <v>45826</v>
      </c>
      <c r="E3017" s="45">
        <v>5</v>
      </c>
    </row>
    <row r="3018" spans="2:5">
      <c r="B3018" s="43" t="s">
        <v>96</v>
      </c>
      <c r="C3018" s="43" t="s">
        <v>97</v>
      </c>
      <c r="D3018" s="44">
        <v>45826</v>
      </c>
      <c r="E3018" s="45">
        <v>16</v>
      </c>
    </row>
    <row r="3019" spans="2:5">
      <c r="B3019" s="43" t="s">
        <v>32</v>
      </c>
      <c r="C3019" s="43" t="s">
        <v>33</v>
      </c>
      <c r="D3019" s="44">
        <v>45826</v>
      </c>
      <c r="E3019" s="45">
        <v>10</v>
      </c>
    </row>
    <row r="3020" spans="2:5">
      <c r="B3020" s="43" t="s">
        <v>98</v>
      </c>
      <c r="C3020" s="43" t="s">
        <v>99</v>
      </c>
      <c r="D3020" s="44">
        <v>45826</v>
      </c>
      <c r="E3020" s="45">
        <v>5</v>
      </c>
    </row>
    <row r="3021" spans="2:5">
      <c r="B3021" s="43" t="s">
        <v>160</v>
      </c>
      <c r="C3021" s="43" t="s">
        <v>161</v>
      </c>
      <c r="D3021" s="44">
        <v>45826</v>
      </c>
      <c r="E3021" s="45">
        <v>2</v>
      </c>
    </row>
    <row r="3022" spans="2:5">
      <c r="B3022" s="43" t="s">
        <v>36</v>
      </c>
      <c r="C3022" s="43" t="s">
        <v>37</v>
      </c>
      <c r="D3022" s="44">
        <v>45826</v>
      </c>
      <c r="E3022" s="45">
        <v>8</v>
      </c>
    </row>
    <row r="3023" spans="2:5">
      <c r="B3023" s="43" t="s">
        <v>4</v>
      </c>
      <c r="C3023" s="43" t="s">
        <v>5</v>
      </c>
      <c r="D3023" s="44">
        <v>45828</v>
      </c>
      <c r="E3023" s="45">
        <v>26.8</v>
      </c>
    </row>
    <row r="3024" spans="2:5">
      <c r="B3024" s="43" t="s">
        <v>8</v>
      </c>
      <c r="C3024" s="43" t="s">
        <v>9</v>
      </c>
      <c r="D3024" s="44">
        <v>45828</v>
      </c>
      <c r="E3024" s="45">
        <v>269.7</v>
      </c>
    </row>
    <row r="3025" spans="2:5">
      <c r="B3025" s="43" t="s">
        <v>44</v>
      </c>
      <c r="C3025" s="43" t="s">
        <v>45</v>
      </c>
      <c r="D3025" s="44">
        <v>45828</v>
      </c>
      <c r="E3025" s="45">
        <v>8.5</v>
      </c>
    </row>
    <row r="3026" spans="2:5">
      <c r="B3026" s="43" t="s">
        <v>46</v>
      </c>
      <c r="C3026" s="43" t="s">
        <v>47</v>
      </c>
      <c r="D3026" s="44">
        <v>45828</v>
      </c>
      <c r="E3026" s="45">
        <v>113</v>
      </c>
    </row>
    <row r="3027" spans="2:5">
      <c r="B3027" s="43" t="s">
        <v>12</v>
      </c>
      <c r="C3027" s="43" t="s">
        <v>13</v>
      </c>
      <c r="D3027" s="44">
        <v>45828</v>
      </c>
      <c r="E3027" s="45">
        <v>110.4</v>
      </c>
    </row>
    <row r="3028" spans="2:5">
      <c r="B3028" s="43" t="s">
        <v>178</v>
      </c>
      <c r="C3028" s="43" t="s">
        <v>179</v>
      </c>
      <c r="D3028" s="44">
        <v>45828</v>
      </c>
      <c r="E3028" s="45">
        <v>108</v>
      </c>
    </row>
    <row r="3029" spans="2:5">
      <c r="B3029" s="43" t="s">
        <v>50</v>
      </c>
      <c r="C3029" s="43" t="s">
        <v>51</v>
      </c>
      <c r="D3029" s="44">
        <v>45828</v>
      </c>
      <c r="E3029" s="45">
        <v>40.8</v>
      </c>
    </row>
    <row r="3030" spans="2:5">
      <c r="B3030" s="43" t="s">
        <v>56</v>
      </c>
      <c r="C3030" s="43" t="s">
        <v>57</v>
      </c>
      <c r="D3030" s="44">
        <v>45828</v>
      </c>
      <c r="E3030" s="45">
        <v>90.5</v>
      </c>
    </row>
    <row r="3031" spans="2:5">
      <c r="B3031" s="43" t="s">
        <v>20</v>
      </c>
      <c r="C3031" s="43" t="s">
        <v>21</v>
      </c>
      <c r="D3031" s="44">
        <v>45828</v>
      </c>
      <c r="E3031" s="45">
        <v>19.6</v>
      </c>
    </row>
    <row r="3032" spans="2:5">
      <c r="B3032" s="43" t="s">
        <v>22</v>
      </c>
      <c r="C3032" s="43" t="s">
        <v>23</v>
      </c>
      <c r="D3032" s="44">
        <v>45828</v>
      </c>
      <c r="E3032" s="45">
        <v>48</v>
      </c>
    </row>
    <row r="3033" spans="2:5">
      <c r="B3033" s="43" t="s">
        <v>80</v>
      </c>
      <c r="C3033" s="43" t="s">
        <v>81</v>
      </c>
      <c r="D3033" s="44">
        <v>45828</v>
      </c>
      <c r="E3033" s="45">
        <v>28.7</v>
      </c>
    </row>
    <row r="3034" spans="2:5">
      <c r="B3034" s="43" t="s">
        <v>24</v>
      </c>
      <c r="C3034" s="43" t="s">
        <v>25</v>
      </c>
      <c r="D3034" s="44">
        <v>45828</v>
      </c>
      <c r="E3034" s="45">
        <v>1335.6</v>
      </c>
    </row>
    <row r="3035" spans="2:5">
      <c r="B3035" s="43" t="s">
        <v>222</v>
      </c>
      <c r="C3035" s="43" t="s">
        <v>223</v>
      </c>
      <c r="D3035" s="44">
        <v>45828</v>
      </c>
      <c r="E3035" s="45">
        <v>220.2</v>
      </c>
    </row>
    <row r="3036" spans="2:5">
      <c r="B3036" s="43" t="s">
        <v>28</v>
      </c>
      <c r="C3036" s="43" t="s">
        <v>29</v>
      </c>
      <c r="D3036" s="44">
        <v>45828</v>
      </c>
      <c r="E3036" s="45">
        <v>71.6</v>
      </c>
    </row>
    <row r="3037" spans="2:5">
      <c r="B3037" s="43" t="s">
        <v>62</v>
      </c>
      <c r="C3037" s="43" t="s">
        <v>63</v>
      </c>
      <c r="D3037" s="44">
        <v>45828</v>
      </c>
      <c r="E3037" s="45">
        <v>840.5</v>
      </c>
    </row>
    <row r="3038" spans="2:5">
      <c r="B3038" s="43" t="s">
        <v>64</v>
      </c>
      <c r="C3038" s="43" t="s">
        <v>65</v>
      </c>
      <c r="D3038" s="44">
        <v>45828</v>
      </c>
      <c r="E3038" s="45">
        <v>60</v>
      </c>
    </row>
    <row r="3039" spans="2:5">
      <c r="B3039" s="43" t="s">
        <v>84</v>
      </c>
      <c r="C3039" s="43" t="s">
        <v>85</v>
      </c>
      <c r="D3039" s="44">
        <v>45828</v>
      </c>
      <c r="E3039" s="45">
        <v>49.9</v>
      </c>
    </row>
    <row r="3040" spans="2:5">
      <c r="B3040" s="43" t="s">
        <v>92</v>
      </c>
      <c r="C3040" s="43" t="s">
        <v>93</v>
      </c>
      <c r="D3040" s="44">
        <v>45828</v>
      </c>
      <c r="E3040" s="45">
        <v>180.5</v>
      </c>
    </row>
    <row r="3041" spans="2:5">
      <c r="B3041" s="43" t="s">
        <v>106</v>
      </c>
      <c r="C3041" s="43" t="s">
        <v>107</v>
      </c>
      <c r="D3041" s="44">
        <v>45828</v>
      </c>
      <c r="E3041" s="45">
        <v>15.4</v>
      </c>
    </row>
    <row r="3042" spans="2:5">
      <c r="B3042" s="43" t="s">
        <v>96</v>
      </c>
      <c r="C3042" s="43" t="s">
        <v>97</v>
      </c>
      <c r="D3042" s="44">
        <v>45828</v>
      </c>
      <c r="E3042" s="45">
        <v>17</v>
      </c>
    </row>
    <row r="3043" spans="2:5">
      <c r="B3043" s="43" t="s">
        <v>32</v>
      </c>
      <c r="C3043" s="43" t="s">
        <v>33</v>
      </c>
      <c r="D3043" s="44">
        <v>45828</v>
      </c>
      <c r="E3043" s="45">
        <v>7</v>
      </c>
    </row>
    <row r="3044" spans="2:5">
      <c r="B3044" s="43" t="s">
        <v>170</v>
      </c>
      <c r="C3044" s="43" t="s">
        <v>171</v>
      </c>
      <c r="D3044" s="44">
        <v>45828</v>
      </c>
      <c r="E3044" s="45">
        <v>4</v>
      </c>
    </row>
    <row r="3045" spans="2:5">
      <c r="B3045" s="43" t="s">
        <v>42</v>
      </c>
      <c r="C3045" s="43" t="s">
        <v>43</v>
      </c>
      <c r="D3045" s="44">
        <v>45831</v>
      </c>
      <c r="E3045" s="45">
        <v>96.8</v>
      </c>
    </row>
    <row r="3046" spans="2:5">
      <c r="B3046" s="43" t="s">
        <v>156</v>
      </c>
      <c r="C3046" s="43" t="s">
        <v>157</v>
      </c>
      <c r="D3046" s="44">
        <v>45831</v>
      </c>
      <c r="E3046" s="45">
        <v>124.8</v>
      </c>
    </row>
    <row r="3047" spans="2:5">
      <c r="B3047" s="43" t="s">
        <v>8</v>
      </c>
      <c r="C3047" s="43" t="s">
        <v>9</v>
      </c>
      <c r="D3047" s="44">
        <v>45831</v>
      </c>
      <c r="E3047" s="45">
        <v>60.9</v>
      </c>
    </row>
    <row r="3048" spans="2:5">
      <c r="B3048" s="43" t="s">
        <v>44</v>
      </c>
      <c r="C3048" s="43" t="s">
        <v>45</v>
      </c>
      <c r="D3048" s="44">
        <v>45831</v>
      </c>
      <c r="E3048" s="45">
        <v>153</v>
      </c>
    </row>
    <row r="3049" spans="2:5">
      <c r="B3049" s="43" t="s">
        <v>72</v>
      </c>
      <c r="C3049" s="43" t="s">
        <v>73</v>
      </c>
      <c r="D3049" s="44">
        <v>45831</v>
      </c>
      <c r="E3049" s="45">
        <v>367.2</v>
      </c>
    </row>
    <row r="3050" spans="2:5">
      <c r="B3050" s="43" t="s">
        <v>46</v>
      </c>
      <c r="C3050" s="43" t="s">
        <v>47</v>
      </c>
      <c r="D3050" s="44">
        <v>45831</v>
      </c>
      <c r="E3050" s="45">
        <v>158.2</v>
      </c>
    </row>
    <row r="3051" spans="2:5">
      <c r="B3051" s="43" t="s">
        <v>10</v>
      </c>
      <c r="C3051" s="43" t="s">
        <v>11</v>
      </c>
      <c r="D3051" s="44">
        <v>45831</v>
      </c>
      <c r="E3051" s="45">
        <v>99.45</v>
      </c>
    </row>
    <row r="3052" spans="2:5">
      <c r="B3052" s="43" t="s">
        <v>12</v>
      </c>
      <c r="C3052" s="43" t="s">
        <v>13</v>
      </c>
      <c r="D3052" s="44">
        <v>45831</v>
      </c>
      <c r="E3052" s="45">
        <v>627.6</v>
      </c>
    </row>
    <row r="3053" spans="2:5">
      <c r="B3053" s="43" t="s">
        <v>14</v>
      </c>
      <c r="C3053" s="43" t="s">
        <v>15</v>
      </c>
      <c r="D3053" s="44">
        <v>45831</v>
      </c>
      <c r="E3053" s="45">
        <v>337.5</v>
      </c>
    </row>
    <row r="3054" spans="2:5">
      <c r="B3054" s="43" t="s">
        <v>50</v>
      </c>
      <c r="C3054" s="43" t="s">
        <v>51</v>
      </c>
      <c r="D3054" s="44">
        <v>45831</v>
      </c>
      <c r="E3054" s="45">
        <v>312.8</v>
      </c>
    </row>
    <row r="3055" spans="2:5">
      <c r="B3055" s="43" t="s">
        <v>138</v>
      </c>
      <c r="C3055" s="43" t="s">
        <v>139</v>
      </c>
      <c r="D3055" s="44">
        <v>45831</v>
      </c>
      <c r="E3055" s="45">
        <v>158.5</v>
      </c>
    </row>
    <row r="3056" spans="2:5">
      <c r="B3056" s="43" t="s">
        <v>56</v>
      </c>
      <c r="C3056" s="43" t="s">
        <v>57</v>
      </c>
      <c r="D3056" s="44">
        <v>45831</v>
      </c>
      <c r="E3056" s="45">
        <v>796.4</v>
      </c>
    </row>
    <row r="3057" spans="2:5">
      <c r="B3057" s="43" t="s">
        <v>20</v>
      </c>
      <c r="C3057" s="43" t="s">
        <v>21</v>
      </c>
      <c r="D3057" s="44">
        <v>45831</v>
      </c>
      <c r="E3057" s="45">
        <v>166.6</v>
      </c>
    </row>
    <row r="3058" spans="2:5">
      <c r="B3058" s="43" t="s">
        <v>80</v>
      </c>
      <c r="C3058" s="43" t="s">
        <v>81</v>
      </c>
      <c r="D3058" s="44">
        <v>45831</v>
      </c>
      <c r="E3058" s="45">
        <v>875.35</v>
      </c>
    </row>
    <row r="3059" spans="2:5">
      <c r="B3059" s="43" t="s">
        <v>24</v>
      </c>
      <c r="C3059" s="43" t="s">
        <v>25</v>
      </c>
      <c r="D3059" s="44">
        <v>45831</v>
      </c>
      <c r="E3059" s="45">
        <v>906.3</v>
      </c>
    </row>
    <row r="3060" spans="2:5">
      <c r="B3060" s="43" t="s">
        <v>60</v>
      </c>
      <c r="C3060" s="43" t="s">
        <v>61</v>
      </c>
      <c r="D3060" s="44">
        <v>45831</v>
      </c>
      <c r="E3060" s="45">
        <v>18.3</v>
      </c>
    </row>
    <row r="3061" spans="2:5">
      <c r="B3061" s="43" t="s">
        <v>64</v>
      </c>
      <c r="C3061" s="43" t="s">
        <v>65</v>
      </c>
      <c r="D3061" s="44">
        <v>45831</v>
      </c>
      <c r="E3061" s="45">
        <v>1120</v>
      </c>
    </row>
    <row r="3062" spans="2:5">
      <c r="B3062" s="43" t="s">
        <v>68</v>
      </c>
      <c r="C3062" s="43" t="s">
        <v>69</v>
      </c>
      <c r="D3062" s="44">
        <v>45831</v>
      </c>
      <c r="E3062" s="45">
        <v>574.4</v>
      </c>
    </row>
    <row r="3063" spans="2:5">
      <c r="B3063" s="43" t="s">
        <v>30</v>
      </c>
      <c r="C3063" s="43" t="s">
        <v>31</v>
      </c>
      <c r="D3063" s="44">
        <v>45831</v>
      </c>
      <c r="E3063" s="45">
        <v>2</v>
      </c>
    </row>
    <row r="3064" spans="2:5">
      <c r="B3064" s="43" t="s">
        <v>96</v>
      </c>
      <c r="C3064" s="43" t="s">
        <v>97</v>
      </c>
      <c r="D3064" s="44">
        <v>45831</v>
      </c>
      <c r="E3064" s="45">
        <v>3</v>
      </c>
    </row>
    <row r="3065" spans="2:5">
      <c r="B3065" s="43" t="s">
        <v>32</v>
      </c>
      <c r="C3065" s="43" t="s">
        <v>33</v>
      </c>
      <c r="D3065" s="44">
        <v>45831</v>
      </c>
      <c r="E3065" s="45">
        <v>3</v>
      </c>
    </row>
    <row r="3066" spans="2:5">
      <c r="B3066" s="43" t="s">
        <v>36</v>
      </c>
      <c r="C3066" s="43" t="s">
        <v>37</v>
      </c>
      <c r="D3066" s="44">
        <v>45831</v>
      </c>
      <c r="E3066" s="45">
        <v>5</v>
      </c>
    </row>
    <row r="3067" spans="2:5">
      <c r="B3067" s="43" t="s">
        <v>40</v>
      </c>
      <c r="C3067" s="43" t="s">
        <v>41</v>
      </c>
      <c r="D3067" s="44">
        <v>45832</v>
      </c>
      <c r="E3067" s="45">
        <v>2</v>
      </c>
    </row>
    <row r="3068" spans="2:5">
      <c r="B3068" s="43" t="s">
        <v>4</v>
      </c>
      <c r="C3068" s="43" t="s">
        <v>5</v>
      </c>
      <c r="D3068" s="44">
        <v>45832</v>
      </c>
      <c r="E3068" s="45">
        <v>221.1</v>
      </c>
    </row>
    <row r="3069" spans="2:5">
      <c r="B3069" s="43" t="s">
        <v>8</v>
      </c>
      <c r="C3069" s="43" t="s">
        <v>9</v>
      </c>
      <c r="D3069" s="44">
        <v>45832</v>
      </c>
      <c r="E3069" s="45">
        <v>1574.7</v>
      </c>
    </row>
    <row r="3070" spans="2:5">
      <c r="B3070" s="43" t="s">
        <v>44</v>
      </c>
      <c r="C3070" s="43" t="s">
        <v>45</v>
      </c>
      <c r="D3070" s="44">
        <v>45832</v>
      </c>
      <c r="E3070" s="45">
        <v>340</v>
      </c>
    </row>
    <row r="3071" spans="2:5">
      <c r="B3071" s="43" t="s">
        <v>46</v>
      </c>
      <c r="C3071" s="43" t="s">
        <v>47</v>
      </c>
      <c r="D3071" s="44">
        <v>45832</v>
      </c>
      <c r="E3071" s="45">
        <v>881.4</v>
      </c>
    </row>
    <row r="3072" spans="2:5">
      <c r="B3072" s="43" t="s">
        <v>10</v>
      </c>
      <c r="C3072" s="43" t="s">
        <v>11</v>
      </c>
      <c r="D3072" s="44">
        <v>45832</v>
      </c>
      <c r="E3072" s="45">
        <v>265.2</v>
      </c>
    </row>
    <row r="3073" spans="2:5">
      <c r="B3073" s="43" t="s">
        <v>12</v>
      </c>
      <c r="C3073" s="43" t="s">
        <v>13</v>
      </c>
      <c r="D3073" s="44">
        <v>45832</v>
      </c>
      <c r="E3073" s="45">
        <v>1393.8</v>
      </c>
    </row>
    <row r="3074" spans="2:5">
      <c r="B3074" s="43" t="s">
        <v>14</v>
      </c>
      <c r="C3074" s="43" t="s">
        <v>15</v>
      </c>
      <c r="D3074" s="44">
        <v>45832</v>
      </c>
      <c r="E3074" s="45">
        <v>162</v>
      </c>
    </row>
    <row r="3075" spans="2:5">
      <c r="B3075" s="43" t="s">
        <v>50</v>
      </c>
      <c r="C3075" s="43" t="s">
        <v>51</v>
      </c>
      <c r="D3075" s="44">
        <v>45832</v>
      </c>
      <c r="E3075" s="45">
        <v>272</v>
      </c>
    </row>
    <row r="3076" spans="2:5">
      <c r="B3076" s="43" t="s">
        <v>144</v>
      </c>
      <c r="C3076" s="43" t="s">
        <v>145</v>
      </c>
      <c r="D3076" s="44">
        <v>45832</v>
      </c>
      <c r="E3076" s="45">
        <v>437.4</v>
      </c>
    </row>
    <row r="3077" spans="2:5">
      <c r="B3077" s="43" t="s">
        <v>138</v>
      </c>
      <c r="C3077" s="43" t="s">
        <v>139</v>
      </c>
      <c r="D3077" s="44">
        <v>45832</v>
      </c>
      <c r="E3077" s="45">
        <v>79.25</v>
      </c>
    </row>
    <row r="3078" spans="2:5">
      <c r="B3078" s="43" t="s">
        <v>56</v>
      </c>
      <c r="C3078" s="43" t="s">
        <v>57</v>
      </c>
      <c r="D3078" s="44">
        <v>45832</v>
      </c>
      <c r="E3078" s="45">
        <v>90.5</v>
      </c>
    </row>
    <row r="3079" spans="2:5">
      <c r="B3079" s="43" t="s">
        <v>18</v>
      </c>
      <c r="C3079" s="43" t="s">
        <v>19</v>
      </c>
      <c r="D3079" s="44">
        <v>45832</v>
      </c>
      <c r="E3079" s="45">
        <v>44.5</v>
      </c>
    </row>
    <row r="3080" spans="2:5">
      <c r="B3080" s="43" t="s">
        <v>200</v>
      </c>
      <c r="C3080" s="43" t="s">
        <v>201</v>
      </c>
      <c r="D3080" s="44">
        <v>45832</v>
      </c>
      <c r="E3080" s="45">
        <v>27.5</v>
      </c>
    </row>
    <row r="3081" spans="2:5">
      <c r="B3081" s="43" t="s">
        <v>20</v>
      </c>
      <c r="C3081" s="43" t="s">
        <v>21</v>
      </c>
      <c r="D3081" s="44">
        <v>45832</v>
      </c>
      <c r="E3081" s="45">
        <v>98</v>
      </c>
    </row>
    <row r="3082" spans="2:5">
      <c r="B3082" s="43" t="s">
        <v>140</v>
      </c>
      <c r="C3082" s="43" t="s">
        <v>141</v>
      </c>
      <c r="D3082" s="44">
        <v>45832</v>
      </c>
      <c r="E3082" s="45">
        <v>116</v>
      </c>
    </row>
    <row r="3083" spans="2:5">
      <c r="B3083" s="43" t="s">
        <v>80</v>
      </c>
      <c r="C3083" s="43" t="s">
        <v>81</v>
      </c>
      <c r="D3083" s="44">
        <v>45832</v>
      </c>
      <c r="E3083" s="45">
        <v>243.95</v>
      </c>
    </row>
    <row r="3084" spans="2:5">
      <c r="B3084" s="43" t="s">
        <v>24</v>
      </c>
      <c r="C3084" s="43" t="s">
        <v>25</v>
      </c>
      <c r="D3084" s="44">
        <v>45832</v>
      </c>
      <c r="E3084" s="45">
        <v>1431</v>
      </c>
    </row>
    <row r="3085" spans="2:5">
      <c r="B3085" s="43" t="s">
        <v>26</v>
      </c>
      <c r="C3085" s="43" t="s">
        <v>27</v>
      </c>
      <c r="D3085" s="44">
        <v>45832</v>
      </c>
      <c r="E3085" s="45">
        <v>388.75</v>
      </c>
    </row>
    <row r="3086" spans="2:5">
      <c r="B3086" s="43" t="s">
        <v>222</v>
      </c>
      <c r="C3086" s="43" t="s">
        <v>223</v>
      </c>
      <c r="D3086" s="44">
        <v>45832</v>
      </c>
      <c r="E3086" s="45">
        <v>128.45</v>
      </c>
    </row>
    <row r="3087" spans="2:5">
      <c r="B3087" s="43" t="s">
        <v>28</v>
      </c>
      <c r="C3087" s="43" t="s">
        <v>29</v>
      </c>
      <c r="D3087" s="44">
        <v>45832</v>
      </c>
      <c r="E3087" s="45">
        <v>1253</v>
      </c>
    </row>
    <row r="3088" spans="2:5">
      <c r="B3088" s="43" t="s">
        <v>82</v>
      </c>
      <c r="C3088" s="43" t="s">
        <v>83</v>
      </c>
      <c r="D3088" s="44">
        <v>45832</v>
      </c>
      <c r="E3088" s="45">
        <v>295.2</v>
      </c>
    </row>
    <row r="3089" spans="2:5">
      <c r="B3089" s="43" t="s">
        <v>62</v>
      </c>
      <c r="C3089" s="43" t="s">
        <v>63</v>
      </c>
      <c r="D3089" s="44">
        <v>45832</v>
      </c>
      <c r="E3089" s="45">
        <v>902</v>
      </c>
    </row>
    <row r="3090" spans="2:5">
      <c r="B3090" s="43" t="s">
        <v>64</v>
      </c>
      <c r="C3090" s="43" t="s">
        <v>65</v>
      </c>
      <c r="D3090" s="44">
        <v>45832</v>
      </c>
      <c r="E3090" s="45">
        <v>1380</v>
      </c>
    </row>
    <row r="3091" spans="2:5">
      <c r="B3091" s="43" t="s">
        <v>198</v>
      </c>
      <c r="C3091" s="43" t="s">
        <v>199</v>
      </c>
      <c r="D3091" s="44">
        <v>45832</v>
      </c>
      <c r="E3091" s="45">
        <v>23.1</v>
      </c>
    </row>
    <row r="3092" spans="2:5">
      <c r="B3092" s="43" t="s">
        <v>166</v>
      </c>
      <c r="C3092" s="43" t="s">
        <v>167</v>
      </c>
      <c r="D3092" s="44">
        <v>45832</v>
      </c>
      <c r="E3092" s="45">
        <v>1404.3</v>
      </c>
    </row>
    <row r="3093" spans="2:5">
      <c r="B3093" s="43" t="s">
        <v>172</v>
      </c>
      <c r="C3093" s="43" t="s">
        <v>173</v>
      </c>
      <c r="D3093" s="44">
        <v>45832</v>
      </c>
      <c r="E3093" s="45">
        <v>157.85</v>
      </c>
    </row>
    <row r="3094" spans="2:5">
      <c r="B3094" s="43" t="s">
        <v>186</v>
      </c>
      <c r="C3094" s="43" t="s">
        <v>187</v>
      </c>
      <c r="D3094" s="44">
        <v>45832</v>
      </c>
      <c r="E3094" s="45">
        <v>2013.4</v>
      </c>
    </row>
    <row r="3095" spans="2:5">
      <c r="B3095" s="43" t="s">
        <v>150</v>
      </c>
      <c r="C3095" s="43" t="s">
        <v>151</v>
      </c>
      <c r="D3095" s="44">
        <v>45832</v>
      </c>
      <c r="E3095" s="45">
        <v>459.85</v>
      </c>
    </row>
    <row r="3096" spans="2:5">
      <c r="B3096" s="43" t="s">
        <v>68</v>
      </c>
      <c r="C3096" s="43" t="s">
        <v>69</v>
      </c>
      <c r="D3096" s="44">
        <v>45832</v>
      </c>
      <c r="E3096" s="45">
        <v>3442.7</v>
      </c>
    </row>
    <row r="3097" spans="2:5">
      <c r="B3097" s="43" t="s">
        <v>94</v>
      </c>
      <c r="C3097" s="43" t="s">
        <v>95</v>
      </c>
      <c r="D3097" s="44">
        <v>45832</v>
      </c>
      <c r="E3097" s="45">
        <v>2011.3</v>
      </c>
    </row>
    <row r="3098" spans="2:5">
      <c r="B3098" s="43" t="s">
        <v>106</v>
      </c>
      <c r="C3098" s="43" t="s">
        <v>107</v>
      </c>
      <c r="D3098" s="44">
        <v>45832</v>
      </c>
      <c r="E3098" s="45">
        <v>38.5</v>
      </c>
    </row>
    <row r="3099" spans="2:5">
      <c r="B3099" s="43" t="s">
        <v>96</v>
      </c>
      <c r="C3099" s="43" t="s">
        <v>97</v>
      </c>
      <c r="D3099" s="44">
        <v>45832</v>
      </c>
      <c r="E3099" s="45">
        <v>11</v>
      </c>
    </row>
    <row r="3100" spans="2:5">
      <c r="B3100" s="43" t="s">
        <v>32</v>
      </c>
      <c r="C3100" s="43" t="s">
        <v>33</v>
      </c>
      <c r="D3100" s="44">
        <v>45832</v>
      </c>
      <c r="E3100" s="45">
        <v>31</v>
      </c>
    </row>
    <row r="3101" spans="2:5">
      <c r="B3101" s="43" t="s">
        <v>160</v>
      </c>
      <c r="C3101" s="43" t="s">
        <v>161</v>
      </c>
      <c r="D3101" s="44">
        <v>45832</v>
      </c>
      <c r="E3101" s="45">
        <v>2</v>
      </c>
    </row>
    <row r="3102" spans="2:5">
      <c r="B3102" s="43" t="s">
        <v>154</v>
      </c>
      <c r="C3102" s="43" t="s">
        <v>155</v>
      </c>
      <c r="D3102" s="44">
        <v>45833</v>
      </c>
      <c r="E3102" s="45">
        <v>16</v>
      </c>
    </row>
    <row r="3103" spans="2:5">
      <c r="B3103" s="43" t="s">
        <v>4</v>
      </c>
      <c r="C3103" s="43" t="s">
        <v>5</v>
      </c>
      <c r="D3103" s="44">
        <v>45833</v>
      </c>
      <c r="E3103" s="45">
        <v>348.4</v>
      </c>
    </row>
    <row r="3104" spans="2:5">
      <c r="B3104" s="43" t="s">
        <v>8</v>
      </c>
      <c r="C3104" s="43" t="s">
        <v>9</v>
      </c>
      <c r="D3104" s="44">
        <v>45833</v>
      </c>
      <c r="E3104" s="45">
        <v>452.4</v>
      </c>
    </row>
    <row r="3105" spans="2:5">
      <c r="B3105" s="43" t="s">
        <v>44</v>
      </c>
      <c r="C3105" s="43" t="s">
        <v>45</v>
      </c>
      <c r="D3105" s="44">
        <v>45833</v>
      </c>
      <c r="E3105" s="45">
        <v>68</v>
      </c>
    </row>
    <row r="3106" spans="2:5">
      <c r="B3106" s="43" t="s">
        <v>46</v>
      </c>
      <c r="C3106" s="43" t="s">
        <v>47</v>
      </c>
      <c r="D3106" s="44">
        <v>45833</v>
      </c>
      <c r="E3106" s="45">
        <v>565</v>
      </c>
    </row>
    <row r="3107" spans="2:5">
      <c r="B3107" s="43" t="s">
        <v>178</v>
      </c>
      <c r="C3107" s="43" t="s">
        <v>179</v>
      </c>
      <c r="D3107" s="44">
        <v>45833</v>
      </c>
      <c r="E3107" s="45">
        <v>594</v>
      </c>
    </row>
    <row r="3108" spans="2:5">
      <c r="B3108" s="43" t="s">
        <v>48</v>
      </c>
      <c r="C3108" s="43" t="s">
        <v>49</v>
      </c>
      <c r="D3108" s="44">
        <v>45833</v>
      </c>
      <c r="E3108" s="45">
        <v>91.2</v>
      </c>
    </row>
    <row r="3109" spans="2:5">
      <c r="B3109" s="43" t="s">
        <v>14</v>
      </c>
      <c r="C3109" s="43" t="s">
        <v>15</v>
      </c>
      <c r="D3109" s="44">
        <v>45833</v>
      </c>
      <c r="E3109" s="45">
        <v>162</v>
      </c>
    </row>
    <row r="3110" spans="2:5">
      <c r="B3110" s="43" t="s">
        <v>50</v>
      </c>
      <c r="C3110" s="43" t="s">
        <v>51</v>
      </c>
      <c r="D3110" s="44">
        <v>45833</v>
      </c>
      <c r="E3110" s="45">
        <v>95.2</v>
      </c>
    </row>
    <row r="3111" spans="2:5">
      <c r="B3111" s="43" t="s">
        <v>144</v>
      </c>
      <c r="C3111" s="43" t="s">
        <v>145</v>
      </c>
      <c r="D3111" s="44">
        <v>45833</v>
      </c>
      <c r="E3111" s="45">
        <v>324</v>
      </c>
    </row>
    <row r="3112" spans="2:5">
      <c r="B3112" s="43" t="s">
        <v>56</v>
      </c>
      <c r="C3112" s="43" t="s">
        <v>57</v>
      </c>
      <c r="D3112" s="44">
        <v>45833</v>
      </c>
      <c r="E3112" s="45">
        <v>162.9</v>
      </c>
    </row>
    <row r="3113" spans="2:5">
      <c r="B3113" s="43" t="s">
        <v>16</v>
      </c>
      <c r="C3113" s="43" t="s">
        <v>17</v>
      </c>
      <c r="D3113" s="44">
        <v>45833</v>
      </c>
      <c r="E3113" s="45">
        <v>228</v>
      </c>
    </row>
    <row r="3114" spans="2:5">
      <c r="B3114" s="43" t="s">
        <v>20</v>
      </c>
      <c r="C3114" s="43" t="s">
        <v>21</v>
      </c>
      <c r="D3114" s="44">
        <v>45833</v>
      </c>
      <c r="E3114" s="45">
        <v>68.6</v>
      </c>
    </row>
    <row r="3115" spans="2:5">
      <c r="B3115" s="43" t="s">
        <v>80</v>
      </c>
      <c r="C3115" s="43" t="s">
        <v>81</v>
      </c>
      <c r="D3115" s="44">
        <v>45833</v>
      </c>
      <c r="E3115" s="45">
        <v>3415.3</v>
      </c>
    </row>
    <row r="3116" spans="2:5">
      <c r="B3116" s="43" t="s">
        <v>24</v>
      </c>
      <c r="C3116" s="43" t="s">
        <v>25</v>
      </c>
      <c r="D3116" s="44">
        <v>45833</v>
      </c>
      <c r="E3116" s="45">
        <v>1605.9</v>
      </c>
    </row>
    <row r="3117" spans="2:5">
      <c r="B3117" s="43" t="s">
        <v>58</v>
      </c>
      <c r="C3117" s="43" t="s">
        <v>59</v>
      </c>
      <c r="D3117" s="44">
        <v>45833</v>
      </c>
      <c r="E3117" s="45">
        <v>566.4</v>
      </c>
    </row>
    <row r="3118" spans="2:5">
      <c r="B3118" s="43" t="s">
        <v>60</v>
      </c>
      <c r="C3118" s="43" t="s">
        <v>61</v>
      </c>
      <c r="D3118" s="44">
        <v>45833</v>
      </c>
      <c r="E3118" s="45">
        <v>475.8</v>
      </c>
    </row>
    <row r="3119" spans="2:5">
      <c r="B3119" s="43" t="s">
        <v>28</v>
      </c>
      <c r="C3119" s="43" t="s">
        <v>29</v>
      </c>
      <c r="D3119" s="44">
        <v>45833</v>
      </c>
      <c r="E3119" s="45">
        <v>71.6</v>
      </c>
    </row>
    <row r="3120" spans="2:5">
      <c r="B3120" s="43" t="s">
        <v>62</v>
      </c>
      <c r="C3120" s="43" t="s">
        <v>63</v>
      </c>
      <c r="D3120" s="44">
        <v>45833</v>
      </c>
      <c r="E3120" s="45">
        <v>164</v>
      </c>
    </row>
    <row r="3121" spans="2:5">
      <c r="B3121" s="43" t="s">
        <v>64</v>
      </c>
      <c r="C3121" s="43" t="s">
        <v>65</v>
      </c>
      <c r="D3121" s="44">
        <v>45833</v>
      </c>
      <c r="E3121" s="45">
        <v>240</v>
      </c>
    </row>
    <row r="3122" spans="2:5">
      <c r="B3122" s="43" t="s">
        <v>84</v>
      </c>
      <c r="C3122" s="43" t="s">
        <v>85</v>
      </c>
      <c r="D3122" s="44">
        <v>45833</v>
      </c>
      <c r="E3122" s="45">
        <v>349.3</v>
      </c>
    </row>
    <row r="3123" spans="2:5">
      <c r="B3123" s="43" t="s">
        <v>142</v>
      </c>
      <c r="C3123" s="43" t="s">
        <v>143</v>
      </c>
      <c r="D3123" s="44">
        <v>45833</v>
      </c>
      <c r="E3123" s="45">
        <v>1</v>
      </c>
    </row>
    <row r="3124" spans="2:5">
      <c r="B3124" s="43" t="s">
        <v>96</v>
      </c>
      <c r="C3124" s="43" t="s">
        <v>97</v>
      </c>
      <c r="D3124" s="44">
        <v>45833</v>
      </c>
      <c r="E3124" s="45">
        <v>1</v>
      </c>
    </row>
    <row r="3125" spans="2:5">
      <c r="B3125" s="43" t="s">
        <v>224</v>
      </c>
      <c r="C3125" s="43" t="s">
        <v>225</v>
      </c>
      <c r="D3125" s="44">
        <v>45833</v>
      </c>
      <c r="E3125" s="45">
        <v>53</v>
      </c>
    </row>
    <row r="3126" spans="2:5">
      <c r="B3126" s="43" t="s">
        <v>32</v>
      </c>
      <c r="C3126" s="43" t="s">
        <v>33</v>
      </c>
      <c r="D3126" s="44">
        <v>45833</v>
      </c>
      <c r="E3126" s="45">
        <v>9</v>
      </c>
    </row>
    <row r="3127" spans="2:5">
      <c r="B3127" s="43" t="s">
        <v>226</v>
      </c>
      <c r="C3127" s="43" t="s">
        <v>227</v>
      </c>
      <c r="D3127" s="44">
        <v>45833</v>
      </c>
      <c r="E3127" s="45">
        <v>3</v>
      </c>
    </row>
    <row r="3128" spans="2:5">
      <c r="B3128" s="43" t="s">
        <v>170</v>
      </c>
      <c r="C3128" s="43" t="s">
        <v>171</v>
      </c>
      <c r="D3128" s="44">
        <v>45833</v>
      </c>
      <c r="E3128" s="45">
        <v>1</v>
      </c>
    </row>
    <row r="3129" spans="2:5">
      <c r="B3129" s="43" t="s">
        <v>156</v>
      </c>
      <c r="C3129" s="43" t="s">
        <v>157</v>
      </c>
      <c r="D3129" s="44">
        <v>45834</v>
      </c>
      <c r="E3129" s="45">
        <v>15.6</v>
      </c>
    </row>
    <row r="3130" spans="2:5">
      <c r="B3130" s="43" t="s">
        <v>8</v>
      </c>
      <c r="C3130" s="43" t="s">
        <v>9</v>
      </c>
      <c r="D3130" s="44">
        <v>45834</v>
      </c>
      <c r="E3130" s="45">
        <v>95.7</v>
      </c>
    </row>
    <row r="3131" spans="2:5">
      <c r="B3131" s="43" t="s">
        <v>44</v>
      </c>
      <c r="C3131" s="43" t="s">
        <v>45</v>
      </c>
      <c r="D3131" s="44">
        <v>45834</v>
      </c>
      <c r="E3131" s="45">
        <v>178.5</v>
      </c>
    </row>
    <row r="3132" spans="2:5">
      <c r="B3132" s="43" t="s">
        <v>72</v>
      </c>
      <c r="C3132" s="43" t="s">
        <v>73</v>
      </c>
      <c r="D3132" s="44">
        <v>45834</v>
      </c>
      <c r="E3132" s="45">
        <v>71.4</v>
      </c>
    </row>
    <row r="3133" spans="2:5">
      <c r="B3133" s="43" t="s">
        <v>46</v>
      </c>
      <c r="C3133" s="43" t="s">
        <v>47</v>
      </c>
      <c r="D3133" s="44">
        <v>45834</v>
      </c>
      <c r="E3133" s="45">
        <v>282.5</v>
      </c>
    </row>
    <row r="3134" spans="2:5">
      <c r="B3134" s="43" t="s">
        <v>10</v>
      </c>
      <c r="C3134" s="43" t="s">
        <v>11</v>
      </c>
      <c r="D3134" s="44">
        <v>45834</v>
      </c>
      <c r="E3134" s="45">
        <v>33.15</v>
      </c>
    </row>
    <row r="3135" spans="2:5">
      <c r="B3135" s="43" t="s">
        <v>74</v>
      </c>
      <c r="C3135" s="43" t="s">
        <v>75</v>
      </c>
      <c r="D3135" s="44">
        <v>45834</v>
      </c>
      <c r="E3135" s="45">
        <v>1058.25</v>
      </c>
    </row>
    <row r="3136" spans="2:5">
      <c r="B3136" s="43" t="s">
        <v>12</v>
      </c>
      <c r="C3136" s="43" t="s">
        <v>13</v>
      </c>
      <c r="D3136" s="44">
        <v>45834</v>
      </c>
      <c r="E3136" s="45">
        <v>27.6</v>
      </c>
    </row>
    <row r="3137" spans="2:5">
      <c r="B3137" s="43" t="s">
        <v>108</v>
      </c>
      <c r="C3137" s="43" t="s">
        <v>109</v>
      </c>
      <c r="D3137" s="44">
        <v>45834</v>
      </c>
      <c r="E3137" s="45">
        <v>480.5</v>
      </c>
    </row>
    <row r="3138" spans="2:5">
      <c r="B3138" s="43" t="s">
        <v>178</v>
      </c>
      <c r="C3138" s="43" t="s">
        <v>179</v>
      </c>
      <c r="D3138" s="44">
        <v>45834</v>
      </c>
      <c r="E3138" s="45">
        <v>900</v>
      </c>
    </row>
    <row r="3139" spans="2:5">
      <c r="B3139" s="43" t="s">
        <v>14</v>
      </c>
      <c r="C3139" s="43" t="s">
        <v>15</v>
      </c>
      <c r="D3139" s="44">
        <v>45834</v>
      </c>
      <c r="E3139" s="45">
        <v>459</v>
      </c>
    </row>
    <row r="3140" spans="2:5">
      <c r="B3140" s="43" t="s">
        <v>144</v>
      </c>
      <c r="C3140" s="43" t="s">
        <v>145</v>
      </c>
      <c r="D3140" s="44">
        <v>45834</v>
      </c>
      <c r="E3140" s="45">
        <v>1134</v>
      </c>
    </row>
    <row r="3141" spans="2:5">
      <c r="B3141" s="43" t="s">
        <v>56</v>
      </c>
      <c r="C3141" s="43" t="s">
        <v>57</v>
      </c>
      <c r="D3141" s="44">
        <v>45834</v>
      </c>
      <c r="E3141" s="45">
        <v>18.1</v>
      </c>
    </row>
    <row r="3142" spans="2:5">
      <c r="B3142" s="43" t="s">
        <v>76</v>
      </c>
      <c r="C3142" s="43" t="s">
        <v>77</v>
      </c>
      <c r="D3142" s="44">
        <v>45834</v>
      </c>
      <c r="E3142" s="45">
        <v>229.45</v>
      </c>
    </row>
    <row r="3143" spans="2:5">
      <c r="B3143" s="43" t="s">
        <v>190</v>
      </c>
      <c r="C3143" s="43" t="s">
        <v>191</v>
      </c>
      <c r="D3143" s="44">
        <v>45834</v>
      </c>
      <c r="E3143" s="45">
        <v>567</v>
      </c>
    </row>
    <row r="3144" spans="2:5">
      <c r="B3144" s="43" t="s">
        <v>18</v>
      </c>
      <c r="C3144" s="43" t="s">
        <v>19</v>
      </c>
      <c r="D3144" s="44">
        <v>45834</v>
      </c>
      <c r="E3144" s="45">
        <v>22.25</v>
      </c>
    </row>
    <row r="3145" spans="2:5">
      <c r="B3145" s="43" t="s">
        <v>20</v>
      </c>
      <c r="C3145" s="43" t="s">
        <v>21</v>
      </c>
      <c r="D3145" s="44">
        <v>45834</v>
      </c>
      <c r="E3145" s="45">
        <v>392</v>
      </c>
    </row>
    <row r="3146" spans="2:5">
      <c r="B3146" s="43" t="s">
        <v>22</v>
      </c>
      <c r="C3146" s="43" t="s">
        <v>23</v>
      </c>
      <c r="D3146" s="44">
        <v>45834</v>
      </c>
      <c r="E3146" s="45">
        <v>9.6</v>
      </c>
    </row>
    <row r="3147" spans="2:5">
      <c r="B3147" s="43" t="s">
        <v>24</v>
      </c>
      <c r="C3147" s="43" t="s">
        <v>25</v>
      </c>
      <c r="D3147" s="44">
        <v>45834</v>
      </c>
      <c r="E3147" s="45">
        <v>1462.8</v>
      </c>
    </row>
    <row r="3148" spans="2:5">
      <c r="B3148" s="43" t="s">
        <v>58</v>
      </c>
      <c r="C3148" s="43" t="s">
        <v>59</v>
      </c>
      <c r="D3148" s="44">
        <v>45834</v>
      </c>
      <c r="E3148" s="45">
        <v>955.8</v>
      </c>
    </row>
    <row r="3149" spans="2:5">
      <c r="B3149" s="43" t="s">
        <v>26</v>
      </c>
      <c r="C3149" s="43" t="s">
        <v>27</v>
      </c>
      <c r="D3149" s="44">
        <v>45834</v>
      </c>
      <c r="E3149" s="45">
        <v>46.65</v>
      </c>
    </row>
    <row r="3150" spans="2:5">
      <c r="B3150" s="43" t="s">
        <v>60</v>
      </c>
      <c r="C3150" s="43" t="s">
        <v>61</v>
      </c>
      <c r="D3150" s="44">
        <v>45834</v>
      </c>
      <c r="E3150" s="45">
        <v>54.9</v>
      </c>
    </row>
    <row r="3151" spans="2:5">
      <c r="B3151" s="43" t="s">
        <v>28</v>
      </c>
      <c r="C3151" s="43" t="s">
        <v>29</v>
      </c>
      <c r="D3151" s="44">
        <v>45834</v>
      </c>
      <c r="E3151" s="45">
        <v>608.6</v>
      </c>
    </row>
    <row r="3152" spans="2:5">
      <c r="B3152" s="43" t="s">
        <v>82</v>
      </c>
      <c r="C3152" s="43" t="s">
        <v>83</v>
      </c>
      <c r="D3152" s="44">
        <v>45834</v>
      </c>
      <c r="E3152" s="45">
        <v>184.5</v>
      </c>
    </row>
    <row r="3153" spans="2:5">
      <c r="B3153" s="43" t="s">
        <v>62</v>
      </c>
      <c r="C3153" s="43" t="s">
        <v>63</v>
      </c>
      <c r="D3153" s="44">
        <v>45834</v>
      </c>
      <c r="E3153" s="45">
        <v>184.5</v>
      </c>
    </row>
    <row r="3154" spans="2:5">
      <c r="B3154" s="43" t="s">
        <v>148</v>
      </c>
      <c r="C3154" s="43" t="s">
        <v>149</v>
      </c>
      <c r="D3154" s="44">
        <v>45834</v>
      </c>
      <c r="E3154" s="45">
        <v>1648.8</v>
      </c>
    </row>
    <row r="3155" spans="2:5">
      <c r="B3155" s="43" t="s">
        <v>90</v>
      </c>
      <c r="C3155" s="43" t="s">
        <v>91</v>
      </c>
      <c r="D3155" s="44">
        <v>45834</v>
      </c>
      <c r="E3155" s="45">
        <v>26.7</v>
      </c>
    </row>
    <row r="3156" spans="2:5">
      <c r="B3156" s="43" t="s">
        <v>64</v>
      </c>
      <c r="C3156" s="43" t="s">
        <v>65</v>
      </c>
      <c r="D3156" s="44">
        <v>45834</v>
      </c>
      <c r="E3156" s="45">
        <v>460</v>
      </c>
    </row>
    <row r="3157" spans="2:5">
      <c r="B3157" s="43" t="s">
        <v>172</v>
      </c>
      <c r="C3157" s="43" t="s">
        <v>173</v>
      </c>
      <c r="D3157" s="44">
        <v>45834</v>
      </c>
      <c r="E3157" s="45">
        <v>248.05</v>
      </c>
    </row>
    <row r="3158" spans="2:5">
      <c r="B3158" s="43" t="s">
        <v>150</v>
      </c>
      <c r="C3158" s="43" t="s">
        <v>151</v>
      </c>
      <c r="D3158" s="44">
        <v>45834</v>
      </c>
      <c r="E3158" s="45">
        <v>81.15</v>
      </c>
    </row>
    <row r="3159" spans="2:5">
      <c r="B3159" s="43" t="s">
        <v>96</v>
      </c>
      <c r="C3159" s="43" t="s">
        <v>97</v>
      </c>
      <c r="D3159" s="44">
        <v>45834</v>
      </c>
      <c r="E3159" s="45">
        <v>15</v>
      </c>
    </row>
    <row r="3160" spans="2:5">
      <c r="B3160" s="43" t="s">
        <v>224</v>
      </c>
      <c r="C3160" s="43" t="s">
        <v>225</v>
      </c>
      <c r="D3160" s="44">
        <v>45834</v>
      </c>
      <c r="E3160" s="45">
        <v>109</v>
      </c>
    </row>
    <row r="3161" spans="2:5">
      <c r="B3161" s="43" t="s">
        <v>32</v>
      </c>
      <c r="C3161" s="43" t="s">
        <v>33</v>
      </c>
      <c r="D3161" s="44">
        <v>45834</v>
      </c>
      <c r="E3161" s="45">
        <v>4</v>
      </c>
    </row>
    <row r="3162" spans="2:5">
      <c r="B3162" s="43" t="s">
        <v>226</v>
      </c>
      <c r="C3162" s="43" t="s">
        <v>227</v>
      </c>
      <c r="D3162" s="44">
        <v>45834</v>
      </c>
      <c r="E3162" s="45">
        <v>6</v>
      </c>
    </row>
    <row r="3163" spans="2:5">
      <c r="B3163" s="43" t="s">
        <v>98</v>
      </c>
      <c r="C3163" s="43" t="s">
        <v>99</v>
      </c>
      <c r="D3163" s="44">
        <v>45834</v>
      </c>
      <c r="E3163" s="45">
        <v>4</v>
      </c>
    </row>
    <row r="3164" spans="2:5">
      <c r="B3164" s="43" t="s">
        <v>12</v>
      </c>
      <c r="C3164" s="43" t="s">
        <v>13</v>
      </c>
      <c r="D3164" s="44">
        <v>45835</v>
      </c>
      <c r="E3164" s="45">
        <v>262.2</v>
      </c>
    </row>
    <row r="3165" spans="2:5">
      <c r="B3165" s="43" t="s">
        <v>114</v>
      </c>
      <c r="C3165" s="43" t="s">
        <v>115</v>
      </c>
      <c r="D3165" s="44">
        <v>45835</v>
      </c>
      <c r="E3165" s="45">
        <v>199.5</v>
      </c>
    </row>
    <row r="3166" spans="2:5">
      <c r="B3166" s="43" t="s">
        <v>56</v>
      </c>
      <c r="C3166" s="43" t="s">
        <v>57</v>
      </c>
      <c r="D3166" s="44">
        <v>45835</v>
      </c>
      <c r="E3166" s="45">
        <v>217.2</v>
      </c>
    </row>
    <row r="3167" spans="2:5">
      <c r="B3167" s="43" t="s">
        <v>76</v>
      </c>
      <c r="C3167" s="43" t="s">
        <v>77</v>
      </c>
      <c r="D3167" s="44">
        <v>45835</v>
      </c>
      <c r="E3167" s="45">
        <v>282.4</v>
      </c>
    </row>
    <row r="3168" spans="2:5">
      <c r="B3168" s="43" t="s">
        <v>22</v>
      </c>
      <c r="C3168" s="43" t="s">
        <v>23</v>
      </c>
      <c r="D3168" s="44">
        <v>45835</v>
      </c>
      <c r="E3168" s="45">
        <v>9.6</v>
      </c>
    </row>
    <row r="3169" spans="2:5">
      <c r="B3169" s="43" t="s">
        <v>28</v>
      </c>
      <c r="C3169" s="43" t="s">
        <v>29</v>
      </c>
      <c r="D3169" s="44">
        <v>45835</v>
      </c>
      <c r="E3169" s="45">
        <v>751.8</v>
      </c>
    </row>
    <row r="3170" spans="2:5">
      <c r="B3170" s="43" t="s">
        <v>64</v>
      </c>
      <c r="C3170" s="43" t="s">
        <v>65</v>
      </c>
      <c r="D3170" s="44">
        <v>45835</v>
      </c>
      <c r="E3170" s="45">
        <v>500</v>
      </c>
    </row>
    <row r="3171" spans="2:5">
      <c r="B3171" s="43" t="s">
        <v>106</v>
      </c>
      <c r="C3171" s="43" t="s">
        <v>107</v>
      </c>
      <c r="D3171" s="44">
        <v>45835</v>
      </c>
      <c r="E3171" s="45">
        <v>23.1</v>
      </c>
    </row>
    <row r="3172" spans="2:5">
      <c r="B3172" s="43" t="s">
        <v>96</v>
      </c>
      <c r="C3172" s="43" t="s">
        <v>97</v>
      </c>
      <c r="D3172" s="44">
        <v>45835</v>
      </c>
      <c r="E3172" s="45">
        <v>1</v>
      </c>
    </row>
    <row r="3173" spans="2:5">
      <c r="B3173" s="43" t="s">
        <v>32</v>
      </c>
      <c r="C3173" s="43" t="s">
        <v>33</v>
      </c>
      <c r="D3173" s="44">
        <v>45835</v>
      </c>
      <c r="E3173" s="45">
        <v>4</v>
      </c>
    </row>
    <row r="3174" spans="2:5">
      <c r="B3174" s="43" t="s">
        <v>4</v>
      </c>
      <c r="C3174" s="43" t="s">
        <v>5</v>
      </c>
      <c r="D3174" s="44">
        <v>45838</v>
      </c>
      <c r="E3174" s="45">
        <v>227.8</v>
      </c>
    </row>
    <row r="3175" spans="2:5">
      <c r="B3175" s="43" t="s">
        <v>156</v>
      </c>
      <c r="C3175" s="43" t="s">
        <v>157</v>
      </c>
      <c r="D3175" s="44">
        <v>45838</v>
      </c>
      <c r="E3175" s="45">
        <v>7.8</v>
      </c>
    </row>
    <row r="3176" spans="2:5">
      <c r="B3176" s="43" t="s">
        <v>8</v>
      </c>
      <c r="C3176" s="43" t="s">
        <v>9</v>
      </c>
      <c r="D3176" s="44">
        <v>45838</v>
      </c>
      <c r="E3176" s="45">
        <v>435</v>
      </c>
    </row>
    <row r="3177" spans="2:5">
      <c r="B3177" s="43" t="s">
        <v>72</v>
      </c>
      <c r="C3177" s="43" t="s">
        <v>73</v>
      </c>
      <c r="D3177" s="44">
        <v>45838</v>
      </c>
      <c r="E3177" s="45">
        <v>102</v>
      </c>
    </row>
    <row r="3178" spans="2:5">
      <c r="B3178" s="43" t="s">
        <v>46</v>
      </c>
      <c r="C3178" s="43" t="s">
        <v>47</v>
      </c>
      <c r="D3178" s="44">
        <v>45838</v>
      </c>
      <c r="E3178" s="45">
        <v>587.6</v>
      </c>
    </row>
    <row r="3179" spans="2:5">
      <c r="B3179" s="43" t="s">
        <v>74</v>
      </c>
      <c r="C3179" s="43" t="s">
        <v>75</v>
      </c>
      <c r="D3179" s="44">
        <v>45838</v>
      </c>
      <c r="E3179" s="45">
        <v>186.75</v>
      </c>
    </row>
    <row r="3180" spans="2:5">
      <c r="B3180" s="43" t="s">
        <v>12</v>
      </c>
      <c r="C3180" s="43" t="s">
        <v>13</v>
      </c>
      <c r="D3180" s="44">
        <v>45838</v>
      </c>
      <c r="E3180" s="45">
        <v>593.4</v>
      </c>
    </row>
    <row r="3181" spans="2:5">
      <c r="B3181" s="43" t="s">
        <v>178</v>
      </c>
      <c r="C3181" s="43" t="s">
        <v>179</v>
      </c>
      <c r="D3181" s="44">
        <v>45838</v>
      </c>
      <c r="E3181" s="45">
        <v>540</v>
      </c>
    </row>
    <row r="3182" spans="2:5">
      <c r="B3182" s="43" t="s">
        <v>14</v>
      </c>
      <c r="C3182" s="43" t="s">
        <v>15</v>
      </c>
      <c r="D3182" s="44">
        <v>45838</v>
      </c>
      <c r="E3182" s="45">
        <v>364.5</v>
      </c>
    </row>
    <row r="3183" spans="2:5">
      <c r="B3183" s="43" t="s">
        <v>50</v>
      </c>
      <c r="C3183" s="43" t="s">
        <v>51</v>
      </c>
      <c r="D3183" s="44">
        <v>45838</v>
      </c>
      <c r="E3183" s="45">
        <v>217.6</v>
      </c>
    </row>
    <row r="3184" spans="2:5">
      <c r="B3184" s="43" t="s">
        <v>56</v>
      </c>
      <c r="C3184" s="43" t="s">
        <v>57</v>
      </c>
      <c r="D3184" s="44">
        <v>45838</v>
      </c>
      <c r="E3184" s="45">
        <v>362</v>
      </c>
    </row>
    <row r="3185" spans="2:5">
      <c r="B3185" s="43" t="s">
        <v>162</v>
      </c>
      <c r="C3185" s="43" t="s">
        <v>163</v>
      </c>
      <c r="D3185" s="44">
        <v>45838</v>
      </c>
      <c r="E3185" s="45">
        <v>666.6</v>
      </c>
    </row>
    <row r="3186" spans="2:5">
      <c r="B3186" s="43" t="s">
        <v>16</v>
      </c>
      <c r="C3186" s="43" t="s">
        <v>17</v>
      </c>
      <c r="D3186" s="44">
        <v>45838</v>
      </c>
      <c r="E3186" s="45">
        <v>22.8</v>
      </c>
    </row>
    <row r="3187" spans="2:5">
      <c r="B3187" s="43" t="s">
        <v>20</v>
      </c>
      <c r="C3187" s="43" t="s">
        <v>21</v>
      </c>
      <c r="D3187" s="44">
        <v>45838</v>
      </c>
      <c r="E3187" s="45">
        <v>333.2</v>
      </c>
    </row>
    <row r="3188" spans="2:5">
      <c r="B3188" s="43" t="s">
        <v>22</v>
      </c>
      <c r="C3188" s="43" t="s">
        <v>23</v>
      </c>
      <c r="D3188" s="44">
        <v>45838</v>
      </c>
      <c r="E3188" s="45">
        <v>19.2</v>
      </c>
    </row>
    <row r="3189" spans="2:5">
      <c r="B3189" s="43" t="s">
        <v>24</v>
      </c>
      <c r="C3189" s="43" t="s">
        <v>25</v>
      </c>
      <c r="D3189" s="44">
        <v>45838</v>
      </c>
      <c r="E3189" s="45">
        <v>874.5</v>
      </c>
    </row>
    <row r="3190" spans="2:5">
      <c r="B3190" s="43" t="s">
        <v>62</v>
      </c>
      <c r="C3190" s="43" t="s">
        <v>63</v>
      </c>
      <c r="D3190" s="44">
        <v>45838</v>
      </c>
      <c r="E3190" s="45">
        <v>943</v>
      </c>
    </row>
    <row r="3191" spans="2:5">
      <c r="B3191" s="43" t="s">
        <v>64</v>
      </c>
      <c r="C3191" s="43" t="s">
        <v>65</v>
      </c>
      <c r="D3191" s="44">
        <v>45838</v>
      </c>
      <c r="E3191" s="45">
        <v>600</v>
      </c>
    </row>
    <row r="3192" spans="2:5">
      <c r="B3192" s="43" t="s">
        <v>228</v>
      </c>
      <c r="C3192" s="43" t="s">
        <v>229</v>
      </c>
      <c r="D3192" s="44">
        <v>45838</v>
      </c>
      <c r="E3192" s="45">
        <v>141.6</v>
      </c>
    </row>
    <row r="3193" spans="2:5">
      <c r="B3193" s="43" t="s">
        <v>198</v>
      </c>
      <c r="C3193" s="43" t="s">
        <v>199</v>
      </c>
      <c r="D3193" s="44">
        <v>45838</v>
      </c>
      <c r="E3193" s="45">
        <v>92.4</v>
      </c>
    </row>
    <row r="3194" spans="2:5">
      <c r="B3194" s="43" t="s">
        <v>208</v>
      </c>
      <c r="C3194" s="43" t="s">
        <v>209</v>
      </c>
      <c r="D3194" s="44">
        <v>45838</v>
      </c>
      <c r="E3194" s="45">
        <v>140</v>
      </c>
    </row>
    <row r="3195" spans="2:5">
      <c r="B3195" s="43" t="s">
        <v>106</v>
      </c>
      <c r="C3195" s="43" t="s">
        <v>107</v>
      </c>
      <c r="D3195" s="44">
        <v>45838</v>
      </c>
      <c r="E3195" s="45">
        <v>7.7</v>
      </c>
    </row>
    <row r="3196" spans="2:5">
      <c r="B3196" s="43" t="s">
        <v>142</v>
      </c>
      <c r="C3196" s="43" t="s">
        <v>143</v>
      </c>
      <c r="D3196" s="44">
        <v>45838</v>
      </c>
      <c r="E3196" s="45">
        <v>11</v>
      </c>
    </row>
    <row r="3197" spans="2:5">
      <c r="B3197" s="43" t="s">
        <v>196</v>
      </c>
      <c r="C3197" s="43" t="s">
        <v>197</v>
      </c>
      <c r="D3197" s="44">
        <v>45838</v>
      </c>
      <c r="E3197" s="45">
        <v>3</v>
      </c>
    </row>
    <row r="3198" spans="2:5">
      <c r="B3198" s="43" t="s">
        <v>96</v>
      </c>
      <c r="C3198" s="43" t="s">
        <v>97</v>
      </c>
      <c r="D3198" s="44">
        <v>45838</v>
      </c>
      <c r="E3198" s="45">
        <v>11</v>
      </c>
    </row>
    <row r="3199" spans="2:5">
      <c r="B3199" s="43" t="s">
        <v>224</v>
      </c>
      <c r="C3199" s="43" t="s">
        <v>225</v>
      </c>
      <c r="D3199" s="44">
        <v>45838</v>
      </c>
      <c r="E3199" s="45">
        <v>14</v>
      </c>
    </row>
    <row r="3200" spans="2:5">
      <c r="B3200" s="43" t="s">
        <v>226</v>
      </c>
      <c r="C3200" s="43" t="s">
        <v>227</v>
      </c>
      <c r="D3200" s="44">
        <v>45838</v>
      </c>
      <c r="E3200" s="45">
        <v>4</v>
      </c>
    </row>
    <row r="3201" spans="2:5">
      <c r="B3201" s="43" t="s">
        <v>34</v>
      </c>
      <c r="C3201" s="43" t="s">
        <v>35</v>
      </c>
      <c r="D3201" s="44">
        <v>45838</v>
      </c>
      <c r="E3201" s="45">
        <v>10</v>
      </c>
    </row>
    <row r="3202" spans="2:5">
      <c r="B3202" s="43" t="s">
        <v>156</v>
      </c>
      <c r="C3202" s="43" t="s">
        <v>157</v>
      </c>
      <c r="D3202" s="44">
        <v>45839</v>
      </c>
      <c r="E3202" s="45">
        <v>7.8</v>
      </c>
    </row>
    <row r="3203" spans="2:5">
      <c r="B3203" s="43" t="s">
        <v>8</v>
      </c>
      <c r="C3203" s="43" t="s">
        <v>9</v>
      </c>
      <c r="D3203" s="44">
        <v>45839</v>
      </c>
      <c r="E3203" s="45">
        <v>78.3</v>
      </c>
    </row>
    <row r="3204" spans="2:5">
      <c r="B3204" s="43" t="s">
        <v>44</v>
      </c>
      <c r="C3204" s="43" t="s">
        <v>45</v>
      </c>
      <c r="D3204" s="44">
        <v>45839</v>
      </c>
      <c r="E3204" s="45">
        <v>17</v>
      </c>
    </row>
    <row r="3205" spans="2:5">
      <c r="B3205" s="43" t="s">
        <v>72</v>
      </c>
      <c r="C3205" s="43" t="s">
        <v>73</v>
      </c>
      <c r="D3205" s="44">
        <v>45839</v>
      </c>
      <c r="E3205" s="45">
        <v>142.8</v>
      </c>
    </row>
    <row r="3206" spans="2:5">
      <c r="B3206" s="43" t="s">
        <v>46</v>
      </c>
      <c r="C3206" s="43" t="s">
        <v>47</v>
      </c>
      <c r="D3206" s="44">
        <v>45839</v>
      </c>
      <c r="E3206" s="45">
        <v>282.5</v>
      </c>
    </row>
    <row r="3207" spans="2:5">
      <c r="B3207" s="43" t="s">
        <v>74</v>
      </c>
      <c r="C3207" s="43" t="s">
        <v>75</v>
      </c>
      <c r="D3207" s="44">
        <v>45839</v>
      </c>
      <c r="E3207" s="45">
        <v>398.4</v>
      </c>
    </row>
    <row r="3208" spans="2:5">
      <c r="B3208" s="43" t="s">
        <v>12</v>
      </c>
      <c r="C3208" s="43" t="s">
        <v>13</v>
      </c>
      <c r="D3208" s="44">
        <v>45839</v>
      </c>
      <c r="E3208" s="45">
        <v>331.2</v>
      </c>
    </row>
    <row r="3209" spans="2:5">
      <c r="B3209" s="43" t="s">
        <v>48</v>
      </c>
      <c r="C3209" s="43" t="s">
        <v>49</v>
      </c>
      <c r="D3209" s="44">
        <v>45839</v>
      </c>
      <c r="E3209" s="45">
        <v>121.5189</v>
      </c>
    </row>
    <row r="3210" spans="2:5">
      <c r="B3210" s="43" t="s">
        <v>14</v>
      </c>
      <c r="C3210" s="43" t="s">
        <v>15</v>
      </c>
      <c r="D3210" s="44">
        <v>45839</v>
      </c>
      <c r="E3210" s="45">
        <v>40.5</v>
      </c>
    </row>
    <row r="3211" spans="2:5">
      <c r="B3211" s="43" t="s">
        <v>230</v>
      </c>
      <c r="C3211" s="43" t="s">
        <v>231</v>
      </c>
      <c r="D3211" s="44">
        <v>45839</v>
      </c>
      <c r="E3211" s="45">
        <v>175.45</v>
      </c>
    </row>
    <row r="3212" spans="2:5">
      <c r="B3212" s="43" t="s">
        <v>18</v>
      </c>
      <c r="C3212" s="43" t="s">
        <v>19</v>
      </c>
      <c r="D3212" s="44">
        <v>45839</v>
      </c>
      <c r="E3212" s="45">
        <v>44.5</v>
      </c>
    </row>
    <row r="3213" spans="2:5">
      <c r="B3213" s="43" t="s">
        <v>146</v>
      </c>
      <c r="C3213" s="43" t="s">
        <v>147</v>
      </c>
      <c r="D3213" s="44">
        <v>45839</v>
      </c>
      <c r="E3213" s="45">
        <v>40.7</v>
      </c>
    </row>
    <row r="3214" spans="2:5">
      <c r="B3214" s="43" t="s">
        <v>20</v>
      </c>
      <c r="C3214" s="43" t="s">
        <v>21</v>
      </c>
      <c r="D3214" s="44">
        <v>45839</v>
      </c>
      <c r="E3214" s="45">
        <v>107.8</v>
      </c>
    </row>
    <row r="3215" spans="2:5">
      <c r="B3215" s="43" t="s">
        <v>22</v>
      </c>
      <c r="C3215" s="43" t="s">
        <v>23</v>
      </c>
      <c r="D3215" s="44">
        <v>45839</v>
      </c>
      <c r="E3215" s="45">
        <v>38.4</v>
      </c>
    </row>
    <row r="3216" spans="2:5">
      <c r="B3216" s="43" t="s">
        <v>80</v>
      </c>
      <c r="C3216" s="43" t="s">
        <v>81</v>
      </c>
      <c r="D3216" s="44">
        <v>45839</v>
      </c>
      <c r="E3216" s="45">
        <v>43.05</v>
      </c>
    </row>
    <row r="3217" spans="2:5">
      <c r="B3217" s="43" t="s">
        <v>24</v>
      </c>
      <c r="C3217" s="43" t="s">
        <v>25</v>
      </c>
      <c r="D3217" s="44">
        <v>45839</v>
      </c>
      <c r="E3217" s="45">
        <v>3736.5</v>
      </c>
    </row>
    <row r="3218" spans="2:5">
      <c r="B3218" s="43" t="s">
        <v>26</v>
      </c>
      <c r="C3218" s="43" t="s">
        <v>27</v>
      </c>
      <c r="D3218" s="44">
        <v>45839</v>
      </c>
      <c r="E3218" s="45">
        <v>342.1</v>
      </c>
    </row>
    <row r="3219" spans="2:5">
      <c r="B3219" s="43" t="s">
        <v>110</v>
      </c>
      <c r="C3219" s="43" t="s">
        <v>111</v>
      </c>
      <c r="D3219" s="44">
        <v>45839</v>
      </c>
      <c r="E3219" s="45">
        <v>412.5</v>
      </c>
    </row>
    <row r="3220" spans="2:5">
      <c r="B3220" s="43" t="s">
        <v>60</v>
      </c>
      <c r="C3220" s="43" t="s">
        <v>61</v>
      </c>
      <c r="D3220" s="44">
        <v>45839</v>
      </c>
      <c r="E3220" s="45">
        <v>36.6</v>
      </c>
    </row>
    <row r="3221" spans="2:5">
      <c r="B3221" s="43" t="s">
        <v>62</v>
      </c>
      <c r="C3221" s="43" t="s">
        <v>63</v>
      </c>
      <c r="D3221" s="44">
        <v>45839</v>
      </c>
      <c r="E3221" s="45">
        <v>102.5</v>
      </c>
    </row>
    <row r="3222" spans="2:5">
      <c r="B3222" s="43" t="s">
        <v>64</v>
      </c>
      <c r="C3222" s="43" t="s">
        <v>65</v>
      </c>
      <c r="D3222" s="44">
        <v>45839</v>
      </c>
      <c r="E3222" s="45">
        <v>740</v>
      </c>
    </row>
    <row r="3223" spans="2:5">
      <c r="B3223" s="43" t="s">
        <v>172</v>
      </c>
      <c r="C3223" s="43" t="s">
        <v>173</v>
      </c>
      <c r="D3223" s="44">
        <v>45839</v>
      </c>
      <c r="E3223" s="45">
        <v>45.1</v>
      </c>
    </row>
    <row r="3224" spans="2:5">
      <c r="B3224" s="43" t="s">
        <v>186</v>
      </c>
      <c r="C3224" s="43" t="s">
        <v>187</v>
      </c>
      <c r="D3224" s="44">
        <v>45839</v>
      </c>
      <c r="E3224" s="45">
        <v>40.7</v>
      </c>
    </row>
    <row r="3225" spans="2:5">
      <c r="B3225" s="43" t="s">
        <v>150</v>
      </c>
      <c r="C3225" s="43" t="s">
        <v>151</v>
      </c>
      <c r="D3225" s="44">
        <v>45839</v>
      </c>
      <c r="E3225" s="45">
        <v>54.1</v>
      </c>
    </row>
    <row r="3226" spans="2:5">
      <c r="B3226" s="43" t="s">
        <v>106</v>
      </c>
      <c r="C3226" s="43" t="s">
        <v>107</v>
      </c>
      <c r="D3226" s="44">
        <v>45839</v>
      </c>
      <c r="E3226" s="45">
        <v>15.4</v>
      </c>
    </row>
    <row r="3227" spans="2:5">
      <c r="B3227" s="43" t="s">
        <v>142</v>
      </c>
      <c r="C3227" s="43" t="s">
        <v>143</v>
      </c>
      <c r="D3227" s="44">
        <v>45839</v>
      </c>
      <c r="E3227" s="45">
        <v>19</v>
      </c>
    </row>
    <row r="3228" spans="2:5">
      <c r="B3228" s="43" t="s">
        <v>96</v>
      </c>
      <c r="C3228" s="43" t="s">
        <v>97</v>
      </c>
      <c r="D3228" s="44">
        <v>45839</v>
      </c>
      <c r="E3228" s="45">
        <v>13</v>
      </c>
    </row>
    <row r="3229" spans="2:5">
      <c r="B3229" s="43" t="s">
        <v>224</v>
      </c>
      <c r="C3229" s="43" t="s">
        <v>225</v>
      </c>
      <c r="D3229" s="44">
        <v>45839</v>
      </c>
      <c r="E3229" s="45">
        <v>169</v>
      </c>
    </row>
    <row r="3230" spans="2:5">
      <c r="B3230" s="43" t="s">
        <v>32</v>
      </c>
      <c r="C3230" s="43" t="s">
        <v>33</v>
      </c>
      <c r="D3230" s="44">
        <v>45839</v>
      </c>
      <c r="E3230" s="45">
        <v>11</v>
      </c>
    </row>
    <row r="3231" spans="2:5">
      <c r="B3231" s="43" t="s">
        <v>226</v>
      </c>
      <c r="C3231" s="43" t="s">
        <v>227</v>
      </c>
      <c r="D3231" s="44">
        <v>45839</v>
      </c>
      <c r="E3231" s="45">
        <v>25</v>
      </c>
    </row>
    <row r="3232" spans="2:5">
      <c r="B3232" s="43" t="s">
        <v>160</v>
      </c>
      <c r="C3232" s="43" t="s">
        <v>161</v>
      </c>
      <c r="D3232" s="44">
        <v>45839</v>
      </c>
      <c r="E3232" s="45">
        <v>17</v>
      </c>
    </row>
    <row r="3233" spans="2:5">
      <c r="B3233" s="43" t="s">
        <v>34</v>
      </c>
      <c r="C3233" s="43" t="s">
        <v>35</v>
      </c>
      <c r="D3233" s="44">
        <v>45839</v>
      </c>
      <c r="E3233" s="45">
        <v>20</v>
      </c>
    </row>
    <row r="3234" spans="2:5">
      <c r="B3234" s="43" t="s">
        <v>104</v>
      </c>
      <c r="C3234" s="43" t="s">
        <v>105</v>
      </c>
      <c r="D3234" s="44">
        <v>45840</v>
      </c>
      <c r="E3234" s="45">
        <v>16</v>
      </c>
    </row>
    <row r="3235" spans="2:5">
      <c r="B3235" s="43" t="s">
        <v>154</v>
      </c>
      <c r="C3235" s="43" t="s">
        <v>155</v>
      </c>
      <c r="D3235" s="44">
        <v>45840</v>
      </c>
      <c r="E3235" s="45">
        <v>12</v>
      </c>
    </row>
    <row r="3236" spans="2:5">
      <c r="B3236" s="43" t="s">
        <v>156</v>
      </c>
      <c r="C3236" s="43" t="s">
        <v>157</v>
      </c>
      <c r="D3236" s="44">
        <v>45840</v>
      </c>
      <c r="E3236" s="45">
        <v>85.8</v>
      </c>
    </row>
    <row r="3237" spans="2:5">
      <c r="B3237" s="43" t="s">
        <v>8</v>
      </c>
      <c r="C3237" s="43" t="s">
        <v>9</v>
      </c>
      <c r="D3237" s="44">
        <v>45840</v>
      </c>
      <c r="E3237" s="45">
        <v>60.9</v>
      </c>
    </row>
    <row r="3238" spans="2:5">
      <c r="B3238" s="43" t="s">
        <v>46</v>
      </c>
      <c r="C3238" s="43" t="s">
        <v>47</v>
      </c>
      <c r="D3238" s="44">
        <v>45840</v>
      </c>
      <c r="E3238" s="45">
        <v>689.3</v>
      </c>
    </row>
    <row r="3239" spans="2:5">
      <c r="B3239" s="43" t="s">
        <v>10</v>
      </c>
      <c r="C3239" s="43" t="s">
        <v>11</v>
      </c>
      <c r="D3239" s="44">
        <v>45840</v>
      </c>
      <c r="E3239" s="45">
        <v>232.05</v>
      </c>
    </row>
    <row r="3240" spans="2:5">
      <c r="B3240" s="43" t="s">
        <v>74</v>
      </c>
      <c r="C3240" s="43" t="s">
        <v>75</v>
      </c>
      <c r="D3240" s="44">
        <v>45840</v>
      </c>
      <c r="E3240" s="45">
        <v>6</v>
      </c>
    </row>
    <row r="3241" spans="2:5">
      <c r="B3241" s="43" t="s">
        <v>12</v>
      </c>
      <c r="C3241" s="43" t="s">
        <v>13</v>
      </c>
      <c r="D3241" s="44">
        <v>45840</v>
      </c>
      <c r="E3241" s="45">
        <v>1131.6</v>
      </c>
    </row>
    <row r="3242" spans="2:5">
      <c r="B3242" s="43" t="s">
        <v>48</v>
      </c>
      <c r="C3242" s="43" t="s">
        <v>49</v>
      </c>
      <c r="D3242" s="44">
        <v>45840</v>
      </c>
      <c r="E3242" s="45">
        <v>30.4</v>
      </c>
    </row>
    <row r="3243" spans="2:5">
      <c r="B3243" s="43" t="s">
        <v>14</v>
      </c>
      <c r="C3243" s="43" t="s">
        <v>15</v>
      </c>
      <c r="D3243" s="44">
        <v>45840</v>
      </c>
      <c r="E3243" s="45">
        <v>364.5</v>
      </c>
    </row>
    <row r="3244" spans="2:5">
      <c r="B3244" s="43" t="s">
        <v>230</v>
      </c>
      <c r="C3244" s="43" t="s">
        <v>231</v>
      </c>
      <c r="D3244" s="44">
        <v>45840</v>
      </c>
      <c r="E3244" s="45">
        <v>159.5</v>
      </c>
    </row>
    <row r="3245" spans="2:5">
      <c r="B3245" s="43" t="s">
        <v>56</v>
      </c>
      <c r="C3245" s="43" t="s">
        <v>57</v>
      </c>
      <c r="D3245" s="44">
        <v>45840</v>
      </c>
      <c r="E3245" s="45">
        <v>36.2</v>
      </c>
    </row>
    <row r="3246" spans="2:5">
      <c r="B3246" s="43" t="s">
        <v>162</v>
      </c>
      <c r="C3246" s="43" t="s">
        <v>163</v>
      </c>
      <c r="D3246" s="44">
        <v>45840</v>
      </c>
      <c r="E3246" s="45">
        <v>20.2</v>
      </c>
    </row>
    <row r="3247" spans="2:5">
      <c r="B3247" s="43" t="s">
        <v>126</v>
      </c>
      <c r="C3247" s="43" t="s">
        <v>127</v>
      </c>
      <c r="D3247" s="44">
        <v>45840</v>
      </c>
      <c r="E3247" s="45">
        <v>70.8</v>
      </c>
    </row>
    <row r="3248" spans="2:5">
      <c r="B3248" s="43" t="s">
        <v>76</v>
      </c>
      <c r="C3248" s="43" t="s">
        <v>77</v>
      </c>
      <c r="D3248" s="44">
        <v>45840</v>
      </c>
      <c r="E3248" s="45">
        <v>17.65</v>
      </c>
    </row>
    <row r="3249" spans="2:5">
      <c r="B3249" s="43" t="s">
        <v>152</v>
      </c>
      <c r="C3249" s="43" t="s">
        <v>153</v>
      </c>
      <c r="D3249" s="44">
        <v>45840</v>
      </c>
      <c r="E3249" s="45">
        <v>46.5</v>
      </c>
    </row>
    <row r="3250" spans="2:5">
      <c r="B3250" s="43" t="s">
        <v>128</v>
      </c>
      <c r="C3250" s="43" t="s">
        <v>129</v>
      </c>
      <c r="D3250" s="44">
        <v>45840</v>
      </c>
      <c r="E3250" s="45">
        <v>59.6</v>
      </c>
    </row>
    <row r="3251" spans="2:5">
      <c r="B3251" s="43" t="s">
        <v>18</v>
      </c>
      <c r="C3251" s="43" t="s">
        <v>19</v>
      </c>
      <c r="D3251" s="44">
        <v>45840</v>
      </c>
      <c r="E3251" s="45">
        <v>22.25</v>
      </c>
    </row>
    <row r="3252" spans="2:5">
      <c r="B3252" s="43" t="s">
        <v>20</v>
      </c>
      <c r="C3252" s="43" t="s">
        <v>21</v>
      </c>
      <c r="D3252" s="44">
        <v>45840</v>
      </c>
      <c r="E3252" s="45">
        <v>19.6</v>
      </c>
    </row>
    <row r="3253" spans="2:5">
      <c r="B3253" s="43" t="s">
        <v>22</v>
      </c>
      <c r="C3253" s="43" t="s">
        <v>23</v>
      </c>
      <c r="D3253" s="44">
        <v>45840</v>
      </c>
      <c r="E3253" s="45">
        <v>9.6</v>
      </c>
    </row>
    <row r="3254" spans="2:5">
      <c r="B3254" s="43" t="s">
        <v>80</v>
      </c>
      <c r="C3254" s="43" t="s">
        <v>81</v>
      </c>
      <c r="D3254" s="44">
        <v>45840</v>
      </c>
      <c r="E3254" s="45">
        <v>215.25</v>
      </c>
    </row>
    <row r="3255" spans="2:5">
      <c r="B3255" s="43" t="s">
        <v>24</v>
      </c>
      <c r="C3255" s="43" t="s">
        <v>25</v>
      </c>
      <c r="D3255" s="44">
        <v>45840</v>
      </c>
      <c r="E3255" s="45">
        <v>1065.3</v>
      </c>
    </row>
    <row r="3256" spans="2:5">
      <c r="B3256" s="43" t="s">
        <v>26</v>
      </c>
      <c r="C3256" s="43" t="s">
        <v>27</v>
      </c>
      <c r="D3256" s="44">
        <v>45840</v>
      </c>
      <c r="E3256" s="45">
        <v>2208.1</v>
      </c>
    </row>
    <row r="3257" spans="2:5">
      <c r="B3257" s="43" t="s">
        <v>222</v>
      </c>
      <c r="C3257" s="43" t="s">
        <v>223</v>
      </c>
      <c r="D3257" s="44">
        <v>45840</v>
      </c>
      <c r="E3257" s="45">
        <v>513.8</v>
      </c>
    </row>
    <row r="3258" spans="2:5">
      <c r="B3258" s="43" t="s">
        <v>60</v>
      </c>
      <c r="C3258" s="43" t="s">
        <v>61</v>
      </c>
      <c r="D3258" s="44">
        <v>45840</v>
      </c>
      <c r="E3258" s="45">
        <v>18.3</v>
      </c>
    </row>
    <row r="3259" spans="2:5">
      <c r="B3259" s="43" t="s">
        <v>62</v>
      </c>
      <c r="C3259" s="43" t="s">
        <v>63</v>
      </c>
      <c r="D3259" s="44">
        <v>45840</v>
      </c>
      <c r="E3259" s="45">
        <v>328</v>
      </c>
    </row>
    <row r="3260" spans="2:5">
      <c r="B3260" s="43" t="s">
        <v>90</v>
      </c>
      <c r="C3260" s="43" t="s">
        <v>91</v>
      </c>
      <c r="D3260" s="44">
        <v>45840</v>
      </c>
      <c r="E3260" s="45">
        <v>80.1</v>
      </c>
    </row>
    <row r="3261" spans="2:5">
      <c r="B3261" s="43" t="s">
        <v>64</v>
      </c>
      <c r="C3261" s="43" t="s">
        <v>65</v>
      </c>
      <c r="D3261" s="44">
        <v>45840</v>
      </c>
      <c r="E3261" s="45">
        <v>780</v>
      </c>
    </row>
    <row r="3262" spans="2:5">
      <c r="B3262" s="43" t="s">
        <v>172</v>
      </c>
      <c r="C3262" s="43" t="s">
        <v>173</v>
      </c>
      <c r="D3262" s="44">
        <v>45840</v>
      </c>
      <c r="E3262" s="45">
        <v>45.1</v>
      </c>
    </row>
    <row r="3263" spans="2:5">
      <c r="B3263" s="43" t="s">
        <v>66</v>
      </c>
      <c r="C3263" s="43" t="s">
        <v>67</v>
      </c>
      <c r="D3263" s="44">
        <v>45840</v>
      </c>
      <c r="E3263" s="45">
        <v>83.1</v>
      </c>
    </row>
    <row r="3264" spans="2:5">
      <c r="B3264" s="43" t="s">
        <v>208</v>
      </c>
      <c r="C3264" s="43" t="s">
        <v>209</v>
      </c>
      <c r="D3264" s="44">
        <v>45840</v>
      </c>
      <c r="E3264" s="45">
        <v>70</v>
      </c>
    </row>
    <row r="3265" spans="2:5">
      <c r="B3265" s="43" t="s">
        <v>142</v>
      </c>
      <c r="C3265" s="43" t="s">
        <v>143</v>
      </c>
      <c r="D3265" s="44">
        <v>45840</v>
      </c>
      <c r="E3265" s="45">
        <v>12</v>
      </c>
    </row>
    <row r="3266" spans="2:5">
      <c r="B3266" s="43" t="s">
        <v>96</v>
      </c>
      <c r="C3266" s="43" t="s">
        <v>97</v>
      </c>
      <c r="D3266" s="44">
        <v>45840</v>
      </c>
      <c r="E3266" s="45">
        <v>3</v>
      </c>
    </row>
    <row r="3267" spans="2:5">
      <c r="B3267" s="43" t="s">
        <v>224</v>
      </c>
      <c r="C3267" s="43" t="s">
        <v>225</v>
      </c>
      <c r="D3267" s="44">
        <v>45840</v>
      </c>
      <c r="E3267" s="45">
        <v>24</v>
      </c>
    </row>
    <row r="3268" spans="2:5">
      <c r="B3268" s="43" t="s">
        <v>226</v>
      </c>
      <c r="C3268" s="43" t="s">
        <v>227</v>
      </c>
      <c r="D3268" s="44">
        <v>45840</v>
      </c>
      <c r="E3268" s="45">
        <v>3</v>
      </c>
    </row>
    <row r="3269" spans="2:5">
      <c r="B3269" s="43" t="s">
        <v>160</v>
      </c>
      <c r="C3269" s="43" t="s">
        <v>161</v>
      </c>
      <c r="D3269" s="44">
        <v>45840</v>
      </c>
      <c r="E3269" s="45">
        <v>2</v>
      </c>
    </row>
    <row r="3270" spans="2:5">
      <c r="B3270" s="43" t="s">
        <v>34</v>
      </c>
      <c r="C3270" s="43" t="s">
        <v>35</v>
      </c>
      <c r="D3270" s="44">
        <v>45840</v>
      </c>
      <c r="E3270" s="45">
        <v>31</v>
      </c>
    </row>
    <row r="3271" spans="2:5">
      <c r="B3271" s="43" t="s">
        <v>170</v>
      </c>
      <c r="C3271" s="43" t="s">
        <v>171</v>
      </c>
      <c r="D3271" s="44">
        <v>45840</v>
      </c>
      <c r="E3271" s="45">
        <v>2</v>
      </c>
    </row>
    <row r="3272" spans="2:5">
      <c r="B3272" s="43" t="s">
        <v>36</v>
      </c>
      <c r="C3272" s="43" t="s">
        <v>37</v>
      </c>
      <c r="D3272" s="44">
        <v>45840</v>
      </c>
      <c r="E3272" s="45">
        <v>7</v>
      </c>
    </row>
    <row r="3273" spans="2:5">
      <c r="B3273" s="43" t="s">
        <v>42</v>
      </c>
      <c r="C3273" s="43" t="s">
        <v>43</v>
      </c>
      <c r="D3273" s="44">
        <v>45841</v>
      </c>
      <c r="E3273" s="45">
        <v>356.95</v>
      </c>
    </row>
    <row r="3274" spans="2:5">
      <c r="B3274" s="43" t="s">
        <v>156</v>
      </c>
      <c r="C3274" s="43" t="s">
        <v>157</v>
      </c>
      <c r="D3274" s="44">
        <v>45841</v>
      </c>
      <c r="E3274" s="45">
        <v>475.8</v>
      </c>
    </row>
    <row r="3275" spans="2:5">
      <c r="B3275" s="43" t="s">
        <v>8</v>
      </c>
      <c r="C3275" s="43" t="s">
        <v>9</v>
      </c>
      <c r="D3275" s="44">
        <v>45841</v>
      </c>
      <c r="E3275" s="45">
        <v>17.4</v>
      </c>
    </row>
    <row r="3276" spans="2:5">
      <c r="B3276" s="43" t="s">
        <v>46</v>
      </c>
      <c r="C3276" s="43" t="s">
        <v>47</v>
      </c>
      <c r="D3276" s="44">
        <v>45841</v>
      </c>
      <c r="E3276" s="45">
        <v>350.3</v>
      </c>
    </row>
    <row r="3277" spans="2:5">
      <c r="B3277" s="43" t="s">
        <v>74</v>
      </c>
      <c r="C3277" s="43" t="s">
        <v>75</v>
      </c>
      <c r="D3277" s="44">
        <v>45841</v>
      </c>
      <c r="E3277" s="45">
        <v>373.5</v>
      </c>
    </row>
    <row r="3278" spans="2:5">
      <c r="B3278" s="43" t="s">
        <v>12</v>
      </c>
      <c r="C3278" s="43" t="s">
        <v>13</v>
      </c>
      <c r="D3278" s="44">
        <v>45841</v>
      </c>
      <c r="E3278" s="45">
        <v>82.8</v>
      </c>
    </row>
    <row r="3279" spans="2:5">
      <c r="B3279" s="43" t="s">
        <v>50</v>
      </c>
      <c r="C3279" s="43" t="s">
        <v>51</v>
      </c>
      <c r="D3279" s="44">
        <v>45841</v>
      </c>
      <c r="E3279" s="45">
        <v>136</v>
      </c>
    </row>
    <row r="3280" spans="2:5">
      <c r="B3280" s="43" t="s">
        <v>56</v>
      </c>
      <c r="C3280" s="43" t="s">
        <v>57</v>
      </c>
      <c r="D3280" s="44">
        <v>45841</v>
      </c>
      <c r="E3280" s="45">
        <v>162.9</v>
      </c>
    </row>
    <row r="3281" spans="2:5">
      <c r="B3281" s="43" t="s">
        <v>78</v>
      </c>
      <c r="C3281" s="43" t="s">
        <v>79</v>
      </c>
      <c r="D3281" s="44">
        <v>45841</v>
      </c>
      <c r="E3281" s="45">
        <v>88.5</v>
      </c>
    </row>
    <row r="3282" spans="2:5">
      <c r="B3282" s="43" t="s">
        <v>20</v>
      </c>
      <c r="C3282" s="43" t="s">
        <v>21</v>
      </c>
      <c r="D3282" s="44">
        <v>45841</v>
      </c>
      <c r="E3282" s="45">
        <v>98</v>
      </c>
    </row>
    <row r="3283" spans="2:5">
      <c r="B3283" s="43" t="s">
        <v>120</v>
      </c>
      <c r="C3283" s="43" t="s">
        <v>121</v>
      </c>
      <c r="D3283" s="44">
        <v>45841</v>
      </c>
      <c r="E3283" s="45">
        <v>76</v>
      </c>
    </row>
    <row r="3284" spans="2:5">
      <c r="B3284" s="43" t="s">
        <v>22</v>
      </c>
      <c r="C3284" s="43" t="s">
        <v>23</v>
      </c>
      <c r="D3284" s="44">
        <v>45841</v>
      </c>
      <c r="E3284" s="45">
        <v>9.6</v>
      </c>
    </row>
    <row r="3285" spans="2:5">
      <c r="B3285" s="43" t="s">
        <v>80</v>
      </c>
      <c r="C3285" s="43" t="s">
        <v>81</v>
      </c>
      <c r="D3285" s="44">
        <v>45841</v>
      </c>
      <c r="E3285" s="45">
        <v>1234.1</v>
      </c>
    </row>
    <row r="3286" spans="2:5">
      <c r="B3286" s="43" t="s">
        <v>24</v>
      </c>
      <c r="C3286" s="43" t="s">
        <v>25</v>
      </c>
      <c r="D3286" s="44">
        <v>45841</v>
      </c>
      <c r="E3286" s="45">
        <v>1828.5</v>
      </c>
    </row>
    <row r="3287" spans="2:5">
      <c r="B3287" s="43" t="s">
        <v>26</v>
      </c>
      <c r="C3287" s="43" t="s">
        <v>27</v>
      </c>
      <c r="D3287" s="44">
        <v>45841</v>
      </c>
      <c r="E3287" s="45">
        <v>2083.7</v>
      </c>
    </row>
    <row r="3288" spans="2:5">
      <c r="B3288" s="43" t="s">
        <v>62</v>
      </c>
      <c r="C3288" s="43" t="s">
        <v>63</v>
      </c>
      <c r="D3288" s="44">
        <v>45841</v>
      </c>
      <c r="E3288" s="45">
        <v>205</v>
      </c>
    </row>
    <row r="3289" spans="2:5">
      <c r="B3289" s="43" t="s">
        <v>64</v>
      </c>
      <c r="C3289" s="43" t="s">
        <v>65</v>
      </c>
      <c r="D3289" s="44">
        <v>45841</v>
      </c>
      <c r="E3289" s="45">
        <v>100</v>
      </c>
    </row>
    <row r="3290" spans="2:5">
      <c r="B3290" s="43" t="s">
        <v>66</v>
      </c>
      <c r="C3290" s="43" t="s">
        <v>67</v>
      </c>
      <c r="D3290" s="44">
        <v>45841</v>
      </c>
      <c r="E3290" s="45">
        <v>277</v>
      </c>
    </row>
    <row r="3291" spans="2:5">
      <c r="B3291" s="43" t="s">
        <v>106</v>
      </c>
      <c r="C3291" s="43" t="s">
        <v>107</v>
      </c>
      <c r="D3291" s="44">
        <v>45841</v>
      </c>
      <c r="E3291" s="45">
        <v>7.7</v>
      </c>
    </row>
    <row r="3292" spans="2:5">
      <c r="B3292" s="43" t="s">
        <v>196</v>
      </c>
      <c r="C3292" s="43" t="s">
        <v>197</v>
      </c>
      <c r="D3292" s="44">
        <v>45841</v>
      </c>
      <c r="E3292" s="45">
        <v>5</v>
      </c>
    </row>
    <row r="3293" spans="2:5">
      <c r="B3293" s="43" t="s">
        <v>96</v>
      </c>
      <c r="C3293" s="43" t="s">
        <v>97</v>
      </c>
      <c r="D3293" s="44">
        <v>45841</v>
      </c>
      <c r="E3293" s="45">
        <v>25</v>
      </c>
    </row>
    <row r="3294" spans="2:5">
      <c r="B3294" s="43" t="s">
        <v>224</v>
      </c>
      <c r="C3294" s="43" t="s">
        <v>225</v>
      </c>
      <c r="D3294" s="44">
        <v>45841</v>
      </c>
      <c r="E3294" s="45">
        <v>19</v>
      </c>
    </row>
    <row r="3295" spans="2:5">
      <c r="B3295" s="43" t="s">
        <v>32</v>
      </c>
      <c r="C3295" s="43" t="s">
        <v>33</v>
      </c>
      <c r="D3295" s="44">
        <v>45841</v>
      </c>
      <c r="E3295" s="45">
        <v>1</v>
      </c>
    </row>
    <row r="3296" spans="2:5">
      <c r="B3296" s="43" t="s">
        <v>226</v>
      </c>
      <c r="C3296" s="43" t="s">
        <v>227</v>
      </c>
      <c r="D3296" s="44">
        <v>45841</v>
      </c>
      <c r="E3296" s="45">
        <v>7</v>
      </c>
    </row>
    <row r="3297" spans="2:5">
      <c r="B3297" s="43" t="s">
        <v>160</v>
      </c>
      <c r="C3297" s="43" t="s">
        <v>161</v>
      </c>
      <c r="D3297" s="44">
        <v>45841</v>
      </c>
      <c r="E3297" s="45">
        <v>4</v>
      </c>
    </row>
    <row r="3298" spans="2:5">
      <c r="B3298" s="43" t="s">
        <v>34</v>
      </c>
      <c r="C3298" s="43" t="s">
        <v>35</v>
      </c>
      <c r="D3298" s="44">
        <v>45841</v>
      </c>
      <c r="E3298" s="45">
        <v>3</v>
      </c>
    </row>
    <row r="3299" spans="2:5">
      <c r="B3299" s="43" t="s">
        <v>36</v>
      </c>
      <c r="C3299" s="43" t="s">
        <v>37</v>
      </c>
      <c r="D3299" s="44">
        <v>45841</v>
      </c>
      <c r="E3299" s="45">
        <v>6</v>
      </c>
    </row>
    <row r="3300" spans="2:5">
      <c r="B3300" s="43" t="s">
        <v>8</v>
      </c>
      <c r="C3300" s="43" t="s">
        <v>9</v>
      </c>
      <c r="D3300" s="44">
        <v>45842</v>
      </c>
      <c r="E3300" s="45">
        <v>34.8</v>
      </c>
    </row>
    <row r="3301" spans="2:5">
      <c r="B3301" s="43" t="s">
        <v>108</v>
      </c>
      <c r="C3301" s="43" t="s">
        <v>109</v>
      </c>
      <c r="D3301" s="44">
        <v>45842</v>
      </c>
      <c r="E3301" s="45">
        <v>31</v>
      </c>
    </row>
    <row r="3302" spans="2:5">
      <c r="B3302" s="43" t="s">
        <v>78</v>
      </c>
      <c r="C3302" s="43" t="s">
        <v>79</v>
      </c>
      <c r="D3302" s="44">
        <v>45842</v>
      </c>
      <c r="E3302" s="45">
        <v>185.85</v>
      </c>
    </row>
    <row r="3303" spans="2:5">
      <c r="B3303" s="43" t="s">
        <v>20</v>
      </c>
      <c r="C3303" s="43" t="s">
        <v>21</v>
      </c>
      <c r="D3303" s="44">
        <v>45842</v>
      </c>
      <c r="E3303" s="45">
        <v>254.8</v>
      </c>
    </row>
    <row r="3304" spans="2:5">
      <c r="B3304" s="43" t="s">
        <v>24</v>
      </c>
      <c r="C3304" s="43" t="s">
        <v>25</v>
      </c>
      <c r="D3304" s="44">
        <v>45842</v>
      </c>
      <c r="E3304" s="45">
        <v>2703</v>
      </c>
    </row>
    <row r="3305" spans="2:5">
      <c r="B3305" s="43" t="s">
        <v>26</v>
      </c>
      <c r="C3305" s="43" t="s">
        <v>27</v>
      </c>
      <c r="D3305" s="44">
        <v>45842</v>
      </c>
      <c r="E3305" s="45">
        <v>186.6</v>
      </c>
    </row>
    <row r="3306" spans="2:5">
      <c r="B3306" s="43" t="s">
        <v>60</v>
      </c>
      <c r="C3306" s="43" t="s">
        <v>61</v>
      </c>
      <c r="D3306" s="44">
        <v>45842</v>
      </c>
      <c r="E3306" s="45">
        <v>1555.5</v>
      </c>
    </row>
    <row r="3307" spans="2:5">
      <c r="B3307" s="43" t="s">
        <v>62</v>
      </c>
      <c r="C3307" s="43" t="s">
        <v>63</v>
      </c>
      <c r="D3307" s="44">
        <v>45842</v>
      </c>
      <c r="E3307" s="45">
        <v>369</v>
      </c>
    </row>
    <row r="3308" spans="2:5">
      <c r="B3308" s="43" t="s">
        <v>64</v>
      </c>
      <c r="C3308" s="43" t="s">
        <v>65</v>
      </c>
      <c r="D3308" s="44">
        <v>45842</v>
      </c>
      <c r="E3308" s="45">
        <v>320</v>
      </c>
    </row>
    <row r="3309" spans="2:5">
      <c r="B3309" s="43" t="s">
        <v>66</v>
      </c>
      <c r="C3309" s="43" t="s">
        <v>67</v>
      </c>
      <c r="D3309" s="44">
        <v>45842</v>
      </c>
      <c r="E3309" s="45">
        <v>1274.2</v>
      </c>
    </row>
    <row r="3310" spans="2:5">
      <c r="B3310" s="43" t="s">
        <v>68</v>
      </c>
      <c r="C3310" s="43" t="s">
        <v>69</v>
      </c>
      <c r="D3310" s="44">
        <v>45842</v>
      </c>
      <c r="E3310" s="45">
        <v>143.6</v>
      </c>
    </row>
    <row r="3311" spans="2:5">
      <c r="B3311" s="43" t="s">
        <v>142</v>
      </c>
      <c r="C3311" s="43" t="s">
        <v>143</v>
      </c>
      <c r="D3311" s="44">
        <v>45842</v>
      </c>
      <c r="E3311" s="45">
        <v>11</v>
      </c>
    </row>
    <row r="3312" spans="2:5">
      <c r="B3312" s="43" t="s">
        <v>30</v>
      </c>
      <c r="C3312" s="43" t="s">
        <v>31</v>
      </c>
      <c r="D3312" s="44">
        <v>45842</v>
      </c>
      <c r="E3312" s="45">
        <v>2</v>
      </c>
    </row>
    <row r="3313" spans="2:5">
      <c r="B3313" s="43" t="s">
        <v>96</v>
      </c>
      <c r="C3313" s="43" t="s">
        <v>97</v>
      </c>
      <c r="D3313" s="44">
        <v>45842</v>
      </c>
      <c r="E3313" s="45">
        <v>2</v>
      </c>
    </row>
    <row r="3314" spans="2:5">
      <c r="B3314" s="43" t="s">
        <v>34</v>
      </c>
      <c r="C3314" s="43" t="s">
        <v>35</v>
      </c>
      <c r="D3314" s="44">
        <v>45842</v>
      </c>
      <c r="E3314" s="45">
        <v>1</v>
      </c>
    </row>
    <row r="3315" spans="2:5">
      <c r="B3315" s="43" t="s">
        <v>8</v>
      </c>
      <c r="C3315" s="43" t="s">
        <v>9</v>
      </c>
      <c r="D3315" s="44">
        <v>45845</v>
      </c>
      <c r="E3315" s="45">
        <v>26.1</v>
      </c>
    </row>
    <row r="3316" spans="2:5">
      <c r="B3316" s="43" t="s">
        <v>46</v>
      </c>
      <c r="C3316" s="43" t="s">
        <v>47</v>
      </c>
      <c r="D3316" s="44">
        <v>45845</v>
      </c>
      <c r="E3316" s="45">
        <v>824.9</v>
      </c>
    </row>
    <row r="3317" spans="2:5">
      <c r="B3317" s="43" t="s">
        <v>12</v>
      </c>
      <c r="C3317" s="43" t="s">
        <v>13</v>
      </c>
      <c r="D3317" s="44">
        <v>45845</v>
      </c>
      <c r="E3317" s="45">
        <v>634.8</v>
      </c>
    </row>
    <row r="3318" spans="2:5">
      <c r="B3318" s="43" t="s">
        <v>108</v>
      </c>
      <c r="C3318" s="43" t="s">
        <v>109</v>
      </c>
      <c r="D3318" s="44">
        <v>45845</v>
      </c>
      <c r="E3318" s="45">
        <v>310</v>
      </c>
    </row>
    <row r="3319" spans="2:5">
      <c r="B3319" s="43" t="s">
        <v>14</v>
      </c>
      <c r="C3319" s="43" t="s">
        <v>15</v>
      </c>
      <c r="D3319" s="44">
        <v>45845</v>
      </c>
      <c r="E3319" s="45">
        <v>54</v>
      </c>
    </row>
    <row r="3320" spans="2:5">
      <c r="B3320" s="43" t="s">
        <v>76</v>
      </c>
      <c r="C3320" s="43" t="s">
        <v>77</v>
      </c>
      <c r="D3320" s="44">
        <v>45845</v>
      </c>
      <c r="E3320" s="45">
        <v>52.95</v>
      </c>
    </row>
    <row r="3321" spans="2:5">
      <c r="B3321" s="43" t="s">
        <v>200</v>
      </c>
      <c r="C3321" s="43" t="s">
        <v>201</v>
      </c>
      <c r="D3321" s="44">
        <v>45845</v>
      </c>
      <c r="E3321" s="45">
        <v>55</v>
      </c>
    </row>
    <row r="3322" spans="2:5">
      <c r="B3322" s="43" t="s">
        <v>20</v>
      </c>
      <c r="C3322" s="43" t="s">
        <v>21</v>
      </c>
      <c r="D3322" s="44">
        <v>45845</v>
      </c>
      <c r="E3322" s="45">
        <v>490</v>
      </c>
    </row>
    <row r="3323" spans="2:5">
      <c r="B3323" s="43" t="s">
        <v>22</v>
      </c>
      <c r="C3323" s="43" t="s">
        <v>23</v>
      </c>
      <c r="D3323" s="44">
        <v>45845</v>
      </c>
      <c r="E3323" s="45">
        <v>38.4</v>
      </c>
    </row>
    <row r="3324" spans="2:5">
      <c r="B3324" s="43" t="s">
        <v>80</v>
      </c>
      <c r="C3324" s="43" t="s">
        <v>81</v>
      </c>
      <c r="D3324" s="44">
        <v>45845</v>
      </c>
      <c r="E3324" s="45">
        <v>28.7</v>
      </c>
    </row>
    <row r="3325" spans="2:5">
      <c r="B3325" s="43" t="s">
        <v>24</v>
      </c>
      <c r="C3325" s="43" t="s">
        <v>25</v>
      </c>
      <c r="D3325" s="44">
        <v>45845</v>
      </c>
      <c r="E3325" s="45">
        <v>2067</v>
      </c>
    </row>
    <row r="3326" spans="2:5">
      <c r="B3326" s="43" t="s">
        <v>58</v>
      </c>
      <c r="C3326" s="43" t="s">
        <v>59</v>
      </c>
      <c r="D3326" s="44">
        <v>45845</v>
      </c>
      <c r="E3326" s="45">
        <v>619.5</v>
      </c>
    </row>
    <row r="3327" spans="2:5">
      <c r="B3327" s="43" t="s">
        <v>26</v>
      </c>
      <c r="C3327" s="43" t="s">
        <v>27</v>
      </c>
      <c r="D3327" s="44">
        <v>45845</v>
      </c>
      <c r="E3327" s="45">
        <v>15.55</v>
      </c>
    </row>
    <row r="3328" spans="2:5">
      <c r="B3328" s="43" t="s">
        <v>62</v>
      </c>
      <c r="C3328" s="43" t="s">
        <v>63</v>
      </c>
      <c r="D3328" s="44">
        <v>45845</v>
      </c>
      <c r="E3328" s="45">
        <v>451</v>
      </c>
    </row>
    <row r="3329" spans="2:5">
      <c r="B3329" s="43" t="s">
        <v>94</v>
      </c>
      <c r="C3329" s="43" t="s">
        <v>95</v>
      </c>
      <c r="D3329" s="44">
        <v>45845</v>
      </c>
      <c r="E3329" s="45">
        <v>1031.8</v>
      </c>
    </row>
    <row r="3330" spans="2:5">
      <c r="B3330" s="43" t="s">
        <v>106</v>
      </c>
      <c r="C3330" s="43" t="s">
        <v>107</v>
      </c>
      <c r="D3330" s="44">
        <v>45845</v>
      </c>
      <c r="E3330" s="45">
        <v>15.4</v>
      </c>
    </row>
    <row r="3331" spans="2:5">
      <c r="B3331" s="43" t="s">
        <v>96</v>
      </c>
      <c r="C3331" s="43" t="s">
        <v>97</v>
      </c>
      <c r="D3331" s="44">
        <v>45845</v>
      </c>
      <c r="E3331" s="45">
        <v>7</v>
      </c>
    </row>
    <row r="3332" spans="2:5">
      <c r="B3332" s="43" t="s">
        <v>160</v>
      </c>
      <c r="C3332" s="43" t="s">
        <v>161</v>
      </c>
      <c r="D3332" s="44">
        <v>45845</v>
      </c>
      <c r="E3332" s="45">
        <v>3</v>
      </c>
    </row>
    <row r="3333" spans="2:5">
      <c r="B3333" s="43" t="s">
        <v>34</v>
      </c>
      <c r="C3333" s="43" t="s">
        <v>35</v>
      </c>
      <c r="D3333" s="44">
        <v>45845</v>
      </c>
      <c r="E3333" s="45">
        <v>4</v>
      </c>
    </row>
    <row r="3334" spans="2:5">
      <c r="B3334" s="43" t="s">
        <v>36</v>
      </c>
      <c r="C3334" s="43" t="s">
        <v>37</v>
      </c>
      <c r="D3334" s="44">
        <v>45845</v>
      </c>
      <c r="E3334" s="45">
        <v>4</v>
      </c>
    </row>
    <row r="3335" spans="2:5">
      <c r="B3335" s="43" t="s">
        <v>42</v>
      </c>
      <c r="C3335" s="43" t="s">
        <v>43</v>
      </c>
      <c r="D3335" s="44">
        <v>45846</v>
      </c>
      <c r="E3335" s="45">
        <v>72.6</v>
      </c>
    </row>
    <row r="3336" spans="2:5">
      <c r="B3336" s="43" t="s">
        <v>4</v>
      </c>
      <c r="C3336" s="43" t="s">
        <v>5</v>
      </c>
      <c r="D3336" s="44">
        <v>45846</v>
      </c>
      <c r="E3336" s="45">
        <v>107.2</v>
      </c>
    </row>
    <row r="3337" spans="2:5">
      <c r="B3337" s="43" t="s">
        <v>156</v>
      </c>
      <c r="C3337" s="43" t="s">
        <v>157</v>
      </c>
      <c r="D3337" s="44">
        <v>45846</v>
      </c>
      <c r="E3337" s="45">
        <v>117</v>
      </c>
    </row>
    <row r="3338" spans="2:5">
      <c r="B3338" s="43" t="s">
        <v>8</v>
      </c>
      <c r="C3338" s="43" t="s">
        <v>9</v>
      </c>
      <c r="D3338" s="44">
        <v>45846</v>
      </c>
      <c r="E3338" s="45">
        <v>400.2</v>
      </c>
    </row>
    <row r="3339" spans="2:5">
      <c r="B3339" s="43" t="s">
        <v>46</v>
      </c>
      <c r="C3339" s="43" t="s">
        <v>47</v>
      </c>
      <c r="D3339" s="44">
        <v>45846</v>
      </c>
      <c r="E3339" s="45">
        <v>1073.5</v>
      </c>
    </row>
    <row r="3340" spans="2:5">
      <c r="B3340" s="43" t="s">
        <v>10</v>
      </c>
      <c r="C3340" s="43" t="s">
        <v>11</v>
      </c>
      <c r="D3340" s="44">
        <v>45846</v>
      </c>
      <c r="E3340" s="45">
        <v>209.95</v>
      </c>
    </row>
    <row r="3341" spans="2:5">
      <c r="B3341" s="43" t="s">
        <v>74</v>
      </c>
      <c r="C3341" s="43" t="s">
        <v>75</v>
      </c>
      <c r="D3341" s="44">
        <v>45846</v>
      </c>
      <c r="E3341" s="45">
        <v>62.25</v>
      </c>
    </row>
    <row r="3342" spans="2:5">
      <c r="B3342" s="43" t="s">
        <v>12</v>
      </c>
      <c r="C3342" s="43" t="s">
        <v>13</v>
      </c>
      <c r="D3342" s="44">
        <v>45846</v>
      </c>
      <c r="E3342" s="45">
        <v>1173</v>
      </c>
    </row>
    <row r="3343" spans="2:5">
      <c r="B3343" s="43" t="s">
        <v>178</v>
      </c>
      <c r="C3343" s="43" t="s">
        <v>179</v>
      </c>
      <c r="D3343" s="44">
        <v>45846</v>
      </c>
      <c r="E3343" s="45">
        <v>54</v>
      </c>
    </row>
    <row r="3344" spans="2:5">
      <c r="B3344" s="43" t="s">
        <v>230</v>
      </c>
      <c r="C3344" s="43" t="s">
        <v>231</v>
      </c>
      <c r="D3344" s="44">
        <v>45846</v>
      </c>
      <c r="E3344" s="45">
        <v>303.05</v>
      </c>
    </row>
    <row r="3345" spans="2:5">
      <c r="B3345" s="43" t="s">
        <v>50</v>
      </c>
      <c r="C3345" s="43" t="s">
        <v>51</v>
      </c>
      <c r="D3345" s="44">
        <v>45846</v>
      </c>
      <c r="E3345" s="45">
        <v>1101.6</v>
      </c>
    </row>
    <row r="3346" spans="2:5">
      <c r="B3346" s="43" t="s">
        <v>200</v>
      </c>
      <c r="C3346" s="43" t="s">
        <v>201</v>
      </c>
      <c r="D3346" s="44">
        <v>45846</v>
      </c>
      <c r="E3346" s="45">
        <v>137.5</v>
      </c>
    </row>
    <row r="3347" spans="2:5">
      <c r="B3347" s="43" t="s">
        <v>78</v>
      </c>
      <c r="C3347" s="43" t="s">
        <v>79</v>
      </c>
      <c r="D3347" s="44">
        <v>45846</v>
      </c>
      <c r="E3347" s="45">
        <v>17.7</v>
      </c>
    </row>
    <row r="3348" spans="2:5">
      <c r="B3348" s="43" t="s">
        <v>20</v>
      </c>
      <c r="C3348" s="43" t="s">
        <v>21</v>
      </c>
      <c r="D3348" s="44">
        <v>45846</v>
      </c>
      <c r="E3348" s="45">
        <v>9.8</v>
      </c>
    </row>
    <row r="3349" spans="2:5">
      <c r="B3349" s="43" t="s">
        <v>22</v>
      </c>
      <c r="C3349" s="43" t="s">
        <v>23</v>
      </c>
      <c r="D3349" s="44">
        <v>45846</v>
      </c>
      <c r="E3349" s="45">
        <v>48</v>
      </c>
    </row>
    <row r="3350" spans="2:5">
      <c r="B3350" s="43" t="s">
        <v>24</v>
      </c>
      <c r="C3350" s="43" t="s">
        <v>25</v>
      </c>
      <c r="D3350" s="44">
        <v>45846</v>
      </c>
      <c r="E3350" s="45">
        <v>2703</v>
      </c>
    </row>
    <row r="3351" spans="2:5">
      <c r="B3351" s="43" t="s">
        <v>58</v>
      </c>
      <c r="C3351" s="43" t="s">
        <v>59</v>
      </c>
      <c r="D3351" s="44">
        <v>45846</v>
      </c>
      <c r="E3351" s="45">
        <v>318.6</v>
      </c>
    </row>
    <row r="3352" spans="2:5">
      <c r="B3352" s="43" t="s">
        <v>26</v>
      </c>
      <c r="C3352" s="43" t="s">
        <v>27</v>
      </c>
      <c r="D3352" s="44">
        <v>45846</v>
      </c>
      <c r="E3352" s="45">
        <v>528.7</v>
      </c>
    </row>
    <row r="3353" spans="2:5">
      <c r="B3353" s="43" t="s">
        <v>62</v>
      </c>
      <c r="C3353" s="43" t="s">
        <v>63</v>
      </c>
      <c r="D3353" s="44">
        <v>45846</v>
      </c>
      <c r="E3353" s="45">
        <v>881.5</v>
      </c>
    </row>
    <row r="3354" spans="2:5">
      <c r="B3354" s="43" t="s">
        <v>64</v>
      </c>
      <c r="C3354" s="43" t="s">
        <v>65</v>
      </c>
      <c r="D3354" s="44">
        <v>45846</v>
      </c>
      <c r="E3354" s="45">
        <v>2880</v>
      </c>
    </row>
    <row r="3355" spans="2:5">
      <c r="B3355" s="43" t="s">
        <v>198</v>
      </c>
      <c r="C3355" s="43" t="s">
        <v>199</v>
      </c>
      <c r="D3355" s="44">
        <v>45846</v>
      </c>
      <c r="E3355" s="45">
        <v>92.4</v>
      </c>
    </row>
    <row r="3356" spans="2:5">
      <c r="B3356" s="43" t="s">
        <v>186</v>
      </c>
      <c r="C3356" s="43" t="s">
        <v>187</v>
      </c>
      <c r="D3356" s="44">
        <v>45846</v>
      </c>
      <c r="E3356" s="45">
        <v>407</v>
      </c>
    </row>
    <row r="3357" spans="2:5">
      <c r="B3357" s="43" t="s">
        <v>66</v>
      </c>
      <c r="C3357" s="43" t="s">
        <v>67</v>
      </c>
      <c r="D3357" s="44">
        <v>45846</v>
      </c>
      <c r="E3357" s="45">
        <v>55.4</v>
      </c>
    </row>
    <row r="3358" spans="2:5">
      <c r="B3358" s="43" t="s">
        <v>150</v>
      </c>
      <c r="C3358" s="43" t="s">
        <v>151</v>
      </c>
      <c r="D3358" s="44">
        <v>45846</v>
      </c>
      <c r="E3358" s="45">
        <v>81.15</v>
      </c>
    </row>
    <row r="3359" spans="2:5">
      <c r="B3359" s="43" t="s">
        <v>208</v>
      </c>
      <c r="C3359" s="43" t="s">
        <v>209</v>
      </c>
      <c r="D3359" s="44">
        <v>45846</v>
      </c>
      <c r="E3359" s="45">
        <v>35</v>
      </c>
    </row>
    <row r="3360" spans="2:5">
      <c r="B3360" s="43" t="s">
        <v>106</v>
      </c>
      <c r="C3360" s="43" t="s">
        <v>107</v>
      </c>
      <c r="D3360" s="44">
        <v>45846</v>
      </c>
      <c r="E3360" s="45">
        <v>15.4</v>
      </c>
    </row>
    <row r="3361" spans="2:5">
      <c r="B3361" s="43" t="s">
        <v>142</v>
      </c>
      <c r="C3361" s="43" t="s">
        <v>143</v>
      </c>
      <c r="D3361" s="44">
        <v>45846</v>
      </c>
      <c r="E3361" s="45">
        <v>34</v>
      </c>
    </row>
    <row r="3362" spans="2:5">
      <c r="B3362" s="43" t="s">
        <v>196</v>
      </c>
      <c r="C3362" s="43" t="s">
        <v>197</v>
      </c>
      <c r="D3362" s="44">
        <v>45846</v>
      </c>
      <c r="E3362" s="45">
        <v>2</v>
      </c>
    </row>
    <row r="3363" spans="2:5">
      <c r="B3363" s="43" t="s">
        <v>96</v>
      </c>
      <c r="C3363" s="43" t="s">
        <v>97</v>
      </c>
      <c r="D3363" s="44">
        <v>45846</v>
      </c>
      <c r="E3363" s="45">
        <v>10</v>
      </c>
    </row>
    <row r="3364" spans="2:5">
      <c r="B3364" s="43" t="s">
        <v>224</v>
      </c>
      <c r="C3364" s="43" t="s">
        <v>225</v>
      </c>
      <c r="D3364" s="44">
        <v>45846</v>
      </c>
      <c r="E3364" s="45">
        <v>1</v>
      </c>
    </row>
    <row r="3365" spans="2:5">
      <c r="B3365" s="43" t="s">
        <v>32</v>
      </c>
      <c r="C3365" s="43" t="s">
        <v>33</v>
      </c>
      <c r="D3365" s="44">
        <v>45846</v>
      </c>
      <c r="E3365" s="45">
        <v>2</v>
      </c>
    </row>
    <row r="3366" spans="2:5">
      <c r="B3366" s="43" t="s">
        <v>226</v>
      </c>
      <c r="C3366" s="43" t="s">
        <v>227</v>
      </c>
      <c r="D3366" s="44">
        <v>45846</v>
      </c>
      <c r="E3366" s="45">
        <v>6</v>
      </c>
    </row>
    <row r="3367" spans="2:5">
      <c r="B3367" s="43" t="s">
        <v>160</v>
      </c>
      <c r="C3367" s="43" t="s">
        <v>161</v>
      </c>
      <c r="D3367" s="44">
        <v>45846</v>
      </c>
      <c r="E3367" s="45">
        <v>5</v>
      </c>
    </row>
    <row r="3368" spans="2:5">
      <c r="B3368" s="43" t="s">
        <v>34</v>
      </c>
      <c r="C3368" s="43" t="s">
        <v>35</v>
      </c>
      <c r="D3368" s="44">
        <v>45846</v>
      </c>
      <c r="E3368" s="45">
        <v>41</v>
      </c>
    </row>
    <row r="3369" spans="2:5">
      <c r="B3369" s="43" t="s">
        <v>42</v>
      </c>
      <c r="C3369" s="43" t="s">
        <v>43</v>
      </c>
      <c r="D3369" s="44">
        <v>45847</v>
      </c>
      <c r="E3369" s="45">
        <v>90.75</v>
      </c>
    </row>
    <row r="3370" spans="2:5">
      <c r="B3370" s="43" t="s">
        <v>156</v>
      </c>
      <c r="C3370" s="43" t="s">
        <v>157</v>
      </c>
      <c r="D3370" s="44">
        <v>45847</v>
      </c>
      <c r="E3370" s="45">
        <v>117</v>
      </c>
    </row>
    <row r="3371" spans="2:5">
      <c r="B3371" s="43" t="s">
        <v>8</v>
      </c>
      <c r="C3371" s="43" t="s">
        <v>9</v>
      </c>
      <c r="D3371" s="44">
        <v>45847</v>
      </c>
      <c r="E3371" s="45">
        <v>69.6</v>
      </c>
    </row>
    <row r="3372" spans="2:5">
      <c r="B3372" s="43" t="s">
        <v>72</v>
      </c>
      <c r="C3372" s="43" t="s">
        <v>73</v>
      </c>
      <c r="D3372" s="44">
        <v>45847</v>
      </c>
      <c r="E3372" s="45">
        <v>306</v>
      </c>
    </row>
    <row r="3373" spans="2:5">
      <c r="B3373" s="43" t="s">
        <v>46</v>
      </c>
      <c r="C3373" s="43" t="s">
        <v>47</v>
      </c>
      <c r="D3373" s="44">
        <v>45847</v>
      </c>
      <c r="E3373" s="45">
        <v>214.7</v>
      </c>
    </row>
    <row r="3374" spans="2:5">
      <c r="B3374" s="43" t="s">
        <v>74</v>
      </c>
      <c r="C3374" s="43" t="s">
        <v>75</v>
      </c>
      <c r="D3374" s="44">
        <v>45847</v>
      </c>
      <c r="E3374" s="45">
        <v>249</v>
      </c>
    </row>
    <row r="3375" spans="2:5">
      <c r="B3375" s="43" t="s">
        <v>12</v>
      </c>
      <c r="C3375" s="43" t="s">
        <v>13</v>
      </c>
      <c r="D3375" s="44">
        <v>45847</v>
      </c>
      <c r="E3375" s="45">
        <v>207</v>
      </c>
    </row>
    <row r="3376" spans="2:5">
      <c r="B3376" s="43" t="s">
        <v>114</v>
      </c>
      <c r="C3376" s="43" t="s">
        <v>115</v>
      </c>
      <c r="D3376" s="44">
        <v>45847</v>
      </c>
      <c r="E3376" s="45">
        <v>532</v>
      </c>
    </row>
    <row r="3377" spans="2:5">
      <c r="B3377" s="43" t="s">
        <v>126</v>
      </c>
      <c r="C3377" s="43" t="s">
        <v>127</v>
      </c>
      <c r="D3377" s="44">
        <v>45847</v>
      </c>
      <c r="E3377" s="45">
        <v>70.8</v>
      </c>
    </row>
    <row r="3378" spans="2:5">
      <c r="B3378" s="43" t="s">
        <v>76</v>
      </c>
      <c r="C3378" s="43" t="s">
        <v>77</v>
      </c>
      <c r="D3378" s="44">
        <v>45847</v>
      </c>
      <c r="E3378" s="45">
        <v>458.9</v>
      </c>
    </row>
    <row r="3379" spans="2:5">
      <c r="B3379" s="43" t="s">
        <v>128</v>
      </c>
      <c r="C3379" s="43" t="s">
        <v>129</v>
      </c>
      <c r="D3379" s="44">
        <v>45847</v>
      </c>
      <c r="E3379" s="45">
        <v>29.8</v>
      </c>
    </row>
    <row r="3380" spans="2:5">
      <c r="B3380" s="43" t="s">
        <v>20</v>
      </c>
      <c r="C3380" s="43" t="s">
        <v>21</v>
      </c>
      <c r="D3380" s="44">
        <v>45847</v>
      </c>
      <c r="E3380" s="45">
        <v>19.6</v>
      </c>
    </row>
    <row r="3381" spans="2:5">
      <c r="B3381" s="43" t="s">
        <v>80</v>
      </c>
      <c r="C3381" s="43" t="s">
        <v>81</v>
      </c>
      <c r="D3381" s="44">
        <v>45847</v>
      </c>
      <c r="E3381" s="45">
        <v>1004.5</v>
      </c>
    </row>
    <row r="3382" spans="2:5">
      <c r="B3382" s="43" t="s">
        <v>24</v>
      </c>
      <c r="C3382" s="43" t="s">
        <v>25</v>
      </c>
      <c r="D3382" s="44">
        <v>45847</v>
      </c>
      <c r="E3382" s="45">
        <v>524.7</v>
      </c>
    </row>
    <row r="3383" spans="2:5">
      <c r="B3383" s="43" t="s">
        <v>26</v>
      </c>
      <c r="C3383" s="43" t="s">
        <v>27</v>
      </c>
      <c r="D3383" s="44">
        <v>45847</v>
      </c>
      <c r="E3383" s="45">
        <v>388.75</v>
      </c>
    </row>
    <row r="3384" spans="2:5">
      <c r="B3384" s="43" t="s">
        <v>60</v>
      </c>
      <c r="C3384" s="43" t="s">
        <v>61</v>
      </c>
      <c r="D3384" s="44">
        <v>45847</v>
      </c>
      <c r="E3384" s="45">
        <v>73.2</v>
      </c>
    </row>
    <row r="3385" spans="2:5">
      <c r="B3385" s="43" t="s">
        <v>62</v>
      </c>
      <c r="C3385" s="43" t="s">
        <v>63</v>
      </c>
      <c r="D3385" s="44">
        <v>45847</v>
      </c>
      <c r="E3385" s="45">
        <v>1373.5</v>
      </c>
    </row>
    <row r="3386" spans="2:5">
      <c r="B3386" s="43" t="s">
        <v>64</v>
      </c>
      <c r="C3386" s="43" t="s">
        <v>65</v>
      </c>
      <c r="D3386" s="44">
        <v>45847</v>
      </c>
      <c r="E3386" s="45">
        <v>1320</v>
      </c>
    </row>
    <row r="3387" spans="2:5">
      <c r="B3387" s="43" t="s">
        <v>84</v>
      </c>
      <c r="C3387" s="43" t="s">
        <v>85</v>
      </c>
      <c r="D3387" s="44">
        <v>45847</v>
      </c>
      <c r="E3387" s="45">
        <v>149.7</v>
      </c>
    </row>
    <row r="3388" spans="2:5">
      <c r="B3388" s="43" t="s">
        <v>208</v>
      </c>
      <c r="C3388" s="43" t="s">
        <v>209</v>
      </c>
      <c r="D3388" s="44">
        <v>45847</v>
      </c>
      <c r="E3388" s="45">
        <v>105</v>
      </c>
    </row>
    <row r="3389" spans="2:5">
      <c r="B3389" s="43" t="s">
        <v>142</v>
      </c>
      <c r="C3389" s="43" t="s">
        <v>143</v>
      </c>
      <c r="D3389" s="44">
        <v>45847</v>
      </c>
      <c r="E3389" s="45">
        <v>7</v>
      </c>
    </row>
    <row r="3390" spans="2:5">
      <c r="B3390" s="43" t="s">
        <v>96</v>
      </c>
      <c r="C3390" s="43" t="s">
        <v>97</v>
      </c>
      <c r="D3390" s="44">
        <v>45847</v>
      </c>
      <c r="E3390" s="45">
        <v>2</v>
      </c>
    </row>
    <row r="3391" spans="2:5">
      <c r="B3391" s="43" t="s">
        <v>224</v>
      </c>
      <c r="C3391" s="43" t="s">
        <v>225</v>
      </c>
      <c r="D3391" s="44">
        <v>45847</v>
      </c>
      <c r="E3391" s="45">
        <v>14</v>
      </c>
    </row>
    <row r="3392" spans="2:5">
      <c r="B3392" s="43" t="s">
        <v>226</v>
      </c>
      <c r="C3392" s="43" t="s">
        <v>227</v>
      </c>
      <c r="D3392" s="44">
        <v>45847</v>
      </c>
      <c r="E3392" s="45">
        <v>16</v>
      </c>
    </row>
    <row r="3393" spans="2:5">
      <c r="B3393" s="43" t="s">
        <v>34</v>
      </c>
      <c r="C3393" s="43" t="s">
        <v>35</v>
      </c>
      <c r="D3393" s="44">
        <v>45847</v>
      </c>
      <c r="E3393" s="45">
        <v>8</v>
      </c>
    </row>
    <row r="3394" spans="2:5">
      <c r="B3394" s="43" t="s">
        <v>102</v>
      </c>
      <c r="C3394" s="43" t="s">
        <v>103</v>
      </c>
      <c r="D3394" s="44">
        <v>45848</v>
      </c>
      <c r="E3394" s="45">
        <v>3</v>
      </c>
    </row>
    <row r="3395" spans="2:5">
      <c r="B3395" s="43" t="s">
        <v>4</v>
      </c>
      <c r="C3395" s="43" t="s">
        <v>5</v>
      </c>
      <c r="D3395" s="44">
        <v>45848</v>
      </c>
      <c r="E3395" s="45">
        <v>113.9</v>
      </c>
    </row>
    <row r="3396" spans="2:5">
      <c r="B3396" s="43" t="s">
        <v>156</v>
      </c>
      <c r="C3396" s="43" t="s">
        <v>157</v>
      </c>
      <c r="D3396" s="44">
        <v>45848</v>
      </c>
      <c r="E3396" s="45">
        <v>46.8</v>
      </c>
    </row>
    <row r="3397" spans="2:5">
      <c r="B3397" s="43" t="s">
        <v>8</v>
      </c>
      <c r="C3397" s="43" t="s">
        <v>9</v>
      </c>
      <c r="D3397" s="44">
        <v>45848</v>
      </c>
      <c r="E3397" s="45">
        <v>217.5</v>
      </c>
    </row>
    <row r="3398" spans="2:5">
      <c r="B3398" s="43" t="s">
        <v>44</v>
      </c>
      <c r="C3398" s="43" t="s">
        <v>45</v>
      </c>
      <c r="D3398" s="44">
        <v>45848</v>
      </c>
      <c r="E3398" s="45">
        <v>34</v>
      </c>
    </row>
    <row r="3399" spans="2:5">
      <c r="B3399" s="43" t="s">
        <v>46</v>
      </c>
      <c r="C3399" s="43" t="s">
        <v>47</v>
      </c>
      <c r="D3399" s="44">
        <v>45848</v>
      </c>
      <c r="E3399" s="45">
        <v>101.7</v>
      </c>
    </row>
    <row r="3400" spans="2:5">
      <c r="B3400" s="43" t="s">
        <v>206</v>
      </c>
      <c r="C3400" s="43" t="s">
        <v>207</v>
      </c>
      <c r="D3400" s="44">
        <v>45848</v>
      </c>
      <c r="E3400" s="45">
        <v>303</v>
      </c>
    </row>
    <row r="3401" spans="2:5">
      <c r="B3401" s="43" t="s">
        <v>74</v>
      </c>
      <c r="C3401" s="43" t="s">
        <v>75</v>
      </c>
      <c r="D3401" s="44">
        <v>45848</v>
      </c>
      <c r="E3401" s="45">
        <v>249</v>
      </c>
    </row>
    <row r="3402" spans="2:5">
      <c r="B3402" s="43" t="s">
        <v>12</v>
      </c>
      <c r="C3402" s="43" t="s">
        <v>13</v>
      </c>
      <c r="D3402" s="44">
        <v>45848</v>
      </c>
      <c r="E3402" s="45">
        <v>386.4</v>
      </c>
    </row>
    <row r="3403" spans="2:5">
      <c r="B3403" s="43" t="s">
        <v>108</v>
      </c>
      <c r="C3403" s="43" t="s">
        <v>109</v>
      </c>
      <c r="D3403" s="44">
        <v>45848</v>
      </c>
      <c r="E3403" s="45">
        <v>46.5</v>
      </c>
    </row>
    <row r="3404" spans="2:5">
      <c r="B3404" s="43" t="s">
        <v>48</v>
      </c>
      <c r="C3404" s="43" t="s">
        <v>49</v>
      </c>
      <c r="D3404" s="44">
        <v>45848</v>
      </c>
      <c r="E3404" s="45">
        <v>1094.4</v>
      </c>
    </row>
    <row r="3405" spans="2:5">
      <c r="B3405" s="43" t="s">
        <v>134</v>
      </c>
      <c r="C3405" s="43" t="s">
        <v>135</v>
      </c>
      <c r="D3405" s="44">
        <v>45848</v>
      </c>
      <c r="E3405" s="45">
        <v>612.5</v>
      </c>
    </row>
    <row r="3406" spans="2:5">
      <c r="B3406" s="43" t="s">
        <v>152</v>
      </c>
      <c r="C3406" s="43" t="s">
        <v>153</v>
      </c>
      <c r="D3406" s="44">
        <v>45848</v>
      </c>
      <c r="E3406" s="45">
        <v>511.5</v>
      </c>
    </row>
    <row r="3407" spans="2:5">
      <c r="B3407" s="43" t="s">
        <v>168</v>
      </c>
      <c r="C3407" s="43" t="s">
        <v>169</v>
      </c>
      <c r="D3407" s="44">
        <v>45848</v>
      </c>
      <c r="E3407" s="45">
        <v>20.1</v>
      </c>
    </row>
    <row r="3408" spans="2:5">
      <c r="B3408" s="43" t="s">
        <v>130</v>
      </c>
      <c r="C3408" s="43" t="s">
        <v>131</v>
      </c>
      <c r="D3408" s="44">
        <v>45848</v>
      </c>
      <c r="E3408" s="45">
        <v>517</v>
      </c>
    </row>
    <row r="3409" spans="2:5">
      <c r="B3409" s="43" t="s">
        <v>20</v>
      </c>
      <c r="C3409" s="43" t="s">
        <v>21</v>
      </c>
      <c r="D3409" s="44">
        <v>45848</v>
      </c>
      <c r="E3409" s="45">
        <v>98</v>
      </c>
    </row>
    <row r="3410" spans="2:5">
      <c r="B3410" s="43" t="s">
        <v>22</v>
      </c>
      <c r="C3410" s="43" t="s">
        <v>23</v>
      </c>
      <c r="D3410" s="44">
        <v>45848</v>
      </c>
      <c r="E3410" s="45">
        <v>124.8</v>
      </c>
    </row>
    <row r="3411" spans="2:5">
      <c r="B3411" s="43" t="s">
        <v>140</v>
      </c>
      <c r="C3411" s="43" t="s">
        <v>141</v>
      </c>
      <c r="D3411" s="44">
        <v>45848</v>
      </c>
      <c r="E3411" s="45">
        <v>1044</v>
      </c>
    </row>
    <row r="3412" spans="2:5">
      <c r="B3412" s="43" t="s">
        <v>24</v>
      </c>
      <c r="C3412" s="43" t="s">
        <v>25</v>
      </c>
      <c r="D3412" s="44">
        <v>45848</v>
      </c>
      <c r="E3412" s="45">
        <v>1049.4</v>
      </c>
    </row>
    <row r="3413" spans="2:5">
      <c r="B3413" s="43" t="s">
        <v>210</v>
      </c>
      <c r="C3413" s="43" t="s">
        <v>211</v>
      </c>
      <c r="D3413" s="44">
        <v>45848</v>
      </c>
      <c r="E3413" s="45">
        <v>861</v>
      </c>
    </row>
    <row r="3414" spans="2:5">
      <c r="B3414" s="43" t="s">
        <v>26</v>
      </c>
      <c r="C3414" s="43" t="s">
        <v>27</v>
      </c>
      <c r="D3414" s="44">
        <v>45848</v>
      </c>
      <c r="E3414" s="45">
        <v>1181.8</v>
      </c>
    </row>
    <row r="3415" spans="2:5">
      <c r="B3415" s="43" t="s">
        <v>110</v>
      </c>
      <c r="C3415" s="43" t="s">
        <v>111</v>
      </c>
      <c r="D3415" s="44">
        <v>45848</v>
      </c>
      <c r="E3415" s="45">
        <v>990</v>
      </c>
    </row>
    <row r="3416" spans="2:5">
      <c r="B3416" s="43" t="s">
        <v>60</v>
      </c>
      <c r="C3416" s="43" t="s">
        <v>61</v>
      </c>
      <c r="D3416" s="44">
        <v>45848</v>
      </c>
      <c r="E3416" s="45">
        <v>128.1</v>
      </c>
    </row>
    <row r="3417" spans="2:5">
      <c r="B3417" s="43" t="s">
        <v>62</v>
      </c>
      <c r="C3417" s="43" t="s">
        <v>63</v>
      </c>
      <c r="D3417" s="44">
        <v>45848</v>
      </c>
      <c r="E3417" s="45">
        <v>348.5</v>
      </c>
    </row>
    <row r="3418" spans="2:5">
      <c r="B3418" s="43" t="s">
        <v>150</v>
      </c>
      <c r="C3418" s="43" t="s">
        <v>151</v>
      </c>
      <c r="D3418" s="44">
        <v>45848</v>
      </c>
      <c r="E3418" s="45">
        <v>108.2</v>
      </c>
    </row>
    <row r="3419" spans="2:5">
      <c r="B3419" s="43" t="s">
        <v>208</v>
      </c>
      <c r="C3419" s="43" t="s">
        <v>209</v>
      </c>
      <c r="D3419" s="44">
        <v>45848</v>
      </c>
      <c r="E3419" s="45">
        <v>1400</v>
      </c>
    </row>
    <row r="3420" spans="2:5">
      <c r="B3420" s="43" t="s">
        <v>196</v>
      </c>
      <c r="C3420" s="43" t="s">
        <v>197</v>
      </c>
      <c r="D3420" s="44">
        <v>45848</v>
      </c>
      <c r="E3420" s="45">
        <v>50</v>
      </c>
    </row>
    <row r="3421" spans="2:5">
      <c r="B3421" s="43" t="s">
        <v>96</v>
      </c>
      <c r="C3421" s="43" t="s">
        <v>97</v>
      </c>
      <c r="D3421" s="44">
        <v>45848</v>
      </c>
      <c r="E3421" s="45">
        <v>11</v>
      </c>
    </row>
    <row r="3422" spans="2:5">
      <c r="B3422" s="43" t="s">
        <v>226</v>
      </c>
      <c r="C3422" s="43" t="s">
        <v>227</v>
      </c>
      <c r="D3422" s="44">
        <v>45848</v>
      </c>
      <c r="E3422" s="45">
        <v>5</v>
      </c>
    </row>
    <row r="3423" spans="2:5">
      <c r="B3423" s="43" t="s">
        <v>34</v>
      </c>
      <c r="C3423" s="43" t="s">
        <v>35</v>
      </c>
      <c r="D3423" s="44">
        <v>45848</v>
      </c>
      <c r="E3423" s="45">
        <v>17</v>
      </c>
    </row>
    <row r="3424" spans="2:5">
      <c r="B3424" s="43" t="s">
        <v>170</v>
      </c>
      <c r="C3424" s="43" t="s">
        <v>171</v>
      </c>
      <c r="D3424" s="44">
        <v>45848</v>
      </c>
      <c r="E3424" s="45">
        <v>3</v>
      </c>
    </row>
    <row r="3425" spans="2:5">
      <c r="B3425" s="43" t="s">
        <v>38</v>
      </c>
      <c r="C3425" s="43" t="s">
        <v>39</v>
      </c>
      <c r="D3425" s="44">
        <v>45848</v>
      </c>
      <c r="E3425" s="45">
        <v>17</v>
      </c>
    </row>
    <row r="3426" spans="2:5">
      <c r="B3426" s="43" t="s">
        <v>156</v>
      </c>
      <c r="C3426" s="43" t="s">
        <v>157</v>
      </c>
      <c r="D3426" s="44">
        <v>45849</v>
      </c>
      <c r="E3426" s="45">
        <v>31.2</v>
      </c>
    </row>
    <row r="3427" spans="2:5">
      <c r="B3427" s="43" t="s">
        <v>8</v>
      </c>
      <c r="C3427" s="43" t="s">
        <v>9</v>
      </c>
      <c r="D3427" s="44">
        <v>45849</v>
      </c>
      <c r="E3427" s="45">
        <v>217.5</v>
      </c>
    </row>
    <row r="3428" spans="2:5">
      <c r="B3428" s="43" t="s">
        <v>44</v>
      </c>
      <c r="C3428" s="43" t="s">
        <v>45</v>
      </c>
      <c r="D3428" s="44">
        <v>45849</v>
      </c>
      <c r="E3428" s="45">
        <v>17</v>
      </c>
    </row>
    <row r="3429" spans="2:5">
      <c r="B3429" s="43" t="s">
        <v>46</v>
      </c>
      <c r="C3429" s="43" t="s">
        <v>47</v>
      </c>
      <c r="D3429" s="44">
        <v>45849</v>
      </c>
      <c r="E3429" s="45">
        <v>339</v>
      </c>
    </row>
    <row r="3430" spans="2:5">
      <c r="B3430" s="43" t="s">
        <v>10</v>
      </c>
      <c r="C3430" s="43" t="s">
        <v>11</v>
      </c>
      <c r="D3430" s="44">
        <v>45849</v>
      </c>
      <c r="E3430" s="45">
        <v>1060.8</v>
      </c>
    </row>
    <row r="3431" spans="2:5">
      <c r="B3431" s="43" t="s">
        <v>12</v>
      </c>
      <c r="C3431" s="43" t="s">
        <v>13</v>
      </c>
      <c r="D3431" s="44">
        <v>45849</v>
      </c>
      <c r="E3431" s="45">
        <v>82.8</v>
      </c>
    </row>
    <row r="3432" spans="2:5">
      <c r="B3432" s="43" t="s">
        <v>108</v>
      </c>
      <c r="C3432" s="43" t="s">
        <v>109</v>
      </c>
      <c r="D3432" s="44">
        <v>45849</v>
      </c>
      <c r="E3432" s="45">
        <v>465</v>
      </c>
    </row>
    <row r="3433" spans="2:5">
      <c r="B3433" s="43" t="s">
        <v>50</v>
      </c>
      <c r="C3433" s="43" t="s">
        <v>51</v>
      </c>
      <c r="D3433" s="44">
        <v>45849</v>
      </c>
      <c r="E3433" s="45">
        <v>544</v>
      </c>
    </row>
    <row r="3434" spans="2:5">
      <c r="B3434" s="43" t="s">
        <v>56</v>
      </c>
      <c r="C3434" s="43" t="s">
        <v>57</v>
      </c>
      <c r="D3434" s="44">
        <v>45849</v>
      </c>
      <c r="E3434" s="45">
        <v>724</v>
      </c>
    </row>
    <row r="3435" spans="2:5">
      <c r="B3435" s="43" t="s">
        <v>204</v>
      </c>
      <c r="C3435" s="43" t="s">
        <v>205</v>
      </c>
      <c r="D3435" s="44">
        <v>45849</v>
      </c>
      <c r="E3435" s="45">
        <v>339</v>
      </c>
    </row>
    <row r="3436" spans="2:5">
      <c r="B3436" s="43" t="s">
        <v>188</v>
      </c>
      <c r="C3436" s="43" t="s">
        <v>189</v>
      </c>
      <c r="D3436" s="44">
        <v>45849</v>
      </c>
      <c r="E3436" s="45">
        <v>184.8</v>
      </c>
    </row>
    <row r="3437" spans="2:5">
      <c r="B3437" s="43" t="s">
        <v>168</v>
      </c>
      <c r="C3437" s="43" t="s">
        <v>169</v>
      </c>
      <c r="D3437" s="44">
        <v>45849</v>
      </c>
      <c r="E3437" s="45">
        <v>341.7</v>
      </c>
    </row>
    <row r="3438" spans="2:5">
      <c r="B3438" s="43" t="s">
        <v>16</v>
      </c>
      <c r="C3438" s="43" t="s">
        <v>17</v>
      </c>
      <c r="D3438" s="44">
        <v>45849</v>
      </c>
      <c r="E3438" s="45">
        <v>68.4</v>
      </c>
    </row>
    <row r="3439" spans="2:5">
      <c r="B3439" s="43" t="s">
        <v>20</v>
      </c>
      <c r="C3439" s="43" t="s">
        <v>21</v>
      </c>
      <c r="D3439" s="44">
        <v>45849</v>
      </c>
      <c r="E3439" s="45">
        <v>68.6</v>
      </c>
    </row>
    <row r="3440" spans="2:5">
      <c r="B3440" s="43" t="s">
        <v>22</v>
      </c>
      <c r="C3440" s="43" t="s">
        <v>23</v>
      </c>
      <c r="D3440" s="44">
        <v>45849</v>
      </c>
      <c r="E3440" s="45">
        <v>48</v>
      </c>
    </row>
    <row r="3441" spans="2:5">
      <c r="B3441" s="43" t="s">
        <v>80</v>
      </c>
      <c r="C3441" s="43" t="s">
        <v>81</v>
      </c>
      <c r="D3441" s="44">
        <v>45849</v>
      </c>
      <c r="E3441" s="45">
        <v>28.7</v>
      </c>
    </row>
    <row r="3442" spans="2:5">
      <c r="B3442" s="43" t="s">
        <v>24</v>
      </c>
      <c r="C3442" s="43" t="s">
        <v>25</v>
      </c>
      <c r="D3442" s="44">
        <v>45849</v>
      </c>
      <c r="E3442" s="45">
        <v>1828.5</v>
      </c>
    </row>
    <row r="3443" spans="2:5">
      <c r="B3443" s="43" t="s">
        <v>58</v>
      </c>
      <c r="C3443" s="43" t="s">
        <v>59</v>
      </c>
      <c r="D3443" s="44">
        <v>45849</v>
      </c>
      <c r="E3443" s="45">
        <v>283.2</v>
      </c>
    </row>
    <row r="3444" spans="2:5">
      <c r="B3444" s="43" t="s">
        <v>26</v>
      </c>
      <c r="C3444" s="43" t="s">
        <v>27</v>
      </c>
      <c r="D3444" s="44">
        <v>45849</v>
      </c>
      <c r="E3444" s="45">
        <v>1928.2</v>
      </c>
    </row>
    <row r="3445" spans="2:5">
      <c r="B3445" s="43" t="s">
        <v>60</v>
      </c>
      <c r="C3445" s="43" t="s">
        <v>61</v>
      </c>
      <c r="D3445" s="44">
        <v>45849</v>
      </c>
      <c r="E3445" s="45">
        <v>54.9</v>
      </c>
    </row>
    <row r="3446" spans="2:5">
      <c r="B3446" s="43" t="s">
        <v>62</v>
      </c>
      <c r="C3446" s="43" t="s">
        <v>63</v>
      </c>
      <c r="D3446" s="44">
        <v>45849</v>
      </c>
      <c r="E3446" s="45">
        <v>758.5</v>
      </c>
    </row>
    <row r="3447" spans="2:5">
      <c r="B3447" s="43" t="s">
        <v>64</v>
      </c>
      <c r="C3447" s="43" t="s">
        <v>65</v>
      </c>
      <c r="D3447" s="44">
        <v>45849</v>
      </c>
      <c r="E3447" s="45">
        <v>300</v>
      </c>
    </row>
    <row r="3448" spans="2:5">
      <c r="B3448" s="43" t="s">
        <v>196</v>
      </c>
      <c r="C3448" s="43" t="s">
        <v>197</v>
      </c>
      <c r="D3448" s="44">
        <v>45849</v>
      </c>
      <c r="E3448" s="45">
        <v>8</v>
      </c>
    </row>
    <row r="3449" spans="2:5">
      <c r="B3449" s="43" t="s">
        <v>96</v>
      </c>
      <c r="C3449" s="43" t="s">
        <v>97</v>
      </c>
      <c r="D3449" s="44">
        <v>45849</v>
      </c>
      <c r="E3449" s="45">
        <v>1</v>
      </c>
    </row>
    <row r="3450" spans="2:5">
      <c r="B3450" s="43" t="s">
        <v>224</v>
      </c>
      <c r="C3450" s="43" t="s">
        <v>225</v>
      </c>
      <c r="D3450" s="44">
        <v>45849</v>
      </c>
      <c r="E3450" s="45">
        <v>3</v>
      </c>
    </row>
    <row r="3451" spans="2:5">
      <c r="B3451" s="43" t="s">
        <v>226</v>
      </c>
      <c r="C3451" s="43" t="s">
        <v>227</v>
      </c>
      <c r="D3451" s="44">
        <v>45849</v>
      </c>
      <c r="E3451" s="45">
        <v>3</v>
      </c>
    </row>
    <row r="3452" spans="2:5">
      <c r="B3452" s="43" t="s">
        <v>160</v>
      </c>
      <c r="C3452" s="43" t="s">
        <v>161</v>
      </c>
      <c r="D3452" s="44">
        <v>45849</v>
      </c>
      <c r="E3452" s="45">
        <v>3</v>
      </c>
    </row>
    <row r="3453" spans="2:5">
      <c r="B3453" s="43" t="s">
        <v>34</v>
      </c>
      <c r="C3453" s="43" t="s">
        <v>35</v>
      </c>
      <c r="D3453" s="44">
        <v>45849</v>
      </c>
      <c r="E3453" s="45">
        <v>10</v>
      </c>
    </row>
    <row r="3454" spans="2:5">
      <c r="B3454" s="43" t="s">
        <v>100</v>
      </c>
      <c r="C3454" s="43" t="s">
        <v>101</v>
      </c>
      <c r="D3454" s="44">
        <v>45852</v>
      </c>
      <c r="E3454" s="45">
        <v>14</v>
      </c>
    </row>
    <row r="3455" spans="2:5">
      <c r="B3455" s="43" t="s">
        <v>4</v>
      </c>
      <c r="C3455" s="43" t="s">
        <v>5</v>
      </c>
      <c r="D3455" s="44">
        <v>45852</v>
      </c>
      <c r="E3455" s="45">
        <v>40.2</v>
      </c>
    </row>
    <row r="3456" spans="2:5">
      <c r="B3456" s="43" t="s">
        <v>8</v>
      </c>
      <c r="C3456" s="43" t="s">
        <v>9</v>
      </c>
      <c r="D3456" s="44">
        <v>45852</v>
      </c>
      <c r="E3456" s="45">
        <v>52.2</v>
      </c>
    </row>
    <row r="3457" spans="2:5">
      <c r="B3457" s="43" t="s">
        <v>12</v>
      </c>
      <c r="C3457" s="43" t="s">
        <v>13</v>
      </c>
      <c r="D3457" s="44">
        <v>45852</v>
      </c>
      <c r="E3457" s="45">
        <v>234.6</v>
      </c>
    </row>
    <row r="3458" spans="2:5">
      <c r="B3458" s="43" t="s">
        <v>50</v>
      </c>
      <c r="C3458" s="43" t="s">
        <v>51</v>
      </c>
      <c r="D3458" s="44">
        <v>45852</v>
      </c>
      <c r="E3458" s="45">
        <v>530.4</v>
      </c>
    </row>
    <row r="3459" spans="2:5">
      <c r="B3459" s="43" t="s">
        <v>114</v>
      </c>
      <c r="C3459" s="43" t="s">
        <v>115</v>
      </c>
      <c r="D3459" s="44">
        <v>45852</v>
      </c>
      <c r="E3459" s="45">
        <v>186.2</v>
      </c>
    </row>
    <row r="3460" spans="2:5">
      <c r="B3460" s="43" t="s">
        <v>52</v>
      </c>
      <c r="C3460" s="43" t="s">
        <v>53</v>
      </c>
      <c r="D3460" s="44">
        <v>45852</v>
      </c>
      <c r="E3460" s="45">
        <v>711</v>
      </c>
    </row>
    <row r="3461" spans="2:5">
      <c r="B3461" s="43" t="s">
        <v>56</v>
      </c>
      <c r="C3461" s="43" t="s">
        <v>57</v>
      </c>
      <c r="D3461" s="44">
        <v>45852</v>
      </c>
      <c r="E3461" s="45">
        <v>181</v>
      </c>
    </row>
    <row r="3462" spans="2:5">
      <c r="B3462" s="43" t="s">
        <v>76</v>
      </c>
      <c r="C3462" s="43" t="s">
        <v>77</v>
      </c>
      <c r="D3462" s="44">
        <v>45852</v>
      </c>
      <c r="E3462" s="45">
        <v>176.5</v>
      </c>
    </row>
    <row r="3463" spans="2:5">
      <c r="B3463" s="43" t="s">
        <v>78</v>
      </c>
      <c r="C3463" s="43" t="s">
        <v>79</v>
      </c>
      <c r="D3463" s="44">
        <v>45852</v>
      </c>
      <c r="E3463" s="45">
        <v>333.2</v>
      </c>
    </row>
    <row r="3464" spans="2:5">
      <c r="B3464" s="43" t="s">
        <v>20</v>
      </c>
      <c r="C3464" s="43" t="s">
        <v>21</v>
      </c>
      <c r="D3464" s="44">
        <v>45852</v>
      </c>
      <c r="E3464" s="45">
        <v>176.4</v>
      </c>
    </row>
    <row r="3465" spans="2:5">
      <c r="B3465" s="43" t="s">
        <v>22</v>
      </c>
      <c r="C3465" s="43" t="s">
        <v>23</v>
      </c>
      <c r="D3465" s="44">
        <v>45852</v>
      </c>
      <c r="E3465" s="45">
        <v>19.2</v>
      </c>
    </row>
    <row r="3466" spans="2:5">
      <c r="B3466" s="43" t="s">
        <v>24</v>
      </c>
      <c r="C3466" s="43" t="s">
        <v>25</v>
      </c>
      <c r="D3466" s="44">
        <v>45852</v>
      </c>
      <c r="E3466" s="45">
        <v>302.1</v>
      </c>
    </row>
    <row r="3467" spans="2:5">
      <c r="B3467" s="43" t="s">
        <v>26</v>
      </c>
      <c r="C3467" s="43" t="s">
        <v>27</v>
      </c>
      <c r="D3467" s="44">
        <v>45852</v>
      </c>
      <c r="E3467" s="45">
        <v>1088.5</v>
      </c>
    </row>
    <row r="3468" spans="2:5">
      <c r="B3468" s="43" t="s">
        <v>60</v>
      </c>
      <c r="C3468" s="43" t="s">
        <v>61</v>
      </c>
      <c r="D3468" s="44">
        <v>45852</v>
      </c>
      <c r="E3468" s="45">
        <v>73.2</v>
      </c>
    </row>
    <row r="3469" spans="2:5">
      <c r="B3469" s="43" t="s">
        <v>62</v>
      </c>
      <c r="C3469" s="43" t="s">
        <v>63</v>
      </c>
      <c r="D3469" s="44">
        <v>45852</v>
      </c>
      <c r="E3469" s="45">
        <v>635.5</v>
      </c>
    </row>
    <row r="3470" spans="2:5">
      <c r="B3470" s="43" t="s">
        <v>64</v>
      </c>
      <c r="C3470" s="43" t="s">
        <v>65</v>
      </c>
      <c r="D3470" s="44">
        <v>45852</v>
      </c>
      <c r="E3470" s="45">
        <v>380</v>
      </c>
    </row>
    <row r="3471" spans="2:5">
      <c r="B3471" s="43" t="s">
        <v>66</v>
      </c>
      <c r="C3471" s="43" t="s">
        <v>67</v>
      </c>
      <c r="D3471" s="44">
        <v>45852</v>
      </c>
      <c r="E3471" s="45">
        <v>332.4</v>
      </c>
    </row>
    <row r="3472" spans="2:5">
      <c r="B3472" s="43" t="s">
        <v>132</v>
      </c>
      <c r="C3472" s="43" t="s">
        <v>133</v>
      </c>
      <c r="D3472" s="44">
        <v>45852</v>
      </c>
      <c r="E3472" s="45">
        <v>61.8</v>
      </c>
    </row>
    <row r="3473" spans="2:5">
      <c r="B3473" s="43" t="s">
        <v>68</v>
      </c>
      <c r="C3473" s="43" t="s">
        <v>69</v>
      </c>
      <c r="D3473" s="44">
        <v>45852</v>
      </c>
      <c r="E3473" s="45">
        <v>71.8</v>
      </c>
    </row>
    <row r="3474" spans="2:5">
      <c r="B3474" s="43" t="s">
        <v>106</v>
      </c>
      <c r="C3474" s="43" t="s">
        <v>107</v>
      </c>
      <c r="D3474" s="44">
        <v>45852</v>
      </c>
      <c r="E3474" s="45">
        <v>7.7</v>
      </c>
    </row>
    <row r="3475" spans="2:5">
      <c r="B3475" s="43" t="s">
        <v>142</v>
      </c>
      <c r="C3475" s="43" t="s">
        <v>143</v>
      </c>
      <c r="D3475" s="44">
        <v>45852</v>
      </c>
      <c r="E3475" s="45">
        <v>9</v>
      </c>
    </row>
    <row r="3476" spans="2:5">
      <c r="B3476" s="43" t="s">
        <v>96</v>
      </c>
      <c r="C3476" s="43" t="s">
        <v>97</v>
      </c>
      <c r="D3476" s="44">
        <v>45852</v>
      </c>
      <c r="E3476" s="45">
        <v>3</v>
      </c>
    </row>
    <row r="3477" spans="2:5">
      <c r="B3477" s="43" t="s">
        <v>224</v>
      </c>
      <c r="C3477" s="43" t="s">
        <v>225</v>
      </c>
      <c r="D3477" s="44">
        <v>45852</v>
      </c>
      <c r="E3477" s="45">
        <v>1</v>
      </c>
    </row>
    <row r="3478" spans="2:5">
      <c r="B3478" s="43" t="s">
        <v>34</v>
      </c>
      <c r="C3478" s="43" t="s">
        <v>35</v>
      </c>
      <c r="D3478" s="44">
        <v>45852</v>
      </c>
      <c r="E3478" s="45">
        <v>5</v>
      </c>
    </row>
    <row r="3479" spans="2:5">
      <c r="B3479" s="43" t="s">
        <v>170</v>
      </c>
      <c r="C3479" s="43" t="s">
        <v>171</v>
      </c>
      <c r="D3479" s="44">
        <v>45852</v>
      </c>
      <c r="E3479" s="45">
        <v>4</v>
      </c>
    </row>
    <row r="3480" spans="2:5">
      <c r="B3480" s="43" t="s">
        <v>40</v>
      </c>
      <c r="C3480" s="43" t="s">
        <v>41</v>
      </c>
      <c r="D3480" s="44">
        <v>45853</v>
      </c>
      <c r="E3480" s="45">
        <v>18</v>
      </c>
    </row>
    <row r="3481" spans="2:5">
      <c r="B3481" s="43" t="s">
        <v>4</v>
      </c>
      <c r="C3481" s="43" t="s">
        <v>5</v>
      </c>
      <c r="D3481" s="44">
        <v>45853</v>
      </c>
      <c r="E3481" s="45">
        <v>120.6</v>
      </c>
    </row>
    <row r="3482" spans="2:5">
      <c r="B3482" s="43" t="s">
        <v>156</v>
      </c>
      <c r="C3482" s="43" t="s">
        <v>157</v>
      </c>
      <c r="D3482" s="44">
        <v>45853</v>
      </c>
      <c r="E3482" s="45">
        <v>15.6</v>
      </c>
    </row>
    <row r="3483" spans="2:5">
      <c r="B3483" s="43" t="s">
        <v>8</v>
      </c>
      <c r="C3483" s="43" t="s">
        <v>9</v>
      </c>
      <c r="D3483" s="44">
        <v>45853</v>
      </c>
      <c r="E3483" s="45">
        <v>548.1</v>
      </c>
    </row>
    <row r="3484" spans="2:5">
      <c r="B3484" s="43" t="s">
        <v>44</v>
      </c>
      <c r="C3484" s="43" t="s">
        <v>45</v>
      </c>
      <c r="D3484" s="44">
        <v>45853</v>
      </c>
      <c r="E3484" s="45">
        <v>221</v>
      </c>
    </row>
    <row r="3485" spans="2:5">
      <c r="B3485" s="43" t="s">
        <v>72</v>
      </c>
      <c r="C3485" s="43" t="s">
        <v>73</v>
      </c>
      <c r="D3485" s="44">
        <v>45853</v>
      </c>
      <c r="E3485" s="45">
        <v>295.8</v>
      </c>
    </row>
    <row r="3486" spans="2:5">
      <c r="B3486" s="43" t="s">
        <v>46</v>
      </c>
      <c r="C3486" s="43" t="s">
        <v>47</v>
      </c>
      <c r="D3486" s="44">
        <v>45853</v>
      </c>
      <c r="E3486" s="45">
        <v>226</v>
      </c>
    </row>
    <row r="3487" spans="2:5">
      <c r="B3487" s="43" t="s">
        <v>206</v>
      </c>
      <c r="C3487" s="43" t="s">
        <v>207</v>
      </c>
      <c r="D3487" s="44">
        <v>45853</v>
      </c>
      <c r="E3487" s="45">
        <v>121.2</v>
      </c>
    </row>
    <row r="3488" spans="2:5">
      <c r="B3488" s="43" t="s">
        <v>74</v>
      </c>
      <c r="C3488" s="43" t="s">
        <v>75</v>
      </c>
      <c r="D3488" s="44">
        <v>45853</v>
      </c>
      <c r="E3488" s="45">
        <v>709.65</v>
      </c>
    </row>
    <row r="3489" spans="2:5">
      <c r="B3489" s="43" t="s">
        <v>12</v>
      </c>
      <c r="C3489" s="43" t="s">
        <v>13</v>
      </c>
      <c r="D3489" s="44">
        <v>45853</v>
      </c>
      <c r="E3489" s="45">
        <v>289.8</v>
      </c>
    </row>
    <row r="3490" spans="2:5">
      <c r="B3490" s="43" t="s">
        <v>50</v>
      </c>
      <c r="C3490" s="43" t="s">
        <v>51</v>
      </c>
      <c r="D3490" s="44">
        <v>45853</v>
      </c>
      <c r="E3490" s="45">
        <v>190.4</v>
      </c>
    </row>
    <row r="3491" spans="2:5">
      <c r="B3491" s="43" t="s">
        <v>116</v>
      </c>
      <c r="C3491" s="43" t="s">
        <v>117</v>
      </c>
      <c r="D3491" s="44">
        <v>45853</v>
      </c>
      <c r="E3491" s="45">
        <v>32.6</v>
      </c>
    </row>
    <row r="3492" spans="2:5">
      <c r="B3492" s="43" t="s">
        <v>56</v>
      </c>
      <c r="C3492" s="43" t="s">
        <v>57</v>
      </c>
      <c r="D3492" s="44">
        <v>45853</v>
      </c>
      <c r="E3492" s="45">
        <v>289.6</v>
      </c>
    </row>
    <row r="3493" spans="2:5">
      <c r="B3493" s="43" t="s">
        <v>76</v>
      </c>
      <c r="C3493" s="43" t="s">
        <v>77</v>
      </c>
      <c r="D3493" s="44">
        <v>45853</v>
      </c>
      <c r="E3493" s="45">
        <v>52.95</v>
      </c>
    </row>
    <row r="3494" spans="2:5">
      <c r="B3494" s="43" t="s">
        <v>18</v>
      </c>
      <c r="C3494" s="43" t="s">
        <v>19</v>
      </c>
      <c r="D3494" s="44">
        <v>45853</v>
      </c>
      <c r="E3494" s="45">
        <v>44.5</v>
      </c>
    </row>
    <row r="3495" spans="2:5">
      <c r="B3495" s="43" t="s">
        <v>78</v>
      </c>
      <c r="C3495" s="43" t="s">
        <v>79</v>
      </c>
      <c r="D3495" s="44">
        <v>45853</v>
      </c>
      <c r="E3495" s="45">
        <v>17.7</v>
      </c>
    </row>
    <row r="3496" spans="2:5">
      <c r="B3496" s="43" t="s">
        <v>20</v>
      </c>
      <c r="C3496" s="43" t="s">
        <v>21</v>
      </c>
      <c r="D3496" s="44">
        <v>45853</v>
      </c>
      <c r="E3496" s="45">
        <v>147</v>
      </c>
    </row>
    <row r="3497" spans="2:5">
      <c r="B3497" s="43" t="s">
        <v>22</v>
      </c>
      <c r="C3497" s="43" t="s">
        <v>23</v>
      </c>
      <c r="D3497" s="44">
        <v>45853</v>
      </c>
      <c r="E3497" s="45">
        <v>48</v>
      </c>
    </row>
    <row r="3498" spans="2:5">
      <c r="B3498" s="43" t="s">
        <v>80</v>
      </c>
      <c r="C3498" s="43" t="s">
        <v>81</v>
      </c>
      <c r="D3498" s="44">
        <v>45853</v>
      </c>
      <c r="E3498" s="45">
        <v>660.1</v>
      </c>
    </row>
    <row r="3499" spans="2:5">
      <c r="B3499" s="43" t="s">
        <v>24</v>
      </c>
      <c r="C3499" s="43" t="s">
        <v>25</v>
      </c>
      <c r="D3499" s="44">
        <v>45853</v>
      </c>
      <c r="E3499" s="45">
        <v>3466.2</v>
      </c>
    </row>
    <row r="3500" spans="2:5">
      <c r="B3500" s="43" t="s">
        <v>26</v>
      </c>
      <c r="C3500" s="43" t="s">
        <v>27</v>
      </c>
      <c r="D3500" s="44">
        <v>45853</v>
      </c>
      <c r="E3500" s="45">
        <v>730.85</v>
      </c>
    </row>
    <row r="3501" spans="2:5">
      <c r="B3501" s="43" t="s">
        <v>60</v>
      </c>
      <c r="C3501" s="43" t="s">
        <v>61</v>
      </c>
      <c r="D3501" s="44">
        <v>45853</v>
      </c>
      <c r="E3501" s="45">
        <v>805.2</v>
      </c>
    </row>
    <row r="3502" spans="2:5">
      <c r="B3502" s="43" t="s">
        <v>28</v>
      </c>
      <c r="C3502" s="43" t="s">
        <v>29</v>
      </c>
      <c r="D3502" s="44">
        <v>45853</v>
      </c>
      <c r="E3502" s="45">
        <v>35.8</v>
      </c>
    </row>
    <row r="3503" spans="2:5">
      <c r="B3503" s="43" t="s">
        <v>82</v>
      </c>
      <c r="C3503" s="43" t="s">
        <v>83</v>
      </c>
      <c r="D3503" s="44">
        <v>45853</v>
      </c>
      <c r="E3503" s="45">
        <v>73.8</v>
      </c>
    </row>
    <row r="3504" spans="2:5">
      <c r="B3504" s="43" t="s">
        <v>62</v>
      </c>
      <c r="C3504" s="43" t="s">
        <v>63</v>
      </c>
      <c r="D3504" s="44">
        <v>45853</v>
      </c>
      <c r="E3504" s="45">
        <v>164</v>
      </c>
    </row>
    <row r="3505" spans="2:5">
      <c r="B3505" s="43" t="s">
        <v>64</v>
      </c>
      <c r="C3505" s="43" t="s">
        <v>65</v>
      </c>
      <c r="D3505" s="44">
        <v>45853</v>
      </c>
      <c r="E3505" s="45">
        <v>40</v>
      </c>
    </row>
    <row r="3506" spans="2:5">
      <c r="B3506" s="43" t="s">
        <v>198</v>
      </c>
      <c r="C3506" s="43" t="s">
        <v>199</v>
      </c>
      <c r="D3506" s="44">
        <v>45853</v>
      </c>
      <c r="E3506" s="45">
        <v>693</v>
      </c>
    </row>
    <row r="3507" spans="2:5">
      <c r="B3507" s="43" t="s">
        <v>66</v>
      </c>
      <c r="C3507" s="43" t="s">
        <v>67</v>
      </c>
      <c r="D3507" s="44">
        <v>45853</v>
      </c>
      <c r="E3507" s="45">
        <v>1024.9</v>
      </c>
    </row>
    <row r="3508" spans="2:5">
      <c r="B3508" s="43" t="s">
        <v>68</v>
      </c>
      <c r="C3508" s="43" t="s">
        <v>69</v>
      </c>
      <c r="D3508" s="44">
        <v>45853</v>
      </c>
      <c r="E3508" s="45">
        <v>502.6</v>
      </c>
    </row>
    <row r="3509" spans="2:5">
      <c r="B3509" s="43" t="s">
        <v>142</v>
      </c>
      <c r="C3509" s="43" t="s">
        <v>143</v>
      </c>
      <c r="D3509" s="44">
        <v>45853</v>
      </c>
      <c r="E3509" s="45">
        <v>60</v>
      </c>
    </row>
    <row r="3510" spans="2:5">
      <c r="B3510" s="43" t="s">
        <v>196</v>
      </c>
      <c r="C3510" s="43" t="s">
        <v>197</v>
      </c>
      <c r="D3510" s="44">
        <v>45853</v>
      </c>
      <c r="E3510" s="45">
        <v>30</v>
      </c>
    </row>
    <row r="3511" spans="2:5">
      <c r="B3511" s="43" t="s">
        <v>96</v>
      </c>
      <c r="C3511" s="43" t="s">
        <v>97</v>
      </c>
      <c r="D3511" s="44">
        <v>45853</v>
      </c>
      <c r="E3511" s="45">
        <v>373</v>
      </c>
    </row>
    <row r="3512" spans="2:5">
      <c r="B3512" s="43" t="s">
        <v>224</v>
      </c>
      <c r="C3512" s="43" t="s">
        <v>225</v>
      </c>
      <c r="D3512" s="44">
        <v>45853</v>
      </c>
      <c r="E3512" s="45">
        <v>7</v>
      </c>
    </row>
    <row r="3513" spans="2:5">
      <c r="B3513" s="43" t="s">
        <v>226</v>
      </c>
      <c r="C3513" s="43" t="s">
        <v>227</v>
      </c>
      <c r="D3513" s="44">
        <v>45853</v>
      </c>
      <c r="E3513" s="45">
        <v>31</v>
      </c>
    </row>
    <row r="3514" spans="2:5">
      <c r="B3514" s="43" t="s">
        <v>160</v>
      </c>
      <c r="C3514" s="43" t="s">
        <v>161</v>
      </c>
      <c r="D3514" s="44">
        <v>45853</v>
      </c>
      <c r="E3514" s="45">
        <v>2</v>
      </c>
    </row>
    <row r="3515" spans="2:5">
      <c r="B3515" s="43" t="s">
        <v>34</v>
      </c>
      <c r="C3515" s="43" t="s">
        <v>35</v>
      </c>
      <c r="D3515" s="44">
        <v>45853</v>
      </c>
      <c r="E3515" s="45">
        <v>35</v>
      </c>
    </row>
    <row r="3516" spans="2:5">
      <c r="B3516" s="43" t="s">
        <v>36</v>
      </c>
      <c r="C3516" s="43" t="s">
        <v>37</v>
      </c>
      <c r="D3516" s="44">
        <v>45853</v>
      </c>
      <c r="E3516" s="45">
        <v>56</v>
      </c>
    </row>
    <row r="3517" spans="2:5">
      <c r="B3517" s="43" t="s">
        <v>38</v>
      </c>
      <c r="C3517" s="43" t="s">
        <v>39</v>
      </c>
      <c r="D3517" s="44">
        <v>45853</v>
      </c>
      <c r="E3517" s="45">
        <v>81</v>
      </c>
    </row>
    <row r="3518" spans="2:5">
      <c r="B3518" s="43" t="s">
        <v>42</v>
      </c>
      <c r="C3518" s="43" t="s">
        <v>43</v>
      </c>
      <c r="D3518" s="44">
        <v>45854</v>
      </c>
      <c r="E3518" s="45">
        <v>24.2</v>
      </c>
    </row>
    <row r="3519" spans="2:5">
      <c r="B3519" s="43" t="s">
        <v>4</v>
      </c>
      <c r="C3519" s="43" t="s">
        <v>5</v>
      </c>
      <c r="D3519" s="44">
        <v>45854</v>
      </c>
      <c r="E3519" s="45">
        <v>20.1</v>
      </c>
    </row>
    <row r="3520" spans="2:5">
      <c r="B3520" s="43" t="s">
        <v>6</v>
      </c>
      <c r="C3520" s="43" t="s">
        <v>7</v>
      </c>
      <c r="D3520" s="44">
        <v>45854</v>
      </c>
      <c r="E3520" s="45">
        <v>792.55</v>
      </c>
    </row>
    <row r="3521" spans="2:5">
      <c r="B3521" s="43" t="s">
        <v>156</v>
      </c>
      <c r="C3521" s="43" t="s">
        <v>157</v>
      </c>
      <c r="D3521" s="44">
        <v>45854</v>
      </c>
      <c r="E3521" s="45">
        <v>241.8</v>
      </c>
    </row>
    <row r="3522" spans="2:5">
      <c r="B3522" s="43" t="s">
        <v>8</v>
      </c>
      <c r="C3522" s="43" t="s">
        <v>9</v>
      </c>
      <c r="D3522" s="44">
        <v>45854</v>
      </c>
      <c r="E3522" s="45">
        <v>113.1358</v>
      </c>
    </row>
    <row r="3523" spans="2:5">
      <c r="B3523" s="43" t="s">
        <v>72</v>
      </c>
      <c r="C3523" s="43" t="s">
        <v>73</v>
      </c>
      <c r="D3523" s="44">
        <v>45854</v>
      </c>
      <c r="E3523" s="45">
        <v>408</v>
      </c>
    </row>
    <row r="3524" spans="2:5">
      <c r="B3524" s="43" t="s">
        <v>12</v>
      </c>
      <c r="C3524" s="43" t="s">
        <v>13</v>
      </c>
      <c r="D3524" s="44">
        <v>45854</v>
      </c>
      <c r="E3524" s="45">
        <v>648.6</v>
      </c>
    </row>
    <row r="3525" spans="2:5">
      <c r="B3525" s="43" t="s">
        <v>14</v>
      </c>
      <c r="C3525" s="43" t="s">
        <v>15</v>
      </c>
      <c r="D3525" s="44">
        <v>45854</v>
      </c>
      <c r="E3525" s="45">
        <v>13.5</v>
      </c>
    </row>
    <row r="3526" spans="2:5">
      <c r="B3526" s="43" t="s">
        <v>230</v>
      </c>
      <c r="C3526" s="43" t="s">
        <v>231</v>
      </c>
      <c r="D3526" s="44">
        <v>45854</v>
      </c>
      <c r="E3526" s="45">
        <v>143.55</v>
      </c>
    </row>
    <row r="3527" spans="2:5">
      <c r="B3527" s="43" t="s">
        <v>50</v>
      </c>
      <c r="C3527" s="43" t="s">
        <v>51</v>
      </c>
      <c r="D3527" s="44">
        <v>45854</v>
      </c>
      <c r="E3527" s="45">
        <v>584.8</v>
      </c>
    </row>
    <row r="3528" spans="2:5">
      <c r="B3528" s="43" t="s">
        <v>52</v>
      </c>
      <c r="C3528" s="43" t="s">
        <v>53</v>
      </c>
      <c r="D3528" s="44">
        <v>45854</v>
      </c>
      <c r="E3528" s="45">
        <v>47.4</v>
      </c>
    </row>
    <row r="3529" spans="2:5">
      <c r="B3529" s="43" t="s">
        <v>78</v>
      </c>
      <c r="C3529" s="43" t="s">
        <v>79</v>
      </c>
      <c r="D3529" s="44">
        <v>45854</v>
      </c>
      <c r="E3529" s="45">
        <v>8.85</v>
      </c>
    </row>
    <row r="3530" spans="2:5">
      <c r="B3530" s="43" t="s">
        <v>20</v>
      </c>
      <c r="C3530" s="43" t="s">
        <v>21</v>
      </c>
      <c r="D3530" s="44">
        <v>45854</v>
      </c>
      <c r="E3530" s="45">
        <v>156.8</v>
      </c>
    </row>
    <row r="3531" spans="2:5">
      <c r="B3531" s="43" t="s">
        <v>22</v>
      </c>
      <c r="C3531" s="43" t="s">
        <v>23</v>
      </c>
      <c r="D3531" s="44">
        <v>45854</v>
      </c>
      <c r="E3531" s="45">
        <v>240</v>
      </c>
    </row>
    <row r="3532" spans="2:5">
      <c r="B3532" s="43" t="s">
        <v>140</v>
      </c>
      <c r="C3532" s="43" t="s">
        <v>141</v>
      </c>
      <c r="D3532" s="44">
        <v>45854</v>
      </c>
      <c r="E3532" s="45">
        <v>69.6</v>
      </c>
    </row>
    <row r="3533" spans="2:5">
      <c r="B3533" s="43" t="s">
        <v>24</v>
      </c>
      <c r="C3533" s="43" t="s">
        <v>25</v>
      </c>
      <c r="D3533" s="44">
        <v>45854</v>
      </c>
      <c r="E3533" s="45">
        <v>2655.3</v>
      </c>
    </row>
    <row r="3534" spans="2:5">
      <c r="B3534" s="43" t="s">
        <v>26</v>
      </c>
      <c r="C3534" s="43" t="s">
        <v>27</v>
      </c>
      <c r="D3534" s="44">
        <v>45854</v>
      </c>
      <c r="E3534" s="45">
        <v>933</v>
      </c>
    </row>
    <row r="3535" spans="2:5">
      <c r="B3535" s="43" t="s">
        <v>28</v>
      </c>
      <c r="C3535" s="43" t="s">
        <v>29</v>
      </c>
      <c r="D3535" s="44">
        <v>45854</v>
      </c>
      <c r="E3535" s="45">
        <v>107.4</v>
      </c>
    </row>
    <row r="3536" spans="2:5">
      <c r="B3536" s="43" t="s">
        <v>62</v>
      </c>
      <c r="C3536" s="43" t="s">
        <v>63</v>
      </c>
      <c r="D3536" s="44">
        <v>45854</v>
      </c>
      <c r="E3536" s="45">
        <v>1722</v>
      </c>
    </row>
    <row r="3537" spans="2:5">
      <c r="B3537" s="43" t="s">
        <v>64</v>
      </c>
      <c r="C3537" s="43" t="s">
        <v>65</v>
      </c>
      <c r="D3537" s="44">
        <v>45854</v>
      </c>
      <c r="E3537" s="45">
        <v>1220</v>
      </c>
    </row>
    <row r="3538" spans="2:5">
      <c r="B3538" s="43" t="s">
        <v>68</v>
      </c>
      <c r="C3538" s="43" t="s">
        <v>69</v>
      </c>
      <c r="D3538" s="44">
        <v>45854</v>
      </c>
      <c r="E3538" s="45">
        <v>71.8</v>
      </c>
    </row>
    <row r="3539" spans="2:5">
      <c r="B3539" s="43" t="s">
        <v>106</v>
      </c>
      <c r="C3539" s="43" t="s">
        <v>107</v>
      </c>
      <c r="D3539" s="44">
        <v>45854</v>
      </c>
      <c r="E3539" s="45">
        <v>15.4</v>
      </c>
    </row>
    <row r="3540" spans="2:5">
      <c r="B3540" s="43" t="s">
        <v>142</v>
      </c>
      <c r="C3540" s="43" t="s">
        <v>143</v>
      </c>
      <c r="D3540" s="44">
        <v>45854</v>
      </c>
      <c r="E3540" s="45">
        <v>1</v>
      </c>
    </row>
    <row r="3541" spans="2:5">
      <c r="B3541" s="43" t="s">
        <v>196</v>
      </c>
      <c r="C3541" s="43" t="s">
        <v>197</v>
      </c>
      <c r="D3541" s="44">
        <v>45854</v>
      </c>
      <c r="E3541" s="45">
        <v>3</v>
      </c>
    </row>
    <row r="3542" spans="2:5">
      <c r="B3542" s="43" t="s">
        <v>96</v>
      </c>
      <c r="C3542" s="43" t="s">
        <v>97</v>
      </c>
      <c r="D3542" s="44">
        <v>45854</v>
      </c>
      <c r="E3542" s="45">
        <v>10</v>
      </c>
    </row>
    <row r="3543" spans="2:5">
      <c r="B3543" s="43" t="s">
        <v>224</v>
      </c>
      <c r="C3543" s="43" t="s">
        <v>225</v>
      </c>
      <c r="D3543" s="44">
        <v>45854</v>
      </c>
      <c r="E3543" s="45">
        <v>1</v>
      </c>
    </row>
    <row r="3544" spans="2:5">
      <c r="B3544" s="43" t="s">
        <v>160</v>
      </c>
      <c r="C3544" s="43" t="s">
        <v>161</v>
      </c>
      <c r="D3544" s="44">
        <v>45854</v>
      </c>
      <c r="E3544" s="45">
        <v>7</v>
      </c>
    </row>
    <row r="3545" spans="2:5">
      <c r="B3545" s="43" t="s">
        <v>34</v>
      </c>
      <c r="C3545" s="43" t="s">
        <v>35</v>
      </c>
      <c r="D3545" s="44">
        <v>45854</v>
      </c>
      <c r="E3545" s="45">
        <v>20</v>
      </c>
    </row>
    <row r="3546" spans="2:5">
      <c r="B3546" s="43" t="s">
        <v>36</v>
      </c>
      <c r="C3546" s="43" t="s">
        <v>37</v>
      </c>
      <c r="D3546" s="44">
        <v>45854</v>
      </c>
      <c r="E3546" s="45">
        <v>24</v>
      </c>
    </row>
    <row r="3547" spans="2:5">
      <c r="B3547" s="43" t="s">
        <v>4</v>
      </c>
      <c r="C3547" s="43" t="s">
        <v>5</v>
      </c>
      <c r="D3547" s="44">
        <v>45855</v>
      </c>
      <c r="E3547" s="45">
        <v>375.2</v>
      </c>
    </row>
    <row r="3548" spans="2:5">
      <c r="B3548" s="43" t="s">
        <v>156</v>
      </c>
      <c r="C3548" s="43" t="s">
        <v>157</v>
      </c>
      <c r="D3548" s="44">
        <v>45855</v>
      </c>
      <c r="E3548" s="45">
        <v>117</v>
      </c>
    </row>
    <row r="3549" spans="2:5">
      <c r="B3549" s="43" t="s">
        <v>8</v>
      </c>
      <c r="C3549" s="43" t="s">
        <v>9</v>
      </c>
      <c r="D3549" s="44">
        <v>45855</v>
      </c>
      <c r="E3549" s="45">
        <v>539.4</v>
      </c>
    </row>
    <row r="3550" spans="2:5">
      <c r="B3550" s="43" t="s">
        <v>44</v>
      </c>
      <c r="C3550" s="43" t="s">
        <v>45</v>
      </c>
      <c r="D3550" s="44">
        <v>45855</v>
      </c>
      <c r="E3550" s="45">
        <v>25.5</v>
      </c>
    </row>
    <row r="3551" spans="2:5">
      <c r="B3551" s="43" t="s">
        <v>72</v>
      </c>
      <c r="C3551" s="43" t="s">
        <v>73</v>
      </c>
      <c r="D3551" s="44">
        <v>45855</v>
      </c>
      <c r="E3551" s="45">
        <v>153</v>
      </c>
    </row>
    <row r="3552" spans="2:5">
      <c r="B3552" s="43" t="s">
        <v>46</v>
      </c>
      <c r="C3552" s="43" t="s">
        <v>47</v>
      </c>
      <c r="D3552" s="44">
        <v>45855</v>
      </c>
      <c r="E3552" s="45">
        <v>1197.8</v>
      </c>
    </row>
    <row r="3553" spans="2:5">
      <c r="B3553" s="43" t="s">
        <v>10</v>
      </c>
      <c r="C3553" s="43" t="s">
        <v>11</v>
      </c>
      <c r="D3553" s="44">
        <v>45855</v>
      </c>
      <c r="E3553" s="45">
        <v>22.1</v>
      </c>
    </row>
    <row r="3554" spans="2:5">
      <c r="B3554" s="43" t="s">
        <v>12</v>
      </c>
      <c r="C3554" s="43" t="s">
        <v>13</v>
      </c>
      <c r="D3554" s="44">
        <v>45855</v>
      </c>
      <c r="E3554" s="45">
        <v>1504.2</v>
      </c>
    </row>
    <row r="3555" spans="2:5">
      <c r="B3555" s="43" t="s">
        <v>48</v>
      </c>
      <c r="C3555" s="43" t="s">
        <v>49</v>
      </c>
      <c r="D3555" s="44">
        <v>45855</v>
      </c>
      <c r="E3555" s="45">
        <v>30.4</v>
      </c>
    </row>
    <row r="3556" spans="2:5">
      <c r="B3556" s="43" t="s">
        <v>56</v>
      </c>
      <c r="C3556" s="43" t="s">
        <v>57</v>
      </c>
      <c r="D3556" s="44">
        <v>45855</v>
      </c>
      <c r="E3556" s="45">
        <v>54.3</v>
      </c>
    </row>
    <row r="3557" spans="2:5">
      <c r="B3557" s="43" t="s">
        <v>78</v>
      </c>
      <c r="C3557" s="43" t="s">
        <v>79</v>
      </c>
      <c r="D3557" s="44">
        <v>45855</v>
      </c>
      <c r="E3557" s="45">
        <v>26.55</v>
      </c>
    </row>
    <row r="3558" spans="2:5">
      <c r="B3558" s="43" t="s">
        <v>20</v>
      </c>
      <c r="C3558" s="43" t="s">
        <v>21</v>
      </c>
      <c r="D3558" s="44">
        <v>45855</v>
      </c>
      <c r="E3558" s="45">
        <v>39.2</v>
      </c>
    </row>
    <row r="3559" spans="2:5">
      <c r="B3559" s="43" t="s">
        <v>22</v>
      </c>
      <c r="C3559" s="43" t="s">
        <v>23</v>
      </c>
      <c r="D3559" s="44">
        <v>45855</v>
      </c>
      <c r="E3559" s="45">
        <v>48</v>
      </c>
    </row>
    <row r="3560" spans="2:5">
      <c r="B3560" s="43" t="s">
        <v>80</v>
      </c>
      <c r="C3560" s="43" t="s">
        <v>81</v>
      </c>
      <c r="D3560" s="44">
        <v>45855</v>
      </c>
      <c r="E3560" s="45">
        <v>315.7</v>
      </c>
    </row>
    <row r="3561" spans="2:5">
      <c r="B3561" s="43" t="s">
        <v>24</v>
      </c>
      <c r="C3561" s="43" t="s">
        <v>25</v>
      </c>
      <c r="D3561" s="44">
        <v>45855</v>
      </c>
      <c r="E3561" s="45">
        <v>2973.3</v>
      </c>
    </row>
    <row r="3562" spans="2:5">
      <c r="B3562" s="43" t="s">
        <v>58</v>
      </c>
      <c r="C3562" s="43" t="s">
        <v>59</v>
      </c>
      <c r="D3562" s="44">
        <v>45855</v>
      </c>
      <c r="E3562" s="45">
        <v>407.1</v>
      </c>
    </row>
    <row r="3563" spans="2:5">
      <c r="B3563" s="43" t="s">
        <v>26</v>
      </c>
      <c r="C3563" s="43" t="s">
        <v>27</v>
      </c>
      <c r="D3563" s="44">
        <v>45855</v>
      </c>
      <c r="E3563" s="45">
        <v>1275.1</v>
      </c>
    </row>
    <row r="3564" spans="2:5">
      <c r="B3564" s="43" t="s">
        <v>28</v>
      </c>
      <c r="C3564" s="43" t="s">
        <v>29</v>
      </c>
      <c r="D3564" s="44">
        <v>45855</v>
      </c>
      <c r="E3564" s="45">
        <v>232.7</v>
      </c>
    </row>
    <row r="3565" spans="2:5">
      <c r="B3565" s="43" t="s">
        <v>62</v>
      </c>
      <c r="C3565" s="43" t="s">
        <v>63</v>
      </c>
      <c r="D3565" s="44">
        <v>45855</v>
      </c>
      <c r="E3565" s="45">
        <v>61.5</v>
      </c>
    </row>
    <row r="3566" spans="2:5">
      <c r="B3566" s="43" t="s">
        <v>196</v>
      </c>
      <c r="C3566" s="43" t="s">
        <v>197</v>
      </c>
      <c r="D3566" s="44">
        <v>45855</v>
      </c>
      <c r="E3566" s="45">
        <v>5</v>
      </c>
    </row>
    <row r="3567" spans="2:5">
      <c r="B3567" s="43" t="s">
        <v>96</v>
      </c>
      <c r="C3567" s="43" t="s">
        <v>97</v>
      </c>
      <c r="D3567" s="44">
        <v>45855</v>
      </c>
      <c r="E3567" s="45">
        <v>42</v>
      </c>
    </row>
    <row r="3568" spans="2:5">
      <c r="B3568" s="43" t="s">
        <v>224</v>
      </c>
      <c r="C3568" s="43" t="s">
        <v>225</v>
      </c>
      <c r="D3568" s="44">
        <v>45855</v>
      </c>
      <c r="E3568" s="45">
        <v>1</v>
      </c>
    </row>
    <row r="3569" spans="2:5">
      <c r="B3569" s="43" t="s">
        <v>34</v>
      </c>
      <c r="C3569" s="43" t="s">
        <v>35</v>
      </c>
      <c r="D3569" s="44">
        <v>45855</v>
      </c>
      <c r="E3569" s="45">
        <v>17</v>
      </c>
    </row>
    <row r="3570" spans="2:5">
      <c r="B3570" s="43" t="s">
        <v>170</v>
      </c>
      <c r="C3570" s="43" t="s">
        <v>171</v>
      </c>
      <c r="D3570" s="44">
        <v>45855</v>
      </c>
      <c r="E3570" s="45">
        <v>2</v>
      </c>
    </row>
    <row r="3571" spans="2:5">
      <c r="B3571" s="43" t="s">
        <v>156</v>
      </c>
      <c r="C3571" s="43" t="s">
        <v>157</v>
      </c>
      <c r="D3571" s="44">
        <v>45856</v>
      </c>
      <c r="E3571" s="45">
        <v>15.6</v>
      </c>
    </row>
    <row r="3572" spans="2:5">
      <c r="B3572" s="43" t="s">
        <v>8</v>
      </c>
      <c r="C3572" s="43" t="s">
        <v>9</v>
      </c>
      <c r="D3572" s="44">
        <v>45856</v>
      </c>
      <c r="E3572" s="45">
        <v>34.8</v>
      </c>
    </row>
    <row r="3573" spans="2:5">
      <c r="B3573" s="43" t="s">
        <v>46</v>
      </c>
      <c r="C3573" s="43" t="s">
        <v>47</v>
      </c>
      <c r="D3573" s="44">
        <v>45856</v>
      </c>
      <c r="E3573" s="45">
        <v>90.4</v>
      </c>
    </row>
    <row r="3574" spans="2:5">
      <c r="B3574" s="43" t="s">
        <v>206</v>
      </c>
      <c r="C3574" s="43" t="s">
        <v>207</v>
      </c>
      <c r="D3574" s="44">
        <v>45856</v>
      </c>
      <c r="E3574" s="45">
        <v>40.4</v>
      </c>
    </row>
    <row r="3575" spans="2:5">
      <c r="B3575" s="43" t="s">
        <v>12</v>
      </c>
      <c r="C3575" s="43" t="s">
        <v>13</v>
      </c>
      <c r="D3575" s="44">
        <v>45856</v>
      </c>
      <c r="E3575" s="45">
        <v>124.2</v>
      </c>
    </row>
    <row r="3576" spans="2:5">
      <c r="B3576" s="43" t="s">
        <v>114</v>
      </c>
      <c r="C3576" s="43" t="s">
        <v>115</v>
      </c>
      <c r="D3576" s="44">
        <v>45856</v>
      </c>
      <c r="E3576" s="45">
        <v>319.2</v>
      </c>
    </row>
    <row r="3577" spans="2:5">
      <c r="B3577" s="43" t="s">
        <v>56</v>
      </c>
      <c r="C3577" s="43" t="s">
        <v>57</v>
      </c>
      <c r="D3577" s="44">
        <v>45856</v>
      </c>
      <c r="E3577" s="45">
        <v>72.4</v>
      </c>
    </row>
    <row r="3578" spans="2:5">
      <c r="B3578" s="43" t="s">
        <v>76</v>
      </c>
      <c r="C3578" s="43" t="s">
        <v>77</v>
      </c>
      <c r="D3578" s="44">
        <v>45856</v>
      </c>
      <c r="E3578" s="45">
        <v>635.4</v>
      </c>
    </row>
    <row r="3579" spans="2:5">
      <c r="B3579" s="43" t="s">
        <v>200</v>
      </c>
      <c r="C3579" s="43" t="s">
        <v>201</v>
      </c>
      <c r="D3579" s="44">
        <v>45856</v>
      </c>
      <c r="E3579" s="45">
        <v>110</v>
      </c>
    </row>
    <row r="3580" spans="2:5">
      <c r="B3580" s="43" t="s">
        <v>78</v>
      </c>
      <c r="C3580" s="43" t="s">
        <v>79</v>
      </c>
      <c r="D3580" s="44">
        <v>45856</v>
      </c>
      <c r="E3580" s="45">
        <v>17.7</v>
      </c>
    </row>
    <row r="3581" spans="2:5">
      <c r="B3581" s="43" t="s">
        <v>20</v>
      </c>
      <c r="C3581" s="43" t="s">
        <v>21</v>
      </c>
      <c r="D3581" s="44">
        <v>45856</v>
      </c>
      <c r="E3581" s="45">
        <v>176.4</v>
      </c>
    </row>
    <row r="3582" spans="2:5">
      <c r="B3582" s="43" t="s">
        <v>22</v>
      </c>
      <c r="C3582" s="43" t="s">
        <v>23</v>
      </c>
      <c r="D3582" s="44">
        <v>45856</v>
      </c>
      <c r="E3582" s="45">
        <v>67.2</v>
      </c>
    </row>
    <row r="3583" spans="2:5">
      <c r="B3583" s="43" t="s">
        <v>24</v>
      </c>
      <c r="C3583" s="43" t="s">
        <v>25</v>
      </c>
      <c r="D3583" s="44">
        <v>45856</v>
      </c>
      <c r="E3583" s="45">
        <v>747.3</v>
      </c>
    </row>
    <row r="3584" spans="2:5">
      <c r="B3584" s="43" t="s">
        <v>26</v>
      </c>
      <c r="C3584" s="43" t="s">
        <v>27</v>
      </c>
      <c r="D3584" s="44">
        <v>45856</v>
      </c>
      <c r="E3584" s="45">
        <v>248.8</v>
      </c>
    </row>
    <row r="3585" spans="2:5">
      <c r="B3585" s="43" t="s">
        <v>62</v>
      </c>
      <c r="C3585" s="43" t="s">
        <v>63</v>
      </c>
      <c r="D3585" s="44">
        <v>45856</v>
      </c>
      <c r="E3585" s="45">
        <v>348.5</v>
      </c>
    </row>
    <row r="3586" spans="2:5">
      <c r="B3586" s="43" t="s">
        <v>64</v>
      </c>
      <c r="C3586" s="43" t="s">
        <v>65</v>
      </c>
      <c r="D3586" s="44">
        <v>45856</v>
      </c>
      <c r="E3586" s="45">
        <v>400</v>
      </c>
    </row>
    <row r="3587" spans="2:5">
      <c r="B3587" s="43" t="s">
        <v>208</v>
      </c>
      <c r="C3587" s="43" t="s">
        <v>209</v>
      </c>
      <c r="D3587" s="44">
        <v>45856</v>
      </c>
      <c r="E3587" s="45">
        <v>70</v>
      </c>
    </row>
    <row r="3588" spans="2:5">
      <c r="B3588" s="43" t="s">
        <v>106</v>
      </c>
      <c r="C3588" s="43" t="s">
        <v>107</v>
      </c>
      <c r="D3588" s="44">
        <v>45856</v>
      </c>
      <c r="E3588" s="45">
        <v>7.7</v>
      </c>
    </row>
    <row r="3589" spans="2:5">
      <c r="B3589" s="43" t="s">
        <v>96</v>
      </c>
      <c r="C3589" s="43" t="s">
        <v>97</v>
      </c>
      <c r="D3589" s="44">
        <v>45856</v>
      </c>
      <c r="E3589" s="45">
        <v>11</v>
      </c>
    </row>
    <row r="3590" spans="2:5">
      <c r="B3590" s="43" t="s">
        <v>226</v>
      </c>
      <c r="C3590" s="43" t="s">
        <v>227</v>
      </c>
      <c r="D3590" s="44">
        <v>45856</v>
      </c>
      <c r="E3590" s="45">
        <v>5</v>
      </c>
    </row>
    <row r="3591" spans="2:5">
      <c r="B3591" s="43" t="s">
        <v>34</v>
      </c>
      <c r="C3591" s="43" t="s">
        <v>35</v>
      </c>
      <c r="D3591" s="44">
        <v>45856</v>
      </c>
      <c r="E3591" s="45">
        <v>5</v>
      </c>
    </row>
    <row r="3592" spans="2:5">
      <c r="B3592" s="43" t="s">
        <v>8</v>
      </c>
      <c r="C3592" s="43" t="s">
        <v>9</v>
      </c>
      <c r="D3592" s="44">
        <v>45859</v>
      </c>
      <c r="E3592" s="45">
        <v>8.7</v>
      </c>
    </row>
    <row r="3593" spans="2:5">
      <c r="B3593" s="43" t="s">
        <v>72</v>
      </c>
      <c r="C3593" s="43" t="s">
        <v>73</v>
      </c>
      <c r="D3593" s="44">
        <v>45859</v>
      </c>
      <c r="E3593" s="45">
        <v>40.8</v>
      </c>
    </row>
    <row r="3594" spans="2:5">
      <c r="B3594" s="43" t="s">
        <v>46</v>
      </c>
      <c r="C3594" s="43" t="s">
        <v>47</v>
      </c>
      <c r="D3594" s="44">
        <v>45859</v>
      </c>
      <c r="E3594" s="45">
        <v>248.6</v>
      </c>
    </row>
    <row r="3595" spans="2:5">
      <c r="B3595" s="43" t="s">
        <v>10</v>
      </c>
      <c r="C3595" s="43" t="s">
        <v>11</v>
      </c>
      <c r="D3595" s="44">
        <v>45859</v>
      </c>
      <c r="E3595" s="45">
        <v>66.3</v>
      </c>
    </row>
    <row r="3596" spans="2:5">
      <c r="B3596" s="43" t="s">
        <v>206</v>
      </c>
      <c r="C3596" s="43" t="s">
        <v>207</v>
      </c>
      <c r="D3596" s="44">
        <v>45859</v>
      </c>
      <c r="E3596" s="45">
        <v>545.4</v>
      </c>
    </row>
    <row r="3597" spans="2:5">
      <c r="B3597" s="43" t="s">
        <v>12</v>
      </c>
      <c r="C3597" s="43" t="s">
        <v>13</v>
      </c>
      <c r="D3597" s="44">
        <v>45859</v>
      </c>
      <c r="E3597" s="45">
        <v>110.4</v>
      </c>
    </row>
    <row r="3598" spans="2:5">
      <c r="B3598" s="43" t="s">
        <v>14</v>
      </c>
      <c r="C3598" s="43" t="s">
        <v>15</v>
      </c>
      <c r="D3598" s="44">
        <v>45859</v>
      </c>
      <c r="E3598" s="45">
        <v>3456</v>
      </c>
    </row>
    <row r="3599" spans="2:5">
      <c r="B3599" s="43" t="s">
        <v>76</v>
      </c>
      <c r="C3599" s="43" t="s">
        <v>77</v>
      </c>
      <c r="D3599" s="44">
        <v>45859</v>
      </c>
      <c r="E3599" s="45">
        <v>141.2</v>
      </c>
    </row>
    <row r="3600" spans="2:5">
      <c r="B3600" s="43" t="s">
        <v>20</v>
      </c>
      <c r="C3600" s="43" t="s">
        <v>21</v>
      </c>
      <c r="D3600" s="44">
        <v>45859</v>
      </c>
      <c r="E3600" s="45">
        <v>58.8</v>
      </c>
    </row>
    <row r="3601" spans="2:5">
      <c r="B3601" s="43" t="s">
        <v>22</v>
      </c>
      <c r="C3601" s="43" t="s">
        <v>23</v>
      </c>
      <c r="D3601" s="44">
        <v>45859</v>
      </c>
      <c r="E3601" s="45">
        <v>9.6</v>
      </c>
    </row>
    <row r="3602" spans="2:5">
      <c r="B3602" s="43" t="s">
        <v>140</v>
      </c>
      <c r="C3602" s="43" t="s">
        <v>141</v>
      </c>
      <c r="D3602" s="44">
        <v>45859</v>
      </c>
      <c r="E3602" s="45">
        <v>1044</v>
      </c>
    </row>
    <row r="3603" spans="2:5">
      <c r="B3603" s="43" t="s">
        <v>80</v>
      </c>
      <c r="C3603" s="43" t="s">
        <v>81</v>
      </c>
      <c r="D3603" s="44">
        <v>45859</v>
      </c>
      <c r="E3603" s="45">
        <v>315.7</v>
      </c>
    </row>
    <row r="3604" spans="2:5">
      <c r="B3604" s="43" t="s">
        <v>24</v>
      </c>
      <c r="C3604" s="43" t="s">
        <v>25</v>
      </c>
      <c r="D3604" s="44">
        <v>45859</v>
      </c>
      <c r="E3604" s="45">
        <v>842.7</v>
      </c>
    </row>
    <row r="3605" spans="2:5">
      <c r="B3605" s="43" t="s">
        <v>26</v>
      </c>
      <c r="C3605" s="43" t="s">
        <v>27</v>
      </c>
      <c r="D3605" s="44">
        <v>45859</v>
      </c>
      <c r="E3605" s="45">
        <v>404.3</v>
      </c>
    </row>
    <row r="3606" spans="2:5">
      <c r="B3606" s="43" t="s">
        <v>28</v>
      </c>
      <c r="C3606" s="43" t="s">
        <v>29</v>
      </c>
      <c r="D3606" s="44">
        <v>45859</v>
      </c>
      <c r="E3606" s="45">
        <v>53.7</v>
      </c>
    </row>
    <row r="3607" spans="2:5">
      <c r="B3607" s="43" t="s">
        <v>62</v>
      </c>
      <c r="C3607" s="43" t="s">
        <v>63</v>
      </c>
      <c r="D3607" s="44">
        <v>45859</v>
      </c>
      <c r="E3607" s="45">
        <v>266.5</v>
      </c>
    </row>
    <row r="3608" spans="2:5">
      <c r="B3608" s="43" t="s">
        <v>226</v>
      </c>
      <c r="C3608" s="43" t="s">
        <v>227</v>
      </c>
      <c r="D3608" s="44">
        <v>45859</v>
      </c>
      <c r="E3608" s="45">
        <v>40</v>
      </c>
    </row>
    <row r="3609" spans="2:5">
      <c r="B3609" s="43" t="s">
        <v>34</v>
      </c>
      <c r="C3609" s="43" t="s">
        <v>35</v>
      </c>
      <c r="D3609" s="44">
        <v>45859</v>
      </c>
      <c r="E3609" s="45">
        <v>200</v>
      </c>
    </row>
    <row r="3610" spans="2:5">
      <c r="B3610" s="43" t="s">
        <v>36</v>
      </c>
      <c r="C3610" s="43" t="s">
        <v>37</v>
      </c>
      <c r="D3610" s="44">
        <v>45859</v>
      </c>
      <c r="E3610" s="45">
        <v>4</v>
      </c>
    </row>
    <row r="3611" spans="2:5">
      <c r="B3611" s="43" t="s">
        <v>42</v>
      </c>
      <c r="C3611" s="43" t="s">
        <v>43</v>
      </c>
      <c r="D3611" s="44">
        <v>45860</v>
      </c>
      <c r="E3611" s="45">
        <v>36.3</v>
      </c>
    </row>
    <row r="3612" spans="2:5">
      <c r="B3612" s="43" t="s">
        <v>4</v>
      </c>
      <c r="C3612" s="43" t="s">
        <v>5</v>
      </c>
      <c r="D3612" s="44">
        <v>45860</v>
      </c>
      <c r="E3612" s="45">
        <v>6.7</v>
      </c>
    </row>
    <row r="3613" spans="2:5">
      <c r="B3613" s="43" t="s">
        <v>156</v>
      </c>
      <c r="C3613" s="43" t="s">
        <v>157</v>
      </c>
      <c r="D3613" s="44">
        <v>45860</v>
      </c>
      <c r="E3613" s="45">
        <v>78</v>
      </c>
    </row>
    <row r="3614" spans="2:5">
      <c r="B3614" s="43" t="s">
        <v>8</v>
      </c>
      <c r="C3614" s="43" t="s">
        <v>9</v>
      </c>
      <c r="D3614" s="44">
        <v>45860</v>
      </c>
      <c r="E3614" s="45">
        <v>52.2</v>
      </c>
    </row>
    <row r="3615" spans="2:5">
      <c r="B3615" s="43" t="s">
        <v>46</v>
      </c>
      <c r="C3615" s="43" t="s">
        <v>47</v>
      </c>
      <c r="D3615" s="44">
        <v>45860</v>
      </c>
      <c r="E3615" s="45">
        <v>237.3</v>
      </c>
    </row>
    <row r="3616" spans="2:5">
      <c r="B3616" s="43" t="s">
        <v>12</v>
      </c>
      <c r="C3616" s="43" t="s">
        <v>13</v>
      </c>
      <c r="D3616" s="44">
        <v>45860</v>
      </c>
      <c r="E3616" s="45">
        <v>248.4</v>
      </c>
    </row>
    <row r="3617" spans="2:5">
      <c r="B3617" s="43" t="s">
        <v>14</v>
      </c>
      <c r="C3617" s="43" t="s">
        <v>15</v>
      </c>
      <c r="D3617" s="44">
        <v>45860</v>
      </c>
      <c r="E3617" s="45">
        <v>445.5</v>
      </c>
    </row>
    <row r="3618" spans="2:5">
      <c r="B3618" s="43" t="s">
        <v>50</v>
      </c>
      <c r="C3618" s="43" t="s">
        <v>51</v>
      </c>
      <c r="D3618" s="44">
        <v>45860</v>
      </c>
      <c r="E3618" s="45">
        <v>68</v>
      </c>
    </row>
    <row r="3619" spans="2:5">
      <c r="B3619" s="43" t="s">
        <v>56</v>
      </c>
      <c r="C3619" s="43" t="s">
        <v>57</v>
      </c>
      <c r="D3619" s="44">
        <v>45860</v>
      </c>
      <c r="E3619" s="45">
        <v>18.1</v>
      </c>
    </row>
    <row r="3620" spans="2:5">
      <c r="B3620" s="43" t="s">
        <v>20</v>
      </c>
      <c r="C3620" s="43" t="s">
        <v>21</v>
      </c>
      <c r="D3620" s="44">
        <v>45860</v>
      </c>
      <c r="E3620" s="45">
        <v>78.4</v>
      </c>
    </row>
    <row r="3621" spans="2:5">
      <c r="B3621" s="43" t="s">
        <v>22</v>
      </c>
      <c r="C3621" s="43" t="s">
        <v>23</v>
      </c>
      <c r="D3621" s="44">
        <v>45860</v>
      </c>
      <c r="E3621" s="45">
        <v>249.6</v>
      </c>
    </row>
    <row r="3622" spans="2:5">
      <c r="B3622" s="43" t="s">
        <v>80</v>
      </c>
      <c r="C3622" s="43" t="s">
        <v>81</v>
      </c>
      <c r="D3622" s="44">
        <v>45860</v>
      </c>
      <c r="E3622" s="45">
        <v>90</v>
      </c>
    </row>
    <row r="3623" spans="2:5">
      <c r="B3623" s="43" t="s">
        <v>24</v>
      </c>
      <c r="C3623" s="43" t="s">
        <v>25</v>
      </c>
      <c r="D3623" s="44">
        <v>45860</v>
      </c>
      <c r="E3623" s="45">
        <v>1780.8</v>
      </c>
    </row>
    <row r="3624" spans="2:5">
      <c r="B3624" s="43" t="s">
        <v>26</v>
      </c>
      <c r="C3624" s="43" t="s">
        <v>27</v>
      </c>
      <c r="D3624" s="44">
        <v>45860</v>
      </c>
      <c r="E3624" s="45">
        <v>1212.9</v>
      </c>
    </row>
    <row r="3625" spans="2:5">
      <c r="B3625" s="43" t="s">
        <v>28</v>
      </c>
      <c r="C3625" s="43" t="s">
        <v>29</v>
      </c>
      <c r="D3625" s="44">
        <v>45860</v>
      </c>
      <c r="E3625" s="45">
        <v>590.7</v>
      </c>
    </row>
    <row r="3626" spans="2:5">
      <c r="B3626" s="43" t="s">
        <v>62</v>
      </c>
      <c r="C3626" s="43" t="s">
        <v>63</v>
      </c>
      <c r="D3626" s="44">
        <v>45860</v>
      </c>
      <c r="E3626" s="45">
        <v>676.5</v>
      </c>
    </row>
    <row r="3627" spans="2:5">
      <c r="B3627" s="43" t="s">
        <v>64</v>
      </c>
      <c r="C3627" s="43" t="s">
        <v>65</v>
      </c>
      <c r="D3627" s="44">
        <v>45860</v>
      </c>
      <c r="E3627" s="45">
        <v>40</v>
      </c>
    </row>
    <row r="3628" spans="2:5">
      <c r="B3628" s="43" t="s">
        <v>66</v>
      </c>
      <c r="C3628" s="43" t="s">
        <v>67</v>
      </c>
      <c r="D3628" s="44">
        <v>45860</v>
      </c>
      <c r="E3628" s="45">
        <v>581.7</v>
      </c>
    </row>
    <row r="3629" spans="2:5">
      <c r="B3629" s="43" t="s">
        <v>132</v>
      </c>
      <c r="C3629" s="43" t="s">
        <v>133</v>
      </c>
      <c r="D3629" s="44">
        <v>45860</v>
      </c>
      <c r="E3629" s="45">
        <v>154.5</v>
      </c>
    </row>
    <row r="3630" spans="2:5">
      <c r="B3630" s="43" t="s">
        <v>150</v>
      </c>
      <c r="C3630" s="43" t="s">
        <v>151</v>
      </c>
      <c r="D3630" s="44">
        <v>45860</v>
      </c>
      <c r="E3630" s="45">
        <v>162.3</v>
      </c>
    </row>
    <row r="3631" spans="2:5">
      <c r="B3631" s="43" t="s">
        <v>142</v>
      </c>
      <c r="C3631" s="43" t="s">
        <v>143</v>
      </c>
      <c r="D3631" s="44">
        <v>45860</v>
      </c>
      <c r="E3631" s="45">
        <v>9</v>
      </c>
    </row>
    <row r="3632" spans="2:5">
      <c r="B3632" s="43" t="s">
        <v>196</v>
      </c>
      <c r="C3632" s="43" t="s">
        <v>197</v>
      </c>
      <c r="D3632" s="44">
        <v>45860</v>
      </c>
      <c r="E3632" s="45">
        <v>6</v>
      </c>
    </row>
    <row r="3633" spans="2:5">
      <c r="B3633" s="43" t="s">
        <v>96</v>
      </c>
      <c r="C3633" s="43" t="s">
        <v>97</v>
      </c>
      <c r="D3633" s="44">
        <v>45860</v>
      </c>
      <c r="E3633" s="45">
        <v>43</v>
      </c>
    </row>
    <row r="3634" spans="2:5">
      <c r="B3634" s="43" t="s">
        <v>32</v>
      </c>
      <c r="C3634" s="43" t="s">
        <v>33</v>
      </c>
      <c r="D3634" s="44">
        <v>45860</v>
      </c>
      <c r="E3634" s="45">
        <v>27</v>
      </c>
    </row>
    <row r="3635" spans="2:5">
      <c r="B3635" s="43" t="s">
        <v>226</v>
      </c>
      <c r="C3635" s="43" t="s">
        <v>227</v>
      </c>
      <c r="D3635" s="44">
        <v>45860</v>
      </c>
      <c r="E3635" s="45">
        <v>14</v>
      </c>
    </row>
    <row r="3636" spans="2:5">
      <c r="B3636" s="43" t="s">
        <v>34</v>
      </c>
      <c r="C3636" s="43" t="s">
        <v>35</v>
      </c>
      <c r="D3636" s="44">
        <v>45860</v>
      </c>
      <c r="E3636" s="45">
        <v>6</v>
      </c>
    </row>
    <row r="3637" spans="2:5">
      <c r="B3637" s="43" t="s">
        <v>36</v>
      </c>
      <c r="C3637" s="43" t="s">
        <v>37</v>
      </c>
      <c r="D3637" s="44">
        <v>45860</v>
      </c>
      <c r="E3637" s="45">
        <v>4</v>
      </c>
    </row>
    <row r="3638" spans="2:5">
      <c r="B3638" s="43" t="s">
        <v>38</v>
      </c>
      <c r="C3638" s="43" t="s">
        <v>39</v>
      </c>
      <c r="D3638" s="44">
        <v>45860</v>
      </c>
      <c r="E3638" s="45">
        <v>86</v>
      </c>
    </row>
    <row r="3639" spans="2:5">
      <c r="B3639" s="43" t="s">
        <v>42</v>
      </c>
      <c r="C3639" s="43" t="s">
        <v>43</v>
      </c>
      <c r="D3639" s="44">
        <v>45861</v>
      </c>
      <c r="E3639" s="45">
        <v>60.5</v>
      </c>
    </row>
    <row r="3640" spans="2:5">
      <c r="B3640" s="43" t="s">
        <v>156</v>
      </c>
      <c r="C3640" s="43" t="s">
        <v>157</v>
      </c>
      <c r="D3640" s="44">
        <v>45861</v>
      </c>
      <c r="E3640" s="45">
        <v>148.2</v>
      </c>
    </row>
    <row r="3641" spans="2:5">
      <c r="B3641" s="43" t="s">
        <v>8</v>
      </c>
      <c r="C3641" s="43" t="s">
        <v>9</v>
      </c>
      <c r="D3641" s="44">
        <v>45861</v>
      </c>
      <c r="E3641" s="45">
        <v>113.1</v>
      </c>
    </row>
    <row r="3642" spans="2:5">
      <c r="B3642" s="43" t="s">
        <v>46</v>
      </c>
      <c r="C3642" s="43" t="s">
        <v>47</v>
      </c>
      <c r="D3642" s="44">
        <v>45861</v>
      </c>
      <c r="E3642" s="45">
        <v>384.2</v>
      </c>
    </row>
    <row r="3643" spans="2:5">
      <c r="B3643" s="43" t="s">
        <v>10</v>
      </c>
      <c r="C3643" s="43" t="s">
        <v>11</v>
      </c>
      <c r="D3643" s="44">
        <v>45861</v>
      </c>
      <c r="E3643" s="45">
        <v>309.4</v>
      </c>
    </row>
    <row r="3644" spans="2:5">
      <c r="B3644" s="43" t="s">
        <v>12</v>
      </c>
      <c r="C3644" s="43" t="s">
        <v>13</v>
      </c>
      <c r="D3644" s="44">
        <v>45861</v>
      </c>
      <c r="E3644" s="45">
        <v>524.4</v>
      </c>
    </row>
    <row r="3645" spans="2:5">
      <c r="B3645" s="43" t="s">
        <v>108</v>
      </c>
      <c r="C3645" s="43" t="s">
        <v>109</v>
      </c>
      <c r="D3645" s="44">
        <v>45861</v>
      </c>
      <c r="E3645" s="45">
        <v>46.5</v>
      </c>
    </row>
    <row r="3646" spans="2:5">
      <c r="B3646" s="43" t="s">
        <v>48</v>
      </c>
      <c r="C3646" s="43" t="s">
        <v>49</v>
      </c>
      <c r="D3646" s="44">
        <v>45861</v>
      </c>
      <c r="E3646" s="45">
        <v>121.6</v>
      </c>
    </row>
    <row r="3647" spans="2:5">
      <c r="B3647" s="43" t="s">
        <v>230</v>
      </c>
      <c r="C3647" s="43" t="s">
        <v>231</v>
      </c>
      <c r="D3647" s="44">
        <v>45861</v>
      </c>
      <c r="E3647" s="45">
        <v>382.8</v>
      </c>
    </row>
    <row r="3648" spans="2:5">
      <c r="B3648" s="43" t="s">
        <v>114</v>
      </c>
      <c r="C3648" s="43" t="s">
        <v>115</v>
      </c>
      <c r="D3648" s="44">
        <v>45861</v>
      </c>
      <c r="E3648" s="45">
        <v>53.2</v>
      </c>
    </row>
    <row r="3649" spans="2:5">
      <c r="B3649" s="43" t="s">
        <v>144</v>
      </c>
      <c r="C3649" s="43" t="s">
        <v>145</v>
      </c>
      <c r="D3649" s="44">
        <v>45861</v>
      </c>
      <c r="E3649" s="45">
        <v>64.8</v>
      </c>
    </row>
    <row r="3650" spans="2:5">
      <c r="B3650" s="43" t="s">
        <v>116</v>
      </c>
      <c r="C3650" s="43" t="s">
        <v>117</v>
      </c>
      <c r="D3650" s="44">
        <v>45861</v>
      </c>
      <c r="E3650" s="45">
        <v>81.5</v>
      </c>
    </row>
    <row r="3651" spans="2:5">
      <c r="B3651" s="43" t="s">
        <v>56</v>
      </c>
      <c r="C3651" s="43" t="s">
        <v>57</v>
      </c>
      <c r="D3651" s="44">
        <v>45861</v>
      </c>
      <c r="E3651" s="45">
        <v>90.5</v>
      </c>
    </row>
    <row r="3652" spans="2:5">
      <c r="B3652" s="43" t="s">
        <v>76</v>
      </c>
      <c r="C3652" s="43" t="s">
        <v>77</v>
      </c>
      <c r="D3652" s="44">
        <v>45861</v>
      </c>
      <c r="E3652" s="45">
        <v>176.5</v>
      </c>
    </row>
    <row r="3653" spans="2:5">
      <c r="B3653" s="43" t="s">
        <v>118</v>
      </c>
      <c r="C3653" s="43" t="s">
        <v>119</v>
      </c>
      <c r="D3653" s="44">
        <v>45861</v>
      </c>
      <c r="E3653" s="45">
        <v>121.6</v>
      </c>
    </row>
    <row r="3654" spans="2:5">
      <c r="B3654" s="43" t="s">
        <v>188</v>
      </c>
      <c r="C3654" s="43" t="s">
        <v>189</v>
      </c>
      <c r="D3654" s="44">
        <v>45861</v>
      </c>
      <c r="E3654" s="45">
        <v>46.2</v>
      </c>
    </row>
    <row r="3655" spans="2:5">
      <c r="B3655" s="43" t="s">
        <v>158</v>
      </c>
      <c r="C3655" s="43" t="s">
        <v>159</v>
      </c>
      <c r="D3655" s="44">
        <v>45861</v>
      </c>
      <c r="E3655" s="45">
        <v>51</v>
      </c>
    </row>
    <row r="3656" spans="2:5">
      <c r="B3656" s="43" t="s">
        <v>128</v>
      </c>
      <c r="C3656" s="43" t="s">
        <v>129</v>
      </c>
      <c r="D3656" s="44">
        <v>45861</v>
      </c>
      <c r="E3656" s="45">
        <v>59.6</v>
      </c>
    </row>
    <row r="3657" spans="2:5">
      <c r="B3657" s="43" t="s">
        <v>78</v>
      </c>
      <c r="C3657" s="43" t="s">
        <v>79</v>
      </c>
      <c r="D3657" s="44">
        <v>45861</v>
      </c>
      <c r="E3657" s="45">
        <v>8.85</v>
      </c>
    </row>
    <row r="3658" spans="2:5">
      <c r="B3658" s="43" t="s">
        <v>20</v>
      </c>
      <c r="C3658" s="43" t="s">
        <v>21</v>
      </c>
      <c r="D3658" s="44">
        <v>45861</v>
      </c>
      <c r="E3658" s="45">
        <v>401.8</v>
      </c>
    </row>
    <row r="3659" spans="2:5">
      <c r="B3659" s="43" t="s">
        <v>22</v>
      </c>
      <c r="C3659" s="43" t="s">
        <v>23</v>
      </c>
      <c r="D3659" s="44">
        <v>45861</v>
      </c>
      <c r="E3659" s="45">
        <v>1008</v>
      </c>
    </row>
    <row r="3660" spans="2:5">
      <c r="B3660" s="43" t="s">
        <v>80</v>
      </c>
      <c r="C3660" s="43" t="s">
        <v>81</v>
      </c>
      <c r="D3660" s="44">
        <v>45861</v>
      </c>
      <c r="E3660" s="45">
        <v>86.1</v>
      </c>
    </row>
    <row r="3661" spans="2:5">
      <c r="B3661" s="43" t="s">
        <v>24</v>
      </c>
      <c r="C3661" s="43" t="s">
        <v>25</v>
      </c>
      <c r="D3661" s="44">
        <v>45861</v>
      </c>
      <c r="E3661" s="45">
        <v>2210.1</v>
      </c>
    </row>
    <row r="3662" spans="2:5">
      <c r="B3662" s="43" t="s">
        <v>26</v>
      </c>
      <c r="C3662" s="43" t="s">
        <v>27</v>
      </c>
      <c r="D3662" s="44">
        <v>45861</v>
      </c>
      <c r="E3662" s="45">
        <v>1166.25</v>
      </c>
    </row>
    <row r="3663" spans="2:5">
      <c r="B3663" s="43" t="s">
        <v>222</v>
      </c>
      <c r="C3663" s="43" t="s">
        <v>223</v>
      </c>
      <c r="D3663" s="44">
        <v>45861</v>
      </c>
      <c r="E3663" s="45">
        <v>532.15</v>
      </c>
    </row>
    <row r="3664" spans="2:5">
      <c r="B3664" s="43" t="s">
        <v>60</v>
      </c>
      <c r="C3664" s="43" t="s">
        <v>61</v>
      </c>
      <c r="D3664" s="44">
        <v>45861</v>
      </c>
      <c r="E3664" s="45">
        <v>585.6</v>
      </c>
    </row>
    <row r="3665" spans="2:5">
      <c r="B3665" s="43" t="s">
        <v>184</v>
      </c>
      <c r="C3665" s="43" t="s">
        <v>185</v>
      </c>
      <c r="D3665" s="44">
        <v>45861</v>
      </c>
      <c r="E3665" s="45">
        <v>829.5</v>
      </c>
    </row>
    <row r="3666" spans="2:5">
      <c r="B3666" s="43" t="s">
        <v>28</v>
      </c>
      <c r="C3666" s="43" t="s">
        <v>29</v>
      </c>
      <c r="D3666" s="44">
        <v>45861</v>
      </c>
      <c r="E3666" s="45">
        <v>268.5</v>
      </c>
    </row>
    <row r="3667" spans="2:5">
      <c r="B3667" s="43" t="s">
        <v>62</v>
      </c>
      <c r="C3667" s="43" t="s">
        <v>63</v>
      </c>
      <c r="D3667" s="44">
        <v>45861</v>
      </c>
      <c r="E3667" s="45">
        <v>246</v>
      </c>
    </row>
    <row r="3668" spans="2:5">
      <c r="B3668" s="43" t="s">
        <v>64</v>
      </c>
      <c r="C3668" s="43" t="s">
        <v>65</v>
      </c>
      <c r="D3668" s="44">
        <v>45861</v>
      </c>
      <c r="E3668" s="45">
        <v>1120</v>
      </c>
    </row>
    <row r="3669" spans="2:5">
      <c r="B3669" s="43" t="s">
        <v>228</v>
      </c>
      <c r="C3669" s="43" t="s">
        <v>229</v>
      </c>
      <c r="D3669" s="44">
        <v>45861</v>
      </c>
      <c r="E3669" s="45">
        <v>236</v>
      </c>
    </row>
    <row r="3670" spans="2:5">
      <c r="B3670" s="43" t="s">
        <v>198</v>
      </c>
      <c r="C3670" s="43" t="s">
        <v>199</v>
      </c>
      <c r="D3670" s="44">
        <v>45861</v>
      </c>
      <c r="E3670" s="45">
        <v>46.2</v>
      </c>
    </row>
    <row r="3671" spans="2:5">
      <c r="B3671" s="43" t="s">
        <v>68</v>
      </c>
      <c r="C3671" s="43" t="s">
        <v>69</v>
      </c>
      <c r="D3671" s="44">
        <v>45861</v>
      </c>
      <c r="E3671" s="45">
        <v>610.3</v>
      </c>
    </row>
    <row r="3672" spans="2:5">
      <c r="B3672" s="43" t="s">
        <v>208</v>
      </c>
      <c r="C3672" s="43" t="s">
        <v>209</v>
      </c>
      <c r="D3672" s="44">
        <v>45861</v>
      </c>
      <c r="E3672" s="45">
        <v>140</v>
      </c>
    </row>
    <row r="3673" spans="2:5">
      <c r="B3673" s="43" t="s">
        <v>106</v>
      </c>
      <c r="C3673" s="43" t="s">
        <v>107</v>
      </c>
      <c r="D3673" s="44">
        <v>45861</v>
      </c>
      <c r="E3673" s="45">
        <v>7.7</v>
      </c>
    </row>
    <row r="3674" spans="2:5">
      <c r="B3674" s="43" t="s">
        <v>196</v>
      </c>
      <c r="C3674" s="43" t="s">
        <v>197</v>
      </c>
      <c r="D3674" s="44">
        <v>45861</v>
      </c>
      <c r="E3674" s="45">
        <v>3</v>
      </c>
    </row>
    <row r="3675" spans="2:5">
      <c r="B3675" s="43" t="s">
        <v>96</v>
      </c>
      <c r="C3675" s="43" t="s">
        <v>97</v>
      </c>
      <c r="D3675" s="44">
        <v>45861</v>
      </c>
      <c r="E3675" s="45">
        <v>169</v>
      </c>
    </row>
    <row r="3676" spans="2:5">
      <c r="B3676" s="43" t="s">
        <v>32</v>
      </c>
      <c r="C3676" s="43" t="s">
        <v>33</v>
      </c>
      <c r="D3676" s="44">
        <v>45861</v>
      </c>
      <c r="E3676" s="45">
        <v>6</v>
      </c>
    </row>
    <row r="3677" spans="2:5">
      <c r="B3677" s="43" t="s">
        <v>226</v>
      </c>
      <c r="C3677" s="43" t="s">
        <v>227</v>
      </c>
      <c r="D3677" s="44">
        <v>45861</v>
      </c>
      <c r="E3677" s="45">
        <v>48</v>
      </c>
    </row>
    <row r="3678" spans="2:5">
      <c r="B3678" s="43" t="s">
        <v>34</v>
      </c>
      <c r="C3678" s="43" t="s">
        <v>35</v>
      </c>
      <c r="D3678" s="44">
        <v>45861</v>
      </c>
      <c r="E3678" s="45">
        <v>14</v>
      </c>
    </row>
    <row r="3679" spans="2:5">
      <c r="B3679" s="43" t="s">
        <v>170</v>
      </c>
      <c r="C3679" s="43" t="s">
        <v>171</v>
      </c>
      <c r="D3679" s="44">
        <v>45861</v>
      </c>
      <c r="E3679" s="45">
        <v>1</v>
      </c>
    </row>
    <row r="3680" spans="2:5">
      <c r="B3680" s="43" t="s">
        <v>36</v>
      </c>
      <c r="C3680" s="43" t="s">
        <v>37</v>
      </c>
      <c r="D3680" s="44">
        <v>45861</v>
      </c>
      <c r="E3680" s="45">
        <v>5</v>
      </c>
    </row>
    <row r="3681" spans="2:5">
      <c r="B3681" s="43" t="s">
        <v>38</v>
      </c>
      <c r="C3681" s="43" t="s">
        <v>39</v>
      </c>
      <c r="D3681" s="44">
        <v>45861</v>
      </c>
      <c r="E3681" s="45">
        <v>52</v>
      </c>
    </row>
    <row r="3682" spans="2:5">
      <c r="B3682" s="43" t="s">
        <v>4</v>
      </c>
      <c r="C3682" s="43" t="s">
        <v>5</v>
      </c>
      <c r="D3682" s="44">
        <v>45862</v>
      </c>
      <c r="E3682" s="45">
        <v>134</v>
      </c>
    </row>
    <row r="3683" spans="2:5">
      <c r="B3683" s="43" t="s">
        <v>156</v>
      </c>
      <c r="C3683" s="43" t="s">
        <v>157</v>
      </c>
      <c r="D3683" s="44">
        <v>45862</v>
      </c>
      <c r="E3683" s="45">
        <v>70.2</v>
      </c>
    </row>
    <row r="3684" spans="2:5">
      <c r="B3684" s="43" t="s">
        <v>8</v>
      </c>
      <c r="C3684" s="43" t="s">
        <v>9</v>
      </c>
      <c r="D3684" s="44">
        <v>45862</v>
      </c>
      <c r="E3684" s="45">
        <v>174</v>
      </c>
    </row>
    <row r="3685" spans="2:5">
      <c r="B3685" s="43" t="s">
        <v>72</v>
      </c>
      <c r="C3685" s="43" t="s">
        <v>73</v>
      </c>
      <c r="D3685" s="44">
        <v>45862</v>
      </c>
      <c r="E3685" s="45">
        <v>489.6</v>
      </c>
    </row>
    <row r="3686" spans="2:5">
      <c r="B3686" s="43" t="s">
        <v>46</v>
      </c>
      <c r="C3686" s="43" t="s">
        <v>47</v>
      </c>
      <c r="D3686" s="44">
        <v>45862</v>
      </c>
      <c r="E3686" s="45">
        <v>418.1</v>
      </c>
    </row>
    <row r="3687" spans="2:5">
      <c r="B3687" s="43" t="s">
        <v>10</v>
      </c>
      <c r="C3687" s="43" t="s">
        <v>11</v>
      </c>
      <c r="D3687" s="44">
        <v>45862</v>
      </c>
      <c r="E3687" s="45">
        <v>353.6</v>
      </c>
    </row>
    <row r="3688" spans="2:5">
      <c r="B3688" s="43" t="s">
        <v>74</v>
      </c>
      <c r="C3688" s="43" t="s">
        <v>75</v>
      </c>
      <c r="D3688" s="44">
        <v>45862</v>
      </c>
      <c r="E3688" s="45">
        <v>896.4</v>
      </c>
    </row>
    <row r="3689" spans="2:5">
      <c r="B3689" s="43" t="s">
        <v>12</v>
      </c>
      <c r="C3689" s="43" t="s">
        <v>13</v>
      </c>
      <c r="D3689" s="44">
        <v>45862</v>
      </c>
      <c r="E3689" s="45">
        <v>207</v>
      </c>
    </row>
    <row r="3690" spans="2:5">
      <c r="B3690" s="43" t="s">
        <v>14</v>
      </c>
      <c r="C3690" s="43" t="s">
        <v>15</v>
      </c>
      <c r="D3690" s="44">
        <v>45862</v>
      </c>
      <c r="E3690" s="45">
        <v>337.5</v>
      </c>
    </row>
    <row r="3691" spans="2:5">
      <c r="B3691" s="43" t="s">
        <v>50</v>
      </c>
      <c r="C3691" s="43" t="s">
        <v>51</v>
      </c>
      <c r="D3691" s="44">
        <v>45862</v>
      </c>
      <c r="E3691" s="45">
        <v>27.2</v>
      </c>
    </row>
    <row r="3692" spans="2:5">
      <c r="B3692" s="43" t="s">
        <v>114</v>
      </c>
      <c r="C3692" s="43" t="s">
        <v>115</v>
      </c>
      <c r="D3692" s="44">
        <v>45862</v>
      </c>
      <c r="E3692" s="45">
        <v>399</v>
      </c>
    </row>
    <row r="3693" spans="2:5">
      <c r="B3693" s="43" t="s">
        <v>202</v>
      </c>
      <c r="C3693" s="43" t="s">
        <v>203</v>
      </c>
      <c r="D3693" s="44">
        <v>45862</v>
      </c>
      <c r="E3693" s="45">
        <v>108.6</v>
      </c>
    </row>
    <row r="3694" spans="2:5">
      <c r="B3694" s="43" t="s">
        <v>76</v>
      </c>
      <c r="C3694" s="43" t="s">
        <v>77</v>
      </c>
      <c r="D3694" s="44">
        <v>45862</v>
      </c>
      <c r="E3694" s="45">
        <v>529.5</v>
      </c>
    </row>
    <row r="3695" spans="2:5">
      <c r="B3695" s="43" t="s">
        <v>20</v>
      </c>
      <c r="C3695" s="43" t="s">
        <v>21</v>
      </c>
      <c r="D3695" s="44">
        <v>45862</v>
      </c>
      <c r="E3695" s="45">
        <v>78.4</v>
      </c>
    </row>
    <row r="3696" spans="2:5">
      <c r="B3696" s="43" t="s">
        <v>22</v>
      </c>
      <c r="C3696" s="43" t="s">
        <v>23</v>
      </c>
      <c r="D3696" s="44">
        <v>45862</v>
      </c>
      <c r="E3696" s="45">
        <v>105.6</v>
      </c>
    </row>
    <row r="3697" spans="2:5">
      <c r="B3697" s="43" t="s">
        <v>24</v>
      </c>
      <c r="C3697" s="43" t="s">
        <v>25</v>
      </c>
      <c r="D3697" s="44">
        <v>45862</v>
      </c>
      <c r="E3697" s="45">
        <v>2289.6</v>
      </c>
    </row>
    <row r="3698" spans="2:5">
      <c r="B3698" s="43" t="s">
        <v>210</v>
      </c>
      <c r="C3698" s="43" t="s">
        <v>211</v>
      </c>
      <c r="D3698" s="44">
        <v>45862</v>
      </c>
      <c r="E3698" s="45">
        <v>307.5</v>
      </c>
    </row>
    <row r="3699" spans="2:5">
      <c r="B3699" s="43" t="s">
        <v>26</v>
      </c>
      <c r="C3699" s="43" t="s">
        <v>27</v>
      </c>
      <c r="D3699" s="44">
        <v>45862</v>
      </c>
      <c r="E3699" s="45">
        <v>2659.05</v>
      </c>
    </row>
    <row r="3700" spans="2:5">
      <c r="B3700" s="43" t="s">
        <v>60</v>
      </c>
      <c r="C3700" s="43" t="s">
        <v>61</v>
      </c>
      <c r="D3700" s="44">
        <v>45862</v>
      </c>
      <c r="E3700" s="45">
        <v>146.4</v>
      </c>
    </row>
    <row r="3701" spans="2:5">
      <c r="B3701" s="43" t="s">
        <v>28</v>
      </c>
      <c r="C3701" s="43" t="s">
        <v>29</v>
      </c>
      <c r="D3701" s="44">
        <v>45862</v>
      </c>
      <c r="E3701" s="45">
        <v>716</v>
      </c>
    </row>
    <row r="3702" spans="2:5">
      <c r="B3702" s="43" t="s">
        <v>90</v>
      </c>
      <c r="C3702" s="43" t="s">
        <v>91</v>
      </c>
      <c r="D3702" s="44">
        <v>45862</v>
      </c>
      <c r="E3702" s="45">
        <v>1068</v>
      </c>
    </row>
    <row r="3703" spans="2:5">
      <c r="B3703" s="43" t="s">
        <v>64</v>
      </c>
      <c r="C3703" s="43" t="s">
        <v>65</v>
      </c>
      <c r="D3703" s="44">
        <v>45862</v>
      </c>
      <c r="E3703" s="45">
        <v>40</v>
      </c>
    </row>
    <row r="3704" spans="2:5">
      <c r="B3704" s="43" t="s">
        <v>84</v>
      </c>
      <c r="C3704" s="43" t="s">
        <v>85</v>
      </c>
      <c r="D3704" s="44">
        <v>45862</v>
      </c>
      <c r="E3704" s="45">
        <v>99.8</v>
      </c>
    </row>
    <row r="3705" spans="2:5">
      <c r="B3705" s="43" t="s">
        <v>66</v>
      </c>
      <c r="C3705" s="43" t="s">
        <v>67</v>
      </c>
      <c r="D3705" s="44">
        <v>45862</v>
      </c>
      <c r="E3705" s="45">
        <v>221.6</v>
      </c>
    </row>
    <row r="3706" spans="2:5">
      <c r="B3706" s="43" t="s">
        <v>96</v>
      </c>
      <c r="C3706" s="43" t="s">
        <v>97</v>
      </c>
      <c r="D3706" s="44">
        <v>45862</v>
      </c>
      <c r="E3706" s="45">
        <v>12</v>
      </c>
    </row>
    <row r="3707" spans="2:5">
      <c r="B3707" s="43" t="s">
        <v>32</v>
      </c>
      <c r="C3707" s="43" t="s">
        <v>33</v>
      </c>
      <c r="D3707" s="44">
        <v>45862</v>
      </c>
      <c r="E3707" s="45">
        <v>5</v>
      </c>
    </row>
    <row r="3708" spans="2:5">
      <c r="B3708" s="43" t="s">
        <v>160</v>
      </c>
      <c r="C3708" s="43" t="s">
        <v>161</v>
      </c>
      <c r="D3708" s="44">
        <v>45862</v>
      </c>
      <c r="E3708" s="45">
        <v>1</v>
      </c>
    </row>
    <row r="3709" spans="2:5">
      <c r="B3709" s="43" t="s">
        <v>34</v>
      </c>
      <c r="C3709" s="43" t="s">
        <v>35</v>
      </c>
      <c r="D3709" s="44">
        <v>45862</v>
      </c>
      <c r="E3709" s="45">
        <v>5</v>
      </c>
    </row>
    <row r="3710" spans="2:5">
      <c r="B3710" s="43" t="s">
        <v>8</v>
      </c>
      <c r="C3710" s="43" t="s">
        <v>9</v>
      </c>
      <c r="D3710" s="44">
        <v>45863</v>
      </c>
      <c r="E3710" s="45">
        <v>182.7</v>
      </c>
    </row>
    <row r="3711" spans="2:5">
      <c r="B3711" s="43" t="s">
        <v>46</v>
      </c>
      <c r="C3711" s="43" t="s">
        <v>47</v>
      </c>
      <c r="D3711" s="44">
        <v>45863</v>
      </c>
      <c r="E3711" s="45">
        <v>45.2</v>
      </c>
    </row>
    <row r="3712" spans="2:5">
      <c r="B3712" s="43" t="s">
        <v>10</v>
      </c>
      <c r="C3712" s="43" t="s">
        <v>11</v>
      </c>
      <c r="D3712" s="44">
        <v>45863</v>
      </c>
      <c r="E3712" s="45">
        <v>276.25</v>
      </c>
    </row>
    <row r="3713" spans="2:5">
      <c r="B3713" s="43" t="s">
        <v>12</v>
      </c>
      <c r="C3713" s="43" t="s">
        <v>13</v>
      </c>
      <c r="D3713" s="44">
        <v>45863</v>
      </c>
      <c r="E3713" s="45">
        <v>55.2</v>
      </c>
    </row>
    <row r="3714" spans="2:5">
      <c r="B3714" s="43" t="s">
        <v>178</v>
      </c>
      <c r="C3714" s="43" t="s">
        <v>179</v>
      </c>
      <c r="D3714" s="44">
        <v>45863</v>
      </c>
      <c r="E3714" s="45">
        <v>36</v>
      </c>
    </row>
    <row r="3715" spans="2:5">
      <c r="B3715" s="43" t="s">
        <v>14</v>
      </c>
      <c r="C3715" s="43" t="s">
        <v>15</v>
      </c>
      <c r="D3715" s="44">
        <v>45863</v>
      </c>
      <c r="E3715" s="45">
        <v>337.5</v>
      </c>
    </row>
    <row r="3716" spans="2:5">
      <c r="B3716" s="43" t="s">
        <v>50</v>
      </c>
      <c r="C3716" s="43" t="s">
        <v>51</v>
      </c>
      <c r="D3716" s="44">
        <v>45863</v>
      </c>
      <c r="E3716" s="45">
        <v>54.4</v>
      </c>
    </row>
    <row r="3717" spans="2:5">
      <c r="B3717" s="43" t="s">
        <v>126</v>
      </c>
      <c r="C3717" s="43" t="s">
        <v>127</v>
      </c>
      <c r="D3717" s="44">
        <v>45863</v>
      </c>
      <c r="E3717" s="45">
        <v>70.8</v>
      </c>
    </row>
    <row r="3718" spans="2:5">
      <c r="B3718" s="43" t="s">
        <v>152</v>
      </c>
      <c r="C3718" s="43" t="s">
        <v>153</v>
      </c>
      <c r="D3718" s="44">
        <v>45863</v>
      </c>
      <c r="E3718" s="45">
        <v>46.5</v>
      </c>
    </row>
    <row r="3719" spans="2:5">
      <c r="B3719" s="43" t="s">
        <v>16</v>
      </c>
      <c r="C3719" s="43" t="s">
        <v>17</v>
      </c>
      <c r="D3719" s="44">
        <v>45863</v>
      </c>
      <c r="E3719" s="45">
        <v>250.8</v>
      </c>
    </row>
    <row r="3720" spans="2:5">
      <c r="B3720" s="43" t="s">
        <v>130</v>
      </c>
      <c r="C3720" s="43" t="s">
        <v>131</v>
      </c>
      <c r="D3720" s="44">
        <v>45863</v>
      </c>
      <c r="E3720" s="45">
        <v>517</v>
      </c>
    </row>
    <row r="3721" spans="2:5">
      <c r="B3721" s="43" t="s">
        <v>18</v>
      </c>
      <c r="C3721" s="43" t="s">
        <v>19</v>
      </c>
      <c r="D3721" s="44">
        <v>45863</v>
      </c>
      <c r="E3721" s="45">
        <v>44.5</v>
      </c>
    </row>
    <row r="3722" spans="2:5">
      <c r="B3722" s="43" t="s">
        <v>20</v>
      </c>
      <c r="C3722" s="43" t="s">
        <v>21</v>
      </c>
      <c r="D3722" s="44">
        <v>45863</v>
      </c>
      <c r="E3722" s="45">
        <v>235.2</v>
      </c>
    </row>
    <row r="3723" spans="2:5">
      <c r="B3723" s="43" t="s">
        <v>22</v>
      </c>
      <c r="C3723" s="43" t="s">
        <v>23</v>
      </c>
      <c r="D3723" s="44">
        <v>45863</v>
      </c>
      <c r="E3723" s="45">
        <v>777.6</v>
      </c>
    </row>
    <row r="3724" spans="2:5">
      <c r="B3724" s="43" t="s">
        <v>24</v>
      </c>
      <c r="C3724" s="43" t="s">
        <v>25</v>
      </c>
      <c r="D3724" s="44">
        <v>45863</v>
      </c>
      <c r="E3724" s="45">
        <v>1399.2</v>
      </c>
    </row>
    <row r="3725" spans="2:5">
      <c r="B3725" s="43" t="s">
        <v>26</v>
      </c>
      <c r="C3725" s="43" t="s">
        <v>27</v>
      </c>
      <c r="D3725" s="44">
        <v>45863</v>
      </c>
      <c r="E3725" s="45">
        <v>1119.6</v>
      </c>
    </row>
    <row r="3726" spans="2:5">
      <c r="B3726" s="43" t="s">
        <v>194</v>
      </c>
      <c r="C3726" s="43" t="s">
        <v>195</v>
      </c>
      <c r="D3726" s="44">
        <v>45863</v>
      </c>
      <c r="E3726" s="45">
        <v>609</v>
      </c>
    </row>
    <row r="3727" spans="2:5">
      <c r="B3727" s="43" t="s">
        <v>28</v>
      </c>
      <c r="C3727" s="43" t="s">
        <v>29</v>
      </c>
      <c r="D3727" s="44">
        <v>45863</v>
      </c>
      <c r="E3727" s="45">
        <v>751.8</v>
      </c>
    </row>
    <row r="3728" spans="2:5">
      <c r="B3728" s="43" t="s">
        <v>62</v>
      </c>
      <c r="C3728" s="43" t="s">
        <v>63</v>
      </c>
      <c r="D3728" s="44">
        <v>45863</v>
      </c>
      <c r="E3728" s="45">
        <v>779</v>
      </c>
    </row>
    <row r="3729" spans="2:5">
      <c r="B3729" s="43" t="s">
        <v>198</v>
      </c>
      <c r="C3729" s="43" t="s">
        <v>199</v>
      </c>
      <c r="D3729" s="44">
        <v>45863</v>
      </c>
      <c r="E3729" s="45">
        <v>646.8</v>
      </c>
    </row>
    <row r="3730" spans="2:5">
      <c r="B3730" s="43" t="s">
        <v>68</v>
      </c>
      <c r="C3730" s="43" t="s">
        <v>69</v>
      </c>
      <c r="D3730" s="44">
        <v>45863</v>
      </c>
      <c r="E3730" s="45">
        <v>71.8</v>
      </c>
    </row>
    <row r="3731" spans="2:5">
      <c r="B3731" s="43" t="s">
        <v>142</v>
      </c>
      <c r="C3731" s="43" t="s">
        <v>143</v>
      </c>
      <c r="D3731" s="44">
        <v>45863</v>
      </c>
      <c r="E3731" s="45">
        <v>3</v>
      </c>
    </row>
    <row r="3732" spans="2:5">
      <c r="B3732" s="43" t="s">
        <v>96</v>
      </c>
      <c r="C3732" s="43" t="s">
        <v>97</v>
      </c>
      <c r="D3732" s="44">
        <v>45863</v>
      </c>
      <c r="E3732" s="45">
        <v>307</v>
      </c>
    </row>
    <row r="3733" spans="2:5">
      <c r="B3733" s="43" t="s">
        <v>32</v>
      </c>
      <c r="C3733" s="43" t="s">
        <v>33</v>
      </c>
      <c r="D3733" s="44">
        <v>45863</v>
      </c>
      <c r="E3733" s="45">
        <v>2</v>
      </c>
    </row>
    <row r="3734" spans="2:5">
      <c r="B3734" s="43" t="s">
        <v>34</v>
      </c>
      <c r="C3734" s="43" t="s">
        <v>35</v>
      </c>
      <c r="D3734" s="44">
        <v>45863</v>
      </c>
      <c r="E3734" s="45">
        <v>10</v>
      </c>
    </row>
    <row r="3735" spans="2:5">
      <c r="B3735" s="43" t="s">
        <v>156</v>
      </c>
      <c r="C3735" s="43" t="s">
        <v>157</v>
      </c>
      <c r="D3735" s="44">
        <v>45866</v>
      </c>
      <c r="E3735" s="45">
        <v>39</v>
      </c>
    </row>
    <row r="3736" spans="2:5">
      <c r="B3736" s="43" t="s">
        <v>8</v>
      </c>
      <c r="C3736" s="43" t="s">
        <v>9</v>
      </c>
      <c r="D3736" s="44">
        <v>45866</v>
      </c>
      <c r="E3736" s="45">
        <v>26.1</v>
      </c>
    </row>
    <row r="3737" spans="2:5">
      <c r="B3737" s="43" t="s">
        <v>72</v>
      </c>
      <c r="C3737" s="43" t="s">
        <v>73</v>
      </c>
      <c r="D3737" s="44">
        <v>45866</v>
      </c>
      <c r="E3737" s="45">
        <v>795.6</v>
      </c>
    </row>
    <row r="3738" spans="2:5">
      <c r="B3738" s="43" t="s">
        <v>46</v>
      </c>
      <c r="C3738" s="43" t="s">
        <v>47</v>
      </c>
      <c r="D3738" s="44">
        <v>45866</v>
      </c>
      <c r="E3738" s="45">
        <v>192.1</v>
      </c>
    </row>
    <row r="3739" spans="2:5">
      <c r="B3739" s="43" t="s">
        <v>10</v>
      </c>
      <c r="C3739" s="43" t="s">
        <v>11</v>
      </c>
      <c r="D3739" s="44">
        <v>45866</v>
      </c>
      <c r="E3739" s="45">
        <v>508.3</v>
      </c>
    </row>
    <row r="3740" spans="2:5">
      <c r="B3740" s="43" t="s">
        <v>74</v>
      </c>
      <c r="C3740" s="43" t="s">
        <v>75</v>
      </c>
      <c r="D3740" s="44">
        <v>45866</v>
      </c>
      <c r="E3740" s="45">
        <v>834.15</v>
      </c>
    </row>
    <row r="3741" spans="2:5">
      <c r="B3741" s="43" t="s">
        <v>12</v>
      </c>
      <c r="C3741" s="43" t="s">
        <v>13</v>
      </c>
      <c r="D3741" s="44">
        <v>45866</v>
      </c>
      <c r="E3741" s="45">
        <v>303.6</v>
      </c>
    </row>
    <row r="3742" spans="2:5">
      <c r="B3742" s="43" t="s">
        <v>178</v>
      </c>
      <c r="C3742" s="43" t="s">
        <v>179</v>
      </c>
      <c r="D3742" s="44">
        <v>45866</v>
      </c>
      <c r="E3742" s="45">
        <v>108</v>
      </c>
    </row>
    <row r="3743" spans="2:5">
      <c r="B3743" s="43" t="s">
        <v>14</v>
      </c>
      <c r="C3743" s="43" t="s">
        <v>15</v>
      </c>
      <c r="D3743" s="44">
        <v>45866</v>
      </c>
      <c r="E3743" s="45">
        <v>1525.5</v>
      </c>
    </row>
    <row r="3744" spans="2:5">
      <c r="B3744" s="43" t="s">
        <v>50</v>
      </c>
      <c r="C3744" s="43" t="s">
        <v>51</v>
      </c>
      <c r="D3744" s="44">
        <v>45866</v>
      </c>
      <c r="E3744" s="45">
        <v>81.6</v>
      </c>
    </row>
    <row r="3745" spans="2:5">
      <c r="B3745" s="43" t="s">
        <v>114</v>
      </c>
      <c r="C3745" s="43" t="s">
        <v>115</v>
      </c>
      <c r="D3745" s="44">
        <v>45866</v>
      </c>
      <c r="E3745" s="45">
        <v>212.8</v>
      </c>
    </row>
    <row r="3746" spans="2:5">
      <c r="B3746" s="43" t="s">
        <v>182</v>
      </c>
      <c r="C3746" s="43" t="s">
        <v>183</v>
      </c>
      <c r="D3746" s="44">
        <v>45866</v>
      </c>
      <c r="E3746" s="45">
        <v>126.6</v>
      </c>
    </row>
    <row r="3747" spans="2:5">
      <c r="B3747" s="43" t="s">
        <v>76</v>
      </c>
      <c r="C3747" s="43" t="s">
        <v>77</v>
      </c>
      <c r="D3747" s="44">
        <v>45866</v>
      </c>
      <c r="E3747" s="45">
        <v>176.5</v>
      </c>
    </row>
    <row r="3748" spans="2:5">
      <c r="B3748" s="43" t="s">
        <v>168</v>
      </c>
      <c r="C3748" s="43" t="s">
        <v>169</v>
      </c>
      <c r="D3748" s="44">
        <v>45866</v>
      </c>
      <c r="E3748" s="45">
        <v>160.8</v>
      </c>
    </row>
    <row r="3749" spans="2:5">
      <c r="B3749" s="43" t="s">
        <v>20</v>
      </c>
      <c r="C3749" s="43" t="s">
        <v>21</v>
      </c>
      <c r="D3749" s="44">
        <v>45866</v>
      </c>
      <c r="E3749" s="45">
        <v>78.4</v>
      </c>
    </row>
    <row r="3750" spans="2:5">
      <c r="B3750" s="43" t="s">
        <v>80</v>
      </c>
      <c r="C3750" s="43" t="s">
        <v>81</v>
      </c>
      <c r="D3750" s="44">
        <v>45866</v>
      </c>
      <c r="E3750" s="45">
        <v>832.3</v>
      </c>
    </row>
    <row r="3751" spans="2:5">
      <c r="B3751" s="43" t="s">
        <v>24</v>
      </c>
      <c r="C3751" s="43" t="s">
        <v>25</v>
      </c>
      <c r="D3751" s="44">
        <v>45866</v>
      </c>
      <c r="E3751" s="45">
        <v>1908</v>
      </c>
    </row>
    <row r="3752" spans="2:5">
      <c r="B3752" s="43" t="s">
        <v>210</v>
      </c>
      <c r="C3752" s="43" t="s">
        <v>211</v>
      </c>
      <c r="D3752" s="44">
        <v>45866</v>
      </c>
      <c r="E3752" s="45">
        <v>41</v>
      </c>
    </row>
    <row r="3753" spans="2:5">
      <c r="B3753" s="43" t="s">
        <v>26</v>
      </c>
      <c r="C3753" s="43" t="s">
        <v>27</v>
      </c>
      <c r="D3753" s="44">
        <v>45866</v>
      </c>
      <c r="E3753" s="45">
        <v>948.55</v>
      </c>
    </row>
    <row r="3754" spans="2:5">
      <c r="B3754" s="43" t="s">
        <v>82</v>
      </c>
      <c r="C3754" s="43" t="s">
        <v>83</v>
      </c>
      <c r="D3754" s="44">
        <v>45866</v>
      </c>
      <c r="E3754" s="45">
        <v>36.9</v>
      </c>
    </row>
    <row r="3755" spans="2:5">
      <c r="B3755" s="43" t="s">
        <v>64</v>
      </c>
      <c r="C3755" s="43" t="s">
        <v>65</v>
      </c>
      <c r="D3755" s="44">
        <v>45866</v>
      </c>
      <c r="E3755" s="45">
        <v>1760</v>
      </c>
    </row>
    <row r="3756" spans="2:5">
      <c r="B3756" s="43" t="s">
        <v>186</v>
      </c>
      <c r="C3756" s="43" t="s">
        <v>187</v>
      </c>
      <c r="D3756" s="44">
        <v>45866</v>
      </c>
      <c r="E3756" s="45">
        <v>814</v>
      </c>
    </row>
    <row r="3757" spans="2:5">
      <c r="B3757" s="43" t="s">
        <v>196</v>
      </c>
      <c r="C3757" s="43" t="s">
        <v>197</v>
      </c>
      <c r="D3757" s="44">
        <v>45866</v>
      </c>
      <c r="E3757" s="45">
        <v>26</v>
      </c>
    </row>
    <row r="3758" spans="2:5">
      <c r="B3758" s="43" t="s">
        <v>96</v>
      </c>
      <c r="C3758" s="43" t="s">
        <v>97</v>
      </c>
      <c r="D3758" s="44">
        <v>45866</v>
      </c>
      <c r="E3758" s="45">
        <v>111</v>
      </c>
    </row>
    <row r="3759" spans="2:5">
      <c r="B3759" s="43" t="s">
        <v>224</v>
      </c>
      <c r="C3759" s="43" t="s">
        <v>225</v>
      </c>
      <c r="D3759" s="44">
        <v>45866</v>
      </c>
      <c r="E3759" s="45">
        <v>1</v>
      </c>
    </row>
    <row r="3760" spans="2:5">
      <c r="B3760" s="43" t="s">
        <v>32</v>
      </c>
      <c r="C3760" s="43" t="s">
        <v>33</v>
      </c>
      <c r="D3760" s="44">
        <v>45866</v>
      </c>
      <c r="E3760" s="45">
        <v>3</v>
      </c>
    </row>
    <row r="3761" spans="2:5">
      <c r="B3761" s="43" t="s">
        <v>160</v>
      </c>
      <c r="C3761" s="43" t="s">
        <v>161</v>
      </c>
      <c r="D3761" s="44">
        <v>45866</v>
      </c>
      <c r="E3761" s="45">
        <v>9</v>
      </c>
    </row>
    <row r="3762" spans="2:5">
      <c r="B3762" s="43" t="s">
        <v>34</v>
      </c>
      <c r="C3762" s="43" t="s">
        <v>35</v>
      </c>
      <c r="D3762" s="44">
        <v>45866</v>
      </c>
      <c r="E3762" s="45">
        <v>8</v>
      </c>
    </row>
    <row r="3763" spans="2:5">
      <c r="B3763" s="43" t="s">
        <v>36</v>
      </c>
      <c r="C3763" s="43" t="s">
        <v>37</v>
      </c>
      <c r="D3763" s="44">
        <v>45866</v>
      </c>
      <c r="E3763" s="45">
        <v>10</v>
      </c>
    </row>
    <row r="3764" spans="2:5">
      <c r="B3764" s="43" t="s">
        <v>4</v>
      </c>
      <c r="C3764" s="43" t="s">
        <v>5</v>
      </c>
      <c r="D3764" s="44">
        <v>45867</v>
      </c>
      <c r="E3764" s="45">
        <v>67</v>
      </c>
    </row>
    <row r="3765" spans="2:5">
      <c r="B3765" s="43" t="s">
        <v>156</v>
      </c>
      <c r="C3765" s="43" t="s">
        <v>157</v>
      </c>
      <c r="D3765" s="44">
        <v>45867</v>
      </c>
      <c r="E3765" s="45">
        <v>7.8</v>
      </c>
    </row>
    <row r="3766" spans="2:5">
      <c r="B3766" s="43" t="s">
        <v>8</v>
      </c>
      <c r="C3766" s="43" t="s">
        <v>9</v>
      </c>
      <c r="D3766" s="44">
        <v>45867</v>
      </c>
      <c r="E3766" s="45">
        <v>234.9</v>
      </c>
    </row>
    <row r="3767" spans="2:5">
      <c r="B3767" s="43" t="s">
        <v>146</v>
      </c>
      <c r="C3767" s="43" t="s">
        <v>147</v>
      </c>
      <c r="D3767" s="44">
        <v>45867</v>
      </c>
      <c r="E3767" s="45">
        <v>40.7</v>
      </c>
    </row>
    <row r="3768" spans="2:5">
      <c r="B3768" s="43" t="s">
        <v>20</v>
      </c>
      <c r="C3768" s="43" t="s">
        <v>21</v>
      </c>
      <c r="D3768" s="44">
        <v>45867</v>
      </c>
      <c r="E3768" s="45">
        <v>490</v>
      </c>
    </row>
    <row r="3769" spans="2:5">
      <c r="B3769" s="43" t="s">
        <v>22</v>
      </c>
      <c r="C3769" s="43" t="s">
        <v>23</v>
      </c>
      <c r="D3769" s="44">
        <v>45867</v>
      </c>
      <c r="E3769" s="45">
        <v>480</v>
      </c>
    </row>
    <row r="3770" spans="2:5">
      <c r="B3770" s="43" t="s">
        <v>140</v>
      </c>
      <c r="C3770" s="43" t="s">
        <v>141</v>
      </c>
      <c r="D3770" s="44">
        <v>45867</v>
      </c>
      <c r="E3770" s="45">
        <v>278.4</v>
      </c>
    </row>
    <row r="3771" spans="2:5">
      <c r="B3771" s="43" t="s">
        <v>24</v>
      </c>
      <c r="C3771" s="43" t="s">
        <v>25</v>
      </c>
      <c r="D3771" s="44">
        <v>45867</v>
      </c>
      <c r="E3771" s="45">
        <v>1510.5</v>
      </c>
    </row>
    <row r="3772" spans="2:5">
      <c r="B3772" s="43" t="s">
        <v>26</v>
      </c>
      <c r="C3772" s="43" t="s">
        <v>27</v>
      </c>
      <c r="D3772" s="44">
        <v>45867</v>
      </c>
      <c r="E3772" s="45">
        <v>1041.85</v>
      </c>
    </row>
    <row r="3773" spans="2:5">
      <c r="B3773" s="43" t="s">
        <v>110</v>
      </c>
      <c r="C3773" s="43" t="s">
        <v>111</v>
      </c>
      <c r="D3773" s="44">
        <v>45867</v>
      </c>
      <c r="E3773" s="45">
        <v>33</v>
      </c>
    </row>
    <row r="3774" spans="2:5">
      <c r="B3774" s="43" t="s">
        <v>62</v>
      </c>
      <c r="C3774" s="43" t="s">
        <v>63</v>
      </c>
      <c r="D3774" s="44">
        <v>45867</v>
      </c>
      <c r="E3774" s="45">
        <v>205</v>
      </c>
    </row>
    <row r="3775" spans="2:5">
      <c r="B3775" s="43" t="s">
        <v>64</v>
      </c>
      <c r="C3775" s="43" t="s">
        <v>65</v>
      </c>
      <c r="D3775" s="44">
        <v>45867</v>
      </c>
      <c r="E3775" s="45">
        <v>180</v>
      </c>
    </row>
    <row r="3776" spans="2:5">
      <c r="B3776" s="43" t="s">
        <v>68</v>
      </c>
      <c r="C3776" s="43" t="s">
        <v>69</v>
      </c>
      <c r="D3776" s="44">
        <v>45867</v>
      </c>
      <c r="E3776" s="45">
        <v>251.3</v>
      </c>
    </row>
    <row r="3777" spans="2:5">
      <c r="B3777" s="43" t="s">
        <v>142</v>
      </c>
      <c r="C3777" s="43" t="s">
        <v>143</v>
      </c>
      <c r="D3777" s="44">
        <v>45867</v>
      </c>
      <c r="E3777" s="45">
        <v>1</v>
      </c>
    </row>
    <row r="3778" spans="2:5">
      <c r="B3778" s="43" t="s">
        <v>196</v>
      </c>
      <c r="C3778" s="43" t="s">
        <v>197</v>
      </c>
      <c r="D3778" s="44">
        <v>45867</v>
      </c>
      <c r="E3778" s="45">
        <v>3</v>
      </c>
    </row>
    <row r="3779" spans="2:5">
      <c r="B3779" s="43" t="s">
        <v>96</v>
      </c>
      <c r="C3779" s="43" t="s">
        <v>97</v>
      </c>
      <c r="D3779" s="44">
        <v>45867</v>
      </c>
      <c r="E3779" s="45">
        <v>23</v>
      </c>
    </row>
    <row r="3780" spans="2:5">
      <c r="B3780" s="43" t="s">
        <v>32</v>
      </c>
      <c r="C3780" s="43" t="s">
        <v>33</v>
      </c>
      <c r="D3780" s="44">
        <v>45867</v>
      </c>
      <c r="E3780" s="45">
        <v>35</v>
      </c>
    </row>
    <row r="3781" spans="2:5">
      <c r="B3781" s="43" t="s">
        <v>34</v>
      </c>
      <c r="C3781" s="43" t="s">
        <v>35</v>
      </c>
      <c r="D3781" s="44">
        <v>45867</v>
      </c>
      <c r="E3781" s="45">
        <v>11</v>
      </c>
    </row>
    <row r="3782" spans="2:5">
      <c r="B3782" s="43" t="s">
        <v>36</v>
      </c>
      <c r="C3782" s="43" t="s">
        <v>37</v>
      </c>
      <c r="D3782" s="44">
        <v>45867</v>
      </c>
      <c r="E3782" s="45">
        <v>9</v>
      </c>
    </row>
    <row r="3783" spans="2:5">
      <c r="B3783" s="43" t="s">
        <v>4</v>
      </c>
      <c r="C3783" s="43" t="s">
        <v>5</v>
      </c>
      <c r="D3783" s="44">
        <v>45868</v>
      </c>
      <c r="E3783" s="45">
        <v>67</v>
      </c>
    </row>
    <row r="3784" spans="2:5">
      <c r="B3784" s="43" t="s">
        <v>156</v>
      </c>
      <c r="C3784" s="43" t="s">
        <v>157</v>
      </c>
      <c r="D3784" s="44">
        <v>45868</v>
      </c>
      <c r="E3784" s="45">
        <v>78</v>
      </c>
    </row>
    <row r="3785" spans="2:5">
      <c r="B3785" s="43" t="s">
        <v>8</v>
      </c>
      <c r="C3785" s="43" t="s">
        <v>9</v>
      </c>
      <c r="D3785" s="44">
        <v>45868</v>
      </c>
      <c r="E3785" s="45">
        <v>113.1</v>
      </c>
    </row>
    <row r="3786" spans="2:5">
      <c r="B3786" s="43" t="s">
        <v>46</v>
      </c>
      <c r="C3786" s="43" t="s">
        <v>47</v>
      </c>
      <c r="D3786" s="44">
        <v>45868</v>
      </c>
      <c r="E3786" s="45">
        <v>226</v>
      </c>
    </row>
    <row r="3787" spans="2:5">
      <c r="B3787" s="43" t="s">
        <v>10</v>
      </c>
      <c r="C3787" s="43" t="s">
        <v>11</v>
      </c>
      <c r="D3787" s="44">
        <v>45868</v>
      </c>
      <c r="E3787" s="45">
        <v>176.8</v>
      </c>
    </row>
    <row r="3788" spans="2:5">
      <c r="B3788" s="43" t="s">
        <v>12</v>
      </c>
      <c r="C3788" s="43" t="s">
        <v>13</v>
      </c>
      <c r="D3788" s="44">
        <v>45868</v>
      </c>
      <c r="E3788" s="45">
        <v>110.4</v>
      </c>
    </row>
    <row r="3789" spans="2:5">
      <c r="B3789" s="43" t="s">
        <v>108</v>
      </c>
      <c r="C3789" s="43" t="s">
        <v>109</v>
      </c>
      <c r="D3789" s="44">
        <v>45868</v>
      </c>
      <c r="E3789" s="45">
        <v>542.5</v>
      </c>
    </row>
    <row r="3790" spans="2:5">
      <c r="B3790" s="43" t="s">
        <v>116</v>
      </c>
      <c r="C3790" s="43" t="s">
        <v>117</v>
      </c>
      <c r="D3790" s="44">
        <v>45868</v>
      </c>
      <c r="E3790" s="45">
        <v>260.8</v>
      </c>
    </row>
    <row r="3791" spans="2:5">
      <c r="B3791" s="43" t="s">
        <v>56</v>
      </c>
      <c r="C3791" s="43" t="s">
        <v>57</v>
      </c>
      <c r="D3791" s="44">
        <v>45868</v>
      </c>
      <c r="E3791" s="45">
        <v>54.3</v>
      </c>
    </row>
    <row r="3792" spans="2:5">
      <c r="B3792" s="43" t="s">
        <v>20</v>
      </c>
      <c r="C3792" s="43" t="s">
        <v>21</v>
      </c>
      <c r="D3792" s="44">
        <v>45868</v>
      </c>
      <c r="E3792" s="45">
        <v>58.8</v>
      </c>
    </row>
    <row r="3793" spans="2:5">
      <c r="B3793" s="43" t="s">
        <v>22</v>
      </c>
      <c r="C3793" s="43" t="s">
        <v>23</v>
      </c>
      <c r="D3793" s="44">
        <v>45868</v>
      </c>
      <c r="E3793" s="45">
        <v>144</v>
      </c>
    </row>
    <row r="3794" spans="2:5">
      <c r="B3794" s="43" t="s">
        <v>24</v>
      </c>
      <c r="C3794" s="43" t="s">
        <v>25</v>
      </c>
      <c r="D3794" s="44">
        <v>45868</v>
      </c>
      <c r="E3794" s="45">
        <v>1494.6</v>
      </c>
    </row>
    <row r="3795" spans="2:5">
      <c r="B3795" s="43" t="s">
        <v>210</v>
      </c>
      <c r="C3795" s="43" t="s">
        <v>211</v>
      </c>
      <c r="D3795" s="44">
        <v>45868</v>
      </c>
      <c r="E3795" s="45">
        <v>164</v>
      </c>
    </row>
    <row r="3796" spans="2:5">
      <c r="B3796" s="43" t="s">
        <v>26</v>
      </c>
      <c r="C3796" s="43" t="s">
        <v>27</v>
      </c>
      <c r="D3796" s="44">
        <v>45868</v>
      </c>
      <c r="E3796" s="45">
        <v>1990.4</v>
      </c>
    </row>
    <row r="3797" spans="2:5">
      <c r="B3797" s="43" t="s">
        <v>60</v>
      </c>
      <c r="C3797" s="43" t="s">
        <v>61</v>
      </c>
      <c r="D3797" s="44">
        <v>45868</v>
      </c>
      <c r="E3797" s="45">
        <v>256.2</v>
      </c>
    </row>
    <row r="3798" spans="2:5">
      <c r="B3798" s="43" t="s">
        <v>62</v>
      </c>
      <c r="C3798" s="43" t="s">
        <v>63</v>
      </c>
      <c r="D3798" s="44">
        <v>45868</v>
      </c>
      <c r="E3798" s="45">
        <v>307.5</v>
      </c>
    </row>
    <row r="3799" spans="2:5">
      <c r="B3799" s="43" t="s">
        <v>64</v>
      </c>
      <c r="C3799" s="43" t="s">
        <v>65</v>
      </c>
      <c r="D3799" s="44">
        <v>45868</v>
      </c>
      <c r="E3799" s="45">
        <v>220</v>
      </c>
    </row>
    <row r="3800" spans="2:5">
      <c r="B3800" s="43" t="s">
        <v>96</v>
      </c>
      <c r="C3800" s="43" t="s">
        <v>97</v>
      </c>
      <c r="D3800" s="44">
        <v>45868</v>
      </c>
      <c r="E3800" s="45">
        <v>29</v>
      </c>
    </row>
    <row r="3801" spans="2:5">
      <c r="B3801" s="43" t="s">
        <v>32</v>
      </c>
      <c r="C3801" s="43" t="s">
        <v>33</v>
      </c>
      <c r="D3801" s="44">
        <v>45868</v>
      </c>
      <c r="E3801" s="45">
        <v>7</v>
      </c>
    </row>
    <row r="3802" spans="2:5">
      <c r="B3802" s="43" t="s">
        <v>160</v>
      </c>
      <c r="C3802" s="43" t="s">
        <v>161</v>
      </c>
      <c r="D3802" s="44">
        <v>45868</v>
      </c>
      <c r="E3802" s="45">
        <v>2</v>
      </c>
    </row>
    <row r="3803" spans="2:5">
      <c r="B3803" s="43" t="s">
        <v>34</v>
      </c>
      <c r="C3803" s="43" t="s">
        <v>35</v>
      </c>
      <c r="D3803" s="44">
        <v>45868</v>
      </c>
      <c r="E3803" s="45">
        <v>4</v>
      </c>
    </row>
    <row r="3804" spans="2:5">
      <c r="B3804" s="43" t="s">
        <v>36</v>
      </c>
      <c r="C3804" s="43" t="s">
        <v>37</v>
      </c>
      <c r="D3804" s="44">
        <v>45868</v>
      </c>
      <c r="E3804" s="45">
        <v>5</v>
      </c>
    </row>
    <row r="3805" spans="2:5">
      <c r="B3805" s="43" t="s">
        <v>38</v>
      </c>
      <c r="C3805" s="43" t="s">
        <v>39</v>
      </c>
      <c r="D3805" s="44">
        <v>45868</v>
      </c>
      <c r="E3805" s="45">
        <v>105</v>
      </c>
    </row>
    <row r="3806" spans="2:5">
      <c r="B3806" s="43" t="s">
        <v>102</v>
      </c>
      <c r="C3806" s="43" t="s">
        <v>103</v>
      </c>
      <c r="D3806" s="44">
        <v>45869</v>
      </c>
      <c r="E3806" s="45">
        <v>4</v>
      </c>
    </row>
    <row r="3807" spans="2:5">
      <c r="B3807" s="43" t="s">
        <v>4</v>
      </c>
      <c r="C3807" s="43" t="s">
        <v>5</v>
      </c>
      <c r="D3807" s="44">
        <v>45869</v>
      </c>
      <c r="E3807" s="45">
        <v>53.6</v>
      </c>
    </row>
    <row r="3808" spans="2:5">
      <c r="B3808" s="43" t="s">
        <v>8</v>
      </c>
      <c r="C3808" s="43" t="s">
        <v>9</v>
      </c>
      <c r="D3808" s="44">
        <v>45869</v>
      </c>
      <c r="E3808" s="45">
        <v>174</v>
      </c>
    </row>
    <row r="3809" spans="2:5">
      <c r="B3809" s="43" t="s">
        <v>46</v>
      </c>
      <c r="C3809" s="43" t="s">
        <v>47</v>
      </c>
      <c r="D3809" s="44">
        <v>45869</v>
      </c>
      <c r="E3809" s="45">
        <v>983.1</v>
      </c>
    </row>
    <row r="3810" spans="2:5">
      <c r="B3810" s="43" t="s">
        <v>10</v>
      </c>
      <c r="C3810" s="43" t="s">
        <v>11</v>
      </c>
      <c r="D3810" s="44">
        <v>45869</v>
      </c>
      <c r="E3810" s="45">
        <v>276.25</v>
      </c>
    </row>
    <row r="3811" spans="2:5">
      <c r="B3811" s="43" t="s">
        <v>12</v>
      </c>
      <c r="C3811" s="43" t="s">
        <v>13</v>
      </c>
      <c r="D3811" s="44">
        <v>45869</v>
      </c>
      <c r="E3811" s="45">
        <v>96.6</v>
      </c>
    </row>
    <row r="3812" spans="2:5">
      <c r="B3812" s="43" t="s">
        <v>48</v>
      </c>
      <c r="C3812" s="43" t="s">
        <v>49</v>
      </c>
      <c r="D3812" s="44">
        <v>45869</v>
      </c>
      <c r="E3812" s="45">
        <v>1824</v>
      </c>
    </row>
    <row r="3813" spans="2:5">
      <c r="B3813" s="43" t="s">
        <v>16</v>
      </c>
      <c r="C3813" s="43" t="s">
        <v>17</v>
      </c>
      <c r="D3813" s="44">
        <v>45869</v>
      </c>
      <c r="E3813" s="45">
        <v>45.6</v>
      </c>
    </row>
    <row r="3814" spans="2:5">
      <c r="B3814" s="43" t="s">
        <v>20</v>
      </c>
      <c r="C3814" s="43" t="s">
        <v>21</v>
      </c>
      <c r="D3814" s="44">
        <v>45869</v>
      </c>
      <c r="E3814" s="45">
        <v>58.8</v>
      </c>
    </row>
    <row r="3815" spans="2:5">
      <c r="B3815" s="43" t="s">
        <v>22</v>
      </c>
      <c r="C3815" s="43" t="s">
        <v>23</v>
      </c>
      <c r="D3815" s="44">
        <v>45869</v>
      </c>
      <c r="E3815" s="45">
        <v>9.6</v>
      </c>
    </row>
    <row r="3816" spans="2:5">
      <c r="B3816" s="43" t="s">
        <v>140</v>
      </c>
      <c r="C3816" s="43" t="s">
        <v>141</v>
      </c>
      <c r="D3816" s="44">
        <v>45869</v>
      </c>
      <c r="E3816" s="45">
        <v>1160</v>
      </c>
    </row>
    <row r="3817" spans="2:5">
      <c r="B3817" s="43" t="s">
        <v>80</v>
      </c>
      <c r="C3817" s="43" t="s">
        <v>81</v>
      </c>
      <c r="D3817" s="44">
        <v>45869</v>
      </c>
      <c r="E3817" s="45">
        <v>516.6</v>
      </c>
    </row>
    <row r="3818" spans="2:5">
      <c r="B3818" s="43" t="s">
        <v>24</v>
      </c>
      <c r="C3818" s="43" t="s">
        <v>25</v>
      </c>
      <c r="D3818" s="44">
        <v>45869</v>
      </c>
      <c r="E3818" s="45">
        <v>1590</v>
      </c>
    </row>
    <row r="3819" spans="2:5">
      <c r="B3819" s="43" t="s">
        <v>26</v>
      </c>
      <c r="C3819" s="43" t="s">
        <v>27</v>
      </c>
      <c r="D3819" s="44">
        <v>45869</v>
      </c>
      <c r="E3819" s="45">
        <v>653.1</v>
      </c>
    </row>
    <row r="3820" spans="2:5">
      <c r="B3820" s="43" t="s">
        <v>28</v>
      </c>
      <c r="C3820" s="43" t="s">
        <v>29</v>
      </c>
      <c r="D3820" s="44">
        <v>45869</v>
      </c>
      <c r="E3820" s="45">
        <v>125.3</v>
      </c>
    </row>
    <row r="3821" spans="2:5">
      <c r="B3821" s="43" t="s">
        <v>82</v>
      </c>
      <c r="C3821" s="43" t="s">
        <v>83</v>
      </c>
      <c r="D3821" s="44">
        <v>45869</v>
      </c>
      <c r="E3821" s="45">
        <v>276.75</v>
      </c>
    </row>
    <row r="3822" spans="2:5">
      <c r="B3822" s="43" t="s">
        <v>64</v>
      </c>
      <c r="C3822" s="43" t="s">
        <v>65</v>
      </c>
      <c r="D3822" s="44">
        <v>45869</v>
      </c>
      <c r="E3822" s="45">
        <v>240</v>
      </c>
    </row>
    <row r="3823" spans="2:5">
      <c r="B3823" s="43" t="s">
        <v>172</v>
      </c>
      <c r="C3823" s="43" t="s">
        <v>173</v>
      </c>
      <c r="D3823" s="44">
        <v>45869</v>
      </c>
      <c r="E3823" s="45">
        <v>451</v>
      </c>
    </row>
    <row r="3824" spans="2:5">
      <c r="B3824" s="43" t="s">
        <v>66</v>
      </c>
      <c r="C3824" s="43" t="s">
        <v>67</v>
      </c>
      <c r="D3824" s="44">
        <v>45869</v>
      </c>
      <c r="E3824" s="45">
        <v>27.7</v>
      </c>
    </row>
    <row r="3825" spans="2:5">
      <c r="B3825" s="43" t="s">
        <v>96</v>
      </c>
      <c r="C3825" s="43" t="s">
        <v>97</v>
      </c>
      <c r="D3825" s="44">
        <v>45869</v>
      </c>
      <c r="E3825" s="45">
        <v>27</v>
      </c>
    </row>
    <row r="3826" spans="2:5">
      <c r="B3826" s="43" t="s">
        <v>32</v>
      </c>
      <c r="C3826" s="43" t="s">
        <v>33</v>
      </c>
      <c r="D3826" s="44">
        <v>45869</v>
      </c>
      <c r="E3826" s="45">
        <v>13</v>
      </c>
    </row>
    <row r="3827" spans="2:5">
      <c r="B3827" s="43" t="s">
        <v>34</v>
      </c>
      <c r="C3827" s="43" t="s">
        <v>35</v>
      </c>
      <c r="D3827" s="44">
        <v>45869</v>
      </c>
      <c r="E3827" s="45">
        <v>15</v>
      </c>
    </row>
    <row r="3828" spans="2:5">
      <c r="B3828" s="43" t="s">
        <v>36</v>
      </c>
      <c r="C3828" s="43" t="s">
        <v>37</v>
      </c>
      <c r="D3828" s="44">
        <v>45869</v>
      </c>
      <c r="E3828" s="45">
        <v>1</v>
      </c>
    </row>
    <row r="3829" spans="2:5">
      <c r="B3829" s="43" t="s">
        <v>156</v>
      </c>
      <c r="C3829" s="43" t="s">
        <v>157</v>
      </c>
      <c r="D3829" s="44">
        <v>45870</v>
      </c>
      <c r="E3829" s="45">
        <v>7.8</v>
      </c>
    </row>
    <row r="3830" spans="2:5">
      <c r="B3830" s="43" t="s">
        <v>8</v>
      </c>
      <c r="C3830" s="43" t="s">
        <v>9</v>
      </c>
      <c r="D3830" s="44">
        <v>45870</v>
      </c>
      <c r="E3830" s="45">
        <v>26.1</v>
      </c>
    </row>
    <row r="3831" spans="2:5">
      <c r="B3831" s="43" t="s">
        <v>46</v>
      </c>
      <c r="C3831" s="43" t="s">
        <v>47</v>
      </c>
      <c r="D3831" s="44">
        <v>45870</v>
      </c>
      <c r="E3831" s="45">
        <v>610.2</v>
      </c>
    </row>
    <row r="3832" spans="2:5">
      <c r="B3832" s="43" t="s">
        <v>12</v>
      </c>
      <c r="C3832" s="43" t="s">
        <v>13</v>
      </c>
      <c r="D3832" s="44">
        <v>45870</v>
      </c>
      <c r="E3832" s="45">
        <v>69</v>
      </c>
    </row>
    <row r="3833" spans="2:5">
      <c r="B3833" s="43" t="s">
        <v>178</v>
      </c>
      <c r="C3833" s="43" t="s">
        <v>179</v>
      </c>
      <c r="D3833" s="44">
        <v>45870</v>
      </c>
      <c r="E3833" s="45">
        <v>18</v>
      </c>
    </row>
    <row r="3834" spans="2:5">
      <c r="B3834" s="43" t="s">
        <v>50</v>
      </c>
      <c r="C3834" s="43" t="s">
        <v>51</v>
      </c>
      <c r="D3834" s="44">
        <v>45870</v>
      </c>
      <c r="E3834" s="45">
        <v>802.4</v>
      </c>
    </row>
    <row r="3835" spans="2:5">
      <c r="B3835" s="43" t="s">
        <v>202</v>
      </c>
      <c r="C3835" s="43" t="s">
        <v>203</v>
      </c>
      <c r="D3835" s="44">
        <v>45870</v>
      </c>
      <c r="E3835" s="45">
        <v>633.5</v>
      </c>
    </row>
    <row r="3836" spans="2:5">
      <c r="B3836" s="43" t="s">
        <v>116</v>
      </c>
      <c r="C3836" s="43" t="s">
        <v>117</v>
      </c>
      <c r="D3836" s="44">
        <v>45870</v>
      </c>
      <c r="E3836" s="45">
        <v>456.4</v>
      </c>
    </row>
    <row r="3837" spans="2:5">
      <c r="B3837" s="43" t="s">
        <v>200</v>
      </c>
      <c r="C3837" s="43" t="s">
        <v>201</v>
      </c>
      <c r="D3837" s="44">
        <v>45870</v>
      </c>
      <c r="E3837" s="45">
        <v>110</v>
      </c>
    </row>
    <row r="3838" spans="2:5">
      <c r="B3838" s="43" t="s">
        <v>20</v>
      </c>
      <c r="C3838" s="43" t="s">
        <v>21</v>
      </c>
      <c r="D3838" s="44">
        <v>45870</v>
      </c>
      <c r="E3838" s="45">
        <v>9.8</v>
      </c>
    </row>
    <row r="3839" spans="2:5">
      <c r="B3839" s="43" t="s">
        <v>22</v>
      </c>
      <c r="C3839" s="43" t="s">
        <v>23</v>
      </c>
      <c r="D3839" s="44">
        <v>45870</v>
      </c>
      <c r="E3839" s="45">
        <v>76.8</v>
      </c>
    </row>
    <row r="3840" spans="2:5">
      <c r="B3840" s="43" t="s">
        <v>80</v>
      </c>
      <c r="C3840" s="43" t="s">
        <v>81</v>
      </c>
      <c r="D3840" s="44">
        <v>45870</v>
      </c>
      <c r="E3840" s="45">
        <v>143.5</v>
      </c>
    </row>
    <row r="3841" spans="2:5">
      <c r="B3841" s="43" t="s">
        <v>24</v>
      </c>
      <c r="C3841" s="43" t="s">
        <v>25</v>
      </c>
      <c r="D3841" s="44">
        <v>45870</v>
      </c>
      <c r="E3841" s="45">
        <v>3036.9</v>
      </c>
    </row>
    <row r="3842" spans="2:5">
      <c r="B3842" s="43" t="s">
        <v>26</v>
      </c>
      <c r="C3842" s="43" t="s">
        <v>27</v>
      </c>
      <c r="D3842" s="44">
        <v>45870</v>
      </c>
      <c r="E3842" s="45">
        <v>264.35</v>
      </c>
    </row>
    <row r="3843" spans="2:5">
      <c r="B3843" s="43" t="s">
        <v>60</v>
      </c>
      <c r="C3843" s="43" t="s">
        <v>61</v>
      </c>
      <c r="D3843" s="44">
        <v>45870</v>
      </c>
      <c r="E3843" s="45">
        <v>36.6</v>
      </c>
    </row>
    <row r="3844" spans="2:5">
      <c r="B3844" s="43" t="s">
        <v>62</v>
      </c>
      <c r="C3844" s="43" t="s">
        <v>63</v>
      </c>
      <c r="D3844" s="44">
        <v>45870</v>
      </c>
      <c r="E3844" s="45">
        <v>1599</v>
      </c>
    </row>
    <row r="3845" spans="2:5">
      <c r="B3845" s="43" t="s">
        <v>64</v>
      </c>
      <c r="C3845" s="43" t="s">
        <v>65</v>
      </c>
      <c r="D3845" s="44">
        <v>45870</v>
      </c>
      <c r="E3845" s="45">
        <v>20</v>
      </c>
    </row>
    <row r="3846" spans="2:5">
      <c r="B3846" s="43" t="s">
        <v>186</v>
      </c>
      <c r="C3846" s="43" t="s">
        <v>187</v>
      </c>
      <c r="D3846" s="44">
        <v>45870</v>
      </c>
      <c r="E3846" s="45">
        <v>122.1</v>
      </c>
    </row>
    <row r="3847" spans="2:5">
      <c r="B3847" s="43" t="s">
        <v>84</v>
      </c>
      <c r="C3847" s="43" t="s">
        <v>85</v>
      </c>
      <c r="D3847" s="44">
        <v>45870</v>
      </c>
      <c r="E3847" s="45">
        <v>74.85</v>
      </c>
    </row>
    <row r="3848" spans="2:5">
      <c r="B3848" s="43" t="s">
        <v>132</v>
      </c>
      <c r="C3848" s="43" t="s">
        <v>133</v>
      </c>
      <c r="D3848" s="44">
        <v>45870</v>
      </c>
      <c r="E3848" s="45">
        <v>123.6</v>
      </c>
    </row>
    <row r="3849" spans="2:5">
      <c r="B3849" s="43" t="s">
        <v>150</v>
      </c>
      <c r="C3849" s="43" t="s">
        <v>151</v>
      </c>
      <c r="D3849" s="44">
        <v>45870</v>
      </c>
      <c r="E3849" s="45">
        <v>54.1</v>
      </c>
    </row>
    <row r="3850" spans="2:5">
      <c r="B3850" s="43" t="s">
        <v>68</v>
      </c>
      <c r="C3850" s="43" t="s">
        <v>69</v>
      </c>
      <c r="D3850" s="44">
        <v>45870</v>
      </c>
      <c r="E3850" s="45">
        <v>143.6</v>
      </c>
    </row>
    <row r="3851" spans="2:5">
      <c r="B3851" s="43" t="s">
        <v>96</v>
      </c>
      <c r="C3851" s="43" t="s">
        <v>97</v>
      </c>
      <c r="D3851" s="44">
        <v>45870</v>
      </c>
      <c r="E3851" s="45">
        <v>21</v>
      </c>
    </row>
    <row r="3852" spans="2:5">
      <c r="B3852" s="43" t="s">
        <v>32</v>
      </c>
      <c r="C3852" s="43" t="s">
        <v>33</v>
      </c>
      <c r="D3852" s="44">
        <v>45870</v>
      </c>
      <c r="E3852" s="45">
        <v>2</v>
      </c>
    </row>
    <row r="3853" spans="2:5">
      <c r="B3853" s="43" t="s">
        <v>160</v>
      </c>
      <c r="C3853" s="43" t="s">
        <v>161</v>
      </c>
      <c r="D3853" s="44">
        <v>45870</v>
      </c>
      <c r="E3853" s="45">
        <v>2</v>
      </c>
    </row>
    <row r="3854" spans="2:5">
      <c r="B3854" s="43" t="s">
        <v>34</v>
      </c>
      <c r="C3854" s="43" t="s">
        <v>35</v>
      </c>
      <c r="D3854" s="44">
        <v>45870</v>
      </c>
      <c r="E3854" s="45">
        <v>9</v>
      </c>
    </row>
    <row r="3855" spans="2:5">
      <c r="B3855" s="43" t="s">
        <v>38</v>
      </c>
      <c r="C3855" s="43" t="s">
        <v>39</v>
      </c>
      <c r="D3855" s="44">
        <v>45870</v>
      </c>
      <c r="E3855" s="45">
        <v>8</v>
      </c>
    </row>
    <row r="3856" spans="2:5">
      <c r="B3856" s="43" t="s">
        <v>42</v>
      </c>
      <c r="C3856" s="43" t="s">
        <v>43</v>
      </c>
      <c r="D3856" s="44">
        <v>45873</v>
      </c>
      <c r="E3856" s="45">
        <v>175.45</v>
      </c>
    </row>
    <row r="3857" spans="2:5">
      <c r="B3857" s="43" t="s">
        <v>4</v>
      </c>
      <c r="C3857" s="43" t="s">
        <v>5</v>
      </c>
      <c r="D3857" s="44">
        <v>45873</v>
      </c>
      <c r="E3857" s="45">
        <v>67</v>
      </c>
    </row>
    <row r="3858" spans="2:5">
      <c r="B3858" s="43" t="s">
        <v>156</v>
      </c>
      <c r="C3858" s="43" t="s">
        <v>157</v>
      </c>
      <c r="D3858" s="44">
        <v>45873</v>
      </c>
      <c r="E3858" s="45">
        <v>257.4</v>
      </c>
    </row>
    <row r="3859" spans="2:5">
      <c r="B3859" s="43" t="s">
        <v>8</v>
      </c>
      <c r="C3859" s="43" t="s">
        <v>9</v>
      </c>
      <c r="D3859" s="44">
        <v>45873</v>
      </c>
      <c r="E3859" s="45">
        <v>165.3</v>
      </c>
    </row>
    <row r="3860" spans="2:5">
      <c r="B3860" s="43" t="s">
        <v>46</v>
      </c>
      <c r="C3860" s="43" t="s">
        <v>47</v>
      </c>
      <c r="D3860" s="44">
        <v>45873</v>
      </c>
      <c r="E3860" s="45">
        <v>361.6</v>
      </c>
    </row>
    <row r="3861" spans="2:5">
      <c r="B3861" s="43" t="s">
        <v>74</v>
      </c>
      <c r="C3861" s="43" t="s">
        <v>75</v>
      </c>
      <c r="D3861" s="44">
        <v>45873</v>
      </c>
      <c r="E3861" s="45">
        <v>199.2</v>
      </c>
    </row>
    <row r="3862" spans="2:5">
      <c r="B3862" s="43" t="s">
        <v>12</v>
      </c>
      <c r="C3862" s="43" t="s">
        <v>13</v>
      </c>
      <c r="D3862" s="44">
        <v>45873</v>
      </c>
      <c r="E3862" s="45">
        <v>234.6</v>
      </c>
    </row>
    <row r="3863" spans="2:5">
      <c r="B3863" s="43" t="s">
        <v>108</v>
      </c>
      <c r="C3863" s="43" t="s">
        <v>109</v>
      </c>
      <c r="D3863" s="44">
        <v>45873</v>
      </c>
      <c r="E3863" s="45">
        <v>310</v>
      </c>
    </row>
    <row r="3864" spans="2:5">
      <c r="B3864" s="43" t="s">
        <v>178</v>
      </c>
      <c r="C3864" s="43" t="s">
        <v>179</v>
      </c>
      <c r="D3864" s="44">
        <v>45873</v>
      </c>
      <c r="E3864" s="45">
        <v>90</v>
      </c>
    </row>
    <row r="3865" spans="2:5">
      <c r="B3865" s="43" t="s">
        <v>20</v>
      </c>
      <c r="C3865" s="43" t="s">
        <v>21</v>
      </c>
      <c r="D3865" s="44">
        <v>45873</v>
      </c>
      <c r="E3865" s="45">
        <v>166.6</v>
      </c>
    </row>
    <row r="3866" spans="2:5">
      <c r="B3866" s="43" t="s">
        <v>22</v>
      </c>
      <c r="C3866" s="43" t="s">
        <v>23</v>
      </c>
      <c r="D3866" s="44">
        <v>45873</v>
      </c>
      <c r="E3866" s="45">
        <v>28.8</v>
      </c>
    </row>
    <row r="3867" spans="2:5">
      <c r="B3867" s="43" t="s">
        <v>80</v>
      </c>
      <c r="C3867" s="43" t="s">
        <v>81</v>
      </c>
      <c r="D3867" s="44">
        <v>45873</v>
      </c>
      <c r="E3867" s="45">
        <v>1047.55</v>
      </c>
    </row>
    <row r="3868" spans="2:5">
      <c r="B3868" s="43" t="s">
        <v>24</v>
      </c>
      <c r="C3868" s="43" t="s">
        <v>25</v>
      </c>
      <c r="D3868" s="44">
        <v>45873</v>
      </c>
      <c r="E3868" s="45">
        <v>1272</v>
      </c>
    </row>
    <row r="3869" spans="2:5">
      <c r="B3869" s="43" t="s">
        <v>26</v>
      </c>
      <c r="C3869" s="43" t="s">
        <v>27</v>
      </c>
      <c r="D3869" s="44">
        <v>45873</v>
      </c>
      <c r="E3869" s="45">
        <v>124.4</v>
      </c>
    </row>
    <row r="3870" spans="2:5">
      <c r="B3870" s="43" t="s">
        <v>60</v>
      </c>
      <c r="C3870" s="43" t="s">
        <v>61</v>
      </c>
      <c r="D3870" s="44">
        <v>45873</v>
      </c>
      <c r="E3870" s="45">
        <v>347.7</v>
      </c>
    </row>
    <row r="3871" spans="2:5">
      <c r="B3871" s="43" t="s">
        <v>62</v>
      </c>
      <c r="C3871" s="43" t="s">
        <v>63</v>
      </c>
      <c r="D3871" s="44">
        <v>45873</v>
      </c>
      <c r="E3871" s="45">
        <v>205</v>
      </c>
    </row>
    <row r="3872" spans="2:5">
      <c r="B3872" s="43" t="s">
        <v>64</v>
      </c>
      <c r="C3872" s="43" t="s">
        <v>65</v>
      </c>
      <c r="D3872" s="44">
        <v>45873</v>
      </c>
      <c r="E3872" s="45">
        <v>400</v>
      </c>
    </row>
    <row r="3873" spans="2:5">
      <c r="B3873" s="43" t="s">
        <v>198</v>
      </c>
      <c r="C3873" s="43" t="s">
        <v>199</v>
      </c>
      <c r="D3873" s="44">
        <v>45873</v>
      </c>
      <c r="E3873" s="45">
        <v>46.2</v>
      </c>
    </row>
    <row r="3874" spans="2:5">
      <c r="B3874" s="43" t="s">
        <v>132</v>
      </c>
      <c r="C3874" s="43" t="s">
        <v>133</v>
      </c>
      <c r="D3874" s="44">
        <v>45873</v>
      </c>
      <c r="E3874" s="45">
        <v>432.6</v>
      </c>
    </row>
    <row r="3875" spans="2:5">
      <c r="B3875" s="43" t="s">
        <v>68</v>
      </c>
      <c r="C3875" s="43" t="s">
        <v>69</v>
      </c>
      <c r="D3875" s="44">
        <v>45873</v>
      </c>
      <c r="E3875" s="45">
        <v>71.8</v>
      </c>
    </row>
    <row r="3876" spans="2:5">
      <c r="B3876" s="43" t="s">
        <v>96</v>
      </c>
      <c r="C3876" s="43" t="s">
        <v>97</v>
      </c>
      <c r="D3876" s="44">
        <v>45873</v>
      </c>
      <c r="E3876" s="45">
        <v>4</v>
      </c>
    </row>
    <row r="3877" spans="2:5">
      <c r="B3877" s="43" t="s">
        <v>32</v>
      </c>
      <c r="C3877" s="43" t="s">
        <v>33</v>
      </c>
      <c r="D3877" s="44">
        <v>45873</v>
      </c>
      <c r="E3877" s="45">
        <v>13</v>
      </c>
    </row>
    <row r="3878" spans="2:5">
      <c r="B3878" s="43" t="s">
        <v>160</v>
      </c>
      <c r="C3878" s="43" t="s">
        <v>161</v>
      </c>
      <c r="D3878" s="44">
        <v>45873</v>
      </c>
      <c r="E3878" s="45">
        <v>7</v>
      </c>
    </row>
    <row r="3879" spans="2:5">
      <c r="B3879" s="43" t="s">
        <v>34</v>
      </c>
      <c r="C3879" s="43" t="s">
        <v>35</v>
      </c>
      <c r="D3879" s="44">
        <v>45873</v>
      </c>
      <c r="E3879" s="45">
        <v>24</v>
      </c>
    </row>
    <row r="3880" spans="2:5">
      <c r="B3880" s="43" t="s">
        <v>38</v>
      </c>
      <c r="C3880" s="43" t="s">
        <v>39</v>
      </c>
      <c r="D3880" s="44">
        <v>45873</v>
      </c>
      <c r="E3880" s="45">
        <v>4</v>
      </c>
    </row>
    <row r="3881" spans="2:5">
      <c r="B3881" s="43" t="s">
        <v>8</v>
      </c>
      <c r="C3881" s="43" t="s">
        <v>9</v>
      </c>
      <c r="D3881" s="44">
        <v>45874</v>
      </c>
      <c r="E3881" s="45">
        <v>254.3</v>
      </c>
    </row>
    <row r="3882" spans="2:5">
      <c r="B3882" s="43" t="s">
        <v>46</v>
      </c>
      <c r="C3882" s="43" t="s">
        <v>47</v>
      </c>
      <c r="D3882" s="44">
        <v>45874</v>
      </c>
      <c r="E3882" s="45">
        <v>124.3</v>
      </c>
    </row>
    <row r="3883" spans="2:5">
      <c r="B3883" s="43" t="s">
        <v>12</v>
      </c>
      <c r="C3883" s="43" t="s">
        <v>13</v>
      </c>
      <c r="D3883" s="44">
        <v>45874</v>
      </c>
      <c r="E3883" s="45">
        <v>331.2</v>
      </c>
    </row>
    <row r="3884" spans="2:5">
      <c r="B3884" s="43" t="s">
        <v>178</v>
      </c>
      <c r="C3884" s="43" t="s">
        <v>179</v>
      </c>
      <c r="D3884" s="44">
        <v>45874</v>
      </c>
      <c r="E3884" s="45">
        <v>108</v>
      </c>
    </row>
    <row r="3885" spans="2:5">
      <c r="B3885" s="43" t="s">
        <v>50</v>
      </c>
      <c r="C3885" s="43" t="s">
        <v>51</v>
      </c>
      <c r="D3885" s="44">
        <v>45874</v>
      </c>
      <c r="E3885" s="45">
        <v>571.2</v>
      </c>
    </row>
    <row r="3886" spans="2:5">
      <c r="B3886" s="43" t="s">
        <v>202</v>
      </c>
      <c r="C3886" s="43" t="s">
        <v>203</v>
      </c>
      <c r="D3886" s="44">
        <v>45874</v>
      </c>
      <c r="E3886" s="45">
        <v>126.7</v>
      </c>
    </row>
    <row r="3887" spans="2:5">
      <c r="B3887" s="43" t="s">
        <v>138</v>
      </c>
      <c r="C3887" s="43" t="s">
        <v>139</v>
      </c>
      <c r="D3887" s="44">
        <v>45874</v>
      </c>
      <c r="E3887" s="45">
        <v>126.8</v>
      </c>
    </row>
    <row r="3888" spans="2:5">
      <c r="B3888" s="43" t="s">
        <v>116</v>
      </c>
      <c r="C3888" s="43" t="s">
        <v>117</v>
      </c>
      <c r="D3888" s="44">
        <v>45874</v>
      </c>
      <c r="E3888" s="45">
        <v>211.9</v>
      </c>
    </row>
    <row r="3889" spans="2:5">
      <c r="B3889" s="43" t="s">
        <v>56</v>
      </c>
      <c r="C3889" s="43" t="s">
        <v>57</v>
      </c>
      <c r="D3889" s="44">
        <v>45874</v>
      </c>
      <c r="E3889" s="45">
        <v>470.6</v>
      </c>
    </row>
    <row r="3890" spans="2:5">
      <c r="B3890" s="43" t="s">
        <v>162</v>
      </c>
      <c r="C3890" s="43" t="s">
        <v>163</v>
      </c>
      <c r="D3890" s="44">
        <v>45874</v>
      </c>
      <c r="E3890" s="45">
        <v>161.6</v>
      </c>
    </row>
    <row r="3891" spans="2:5">
      <c r="B3891" s="43" t="s">
        <v>152</v>
      </c>
      <c r="C3891" s="43" t="s">
        <v>153</v>
      </c>
      <c r="D3891" s="44">
        <v>45874</v>
      </c>
      <c r="E3891" s="45">
        <v>93</v>
      </c>
    </row>
    <row r="3892" spans="2:5">
      <c r="B3892" s="43" t="s">
        <v>16</v>
      </c>
      <c r="C3892" s="43" t="s">
        <v>17</v>
      </c>
      <c r="D3892" s="44">
        <v>45874</v>
      </c>
      <c r="E3892" s="45">
        <v>91.2</v>
      </c>
    </row>
    <row r="3893" spans="2:5">
      <c r="B3893" s="43" t="s">
        <v>18</v>
      </c>
      <c r="C3893" s="43" t="s">
        <v>19</v>
      </c>
      <c r="D3893" s="44">
        <v>45874</v>
      </c>
      <c r="E3893" s="45">
        <v>66.75</v>
      </c>
    </row>
    <row r="3894" spans="2:5">
      <c r="B3894" s="43" t="s">
        <v>20</v>
      </c>
      <c r="C3894" s="43" t="s">
        <v>21</v>
      </c>
      <c r="D3894" s="44">
        <v>45874</v>
      </c>
      <c r="E3894" s="45">
        <v>29.4</v>
      </c>
    </row>
    <row r="3895" spans="2:5">
      <c r="B3895" s="43" t="s">
        <v>22</v>
      </c>
      <c r="C3895" s="43" t="s">
        <v>23</v>
      </c>
      <c r="D3895" s="44">
        <v>45874</v>
      </c>
      <c r="E3895" s="45">
        <v>57.6</v>
      </c>
    </row>
    <row r="3896" spans="2:5">
      <c r="B3896" s="43" t="s">
        <v>24</v>
      </c>
      <c r="C3896" s="43" t="s">
        <v>25</v>
      </c>
      <c r="D3896" s="44">
        <v>45874</v>
      </c>
      <c r="E3896" s="45">
        <v>2750.7</v>
      </c>
    </row>
    <row r="3897" spans="2:5">
      <c r="B3897" s="43" t="s">
        <v>26</v>
      </c>
      <c r="C3897" s="43" t="s">
        <v>27</v>
      </c>
      <c r="D3897" s="44">
        <v>45874</v>
      </c>
      <c r="E3897" s="45">
        <v>824.15</v>
      </c>
    </row>
    <row r="3898" spans="2:5">
      <c r="B3898" s="43" t="s">
        <v>60</v>
      </c>
      <c r="C3898" s="43" t="s">
        <v>61</v>
      </c>
      <c r="D3898" s="44">
        <v>45874</v>
      </c>
      <c r="E3898" s="45">
        <v>896.7</v>
      </c>
    </row>
    <row r="3899" spans="2:5">
      <c r="B3899" s="43" t="s">
        <v>62</v>
      </c>
      <c r="C3899" s="43" t="s">
        <v>63</v>
      </c>
      <c r="D3899" s="44">
        <v>45874</v>
      </c>
      <c r="E3899" s="45">
        <v>2132</v>
      </c>
    </row>
    <row r="3900" spans="2:5">
      <c r="B3900" s="43" t="s">
        <v>64</v>
      </c>
      <c r="C3900" s="43" t="s">
        <v>65</v>
      </c>
      <c r="D3900" s="44">
        <v>45874</v>
      </c>
      <c r="E3900" s="45">
        <v>200</v>
      </c>
    </row>
    <row r="3901" spans="2:5">
      <c r="B3901" s="43" t="s">
        <v>172</v>
      </c>
      <c r="C3901" s="43" t="s">
        <v>173</v>
      </c>
      <c r="D3901" s="44">
        <v>45874</v>
      </c>
      <c r="E3901" s="45">
        <v>90.2</v>
      </c>
    </row>
    <row r="3902" spans="2:5">
      <c r="B3902" s="43" t="s">
        <v>66</v>
      </c>
      <c r="C3902" s="43" t="s">
        <v>67</v>
      </c>
      <c r="D3902" s="44">
        <v>45874</v>
      </c>
      <c r="E3902" s="45">
        <v>360.1</v>
      </c>
    </row>
    <row r="3903" spans="2:5">
      <c r="B3903" s="43" t="s">
        <v>132</v>
      </c>
      <c r="C3903" s="43" t="s">
        <v>133</v>
      </c>
      <c r="D3903" s="44">
        <v>45874</v>
      </c>
      <c r="E3903" s="45">
        <v>278.1</v>
      </c>
    </row>
    <row r="3904" spans="2:5">
      <c r="B3904" s="43" t="s">
        <v>68</v>
      </c>
      <c r="C3904" s="43" t="s">
        <v>69</v>
      </c>
      <c r="D3904" s="44">
        <v>45874</v>
      </c>
      <c r="E3904" s="45">
        <v>143.6</v>
      </c>
    </row>
    <row r="3905" spans="2:5">
      <c r="B3905" s="43" t="s">
        <v>94</v>
      </c>
      <c r="C3905" s="43" t="s">
        <v>95</v>
      </c>
      <c r="D3905" s="44">
        <v>45874</v>
      </c>
      <c r="E3905" s="45">
        <v>328.3</v>
      </c>
    </row>
    <row r="3906" spans="2:5">
      <c r="B3906" s="43" t="s">
        <v>106</v>
      </c>
      <c r="C3906" s="43" t="s">
        <v>107</v>
      </c>
      <c r="D3906" s="44">
        <v>45874</v>
      </c>
      <c r="E3906" s="45">
        <v>15.4</v>
      </c>
    </row>
    <row r="3907" spans="2:5">
      <c r="B3907" s="43" t="s">
        <v>142</v>
      </c>
      <c r="C3907" s="43" t="s">
        <v>143</v>
      </c>
      <c r="D3907" s="44">
        <v>45874</v>
      </c>
      <c r="E3907" s="45">
        <v>2</v>
      </c>
    </row>
    <row r="3908" spans="2:5">
      <c r="B3908" s="43" t="s">
        <v>96</v>
      </c>
      <c r="C3908" s="43" t="s">
        <v>97</v>
      </c>
      <c r="D3908" s="44">
        <v>45874</v>
      </c>
      <c r="E3908" s="45">
        <v>15</v>
      </c>
    </row>
    <row r="3909" spans="2:5">
      <c r="B3909" s="43" t="s">
        <v>32</v>
      </c>
      <c r="C3909" s="43" t="s">
        <v>33</v>
      </c>
      <c r="D3909" s="44">
        <v>45874</v>
      </c>
      <c r="E3909" s="45">
        <v>15</v>
      </c>
    </row>
    <row r="3910" spans="2:5">
      <c r="B3910" s="43" t="s">
        <v>160</v>
      </c>
      <c r="C3910" s="43" t="s">
        <v>161</v>
      </c>
      <c r="D3910" s="44">
        <v>45874</v>
      </c>
      <c r="E3910" s="45">
        <v>8</v>
      </c>
    </row>
    <row r="3911" spans="2:5">
      <c r="B3911" s="43" t="s">
        <v>34</v>
      </c>
      <c r="C3911" s="43" t="s">
        <v>35</v>
      </c>
      <c r="D3911" s="44">
        <v>45874</v>
      </c>
      <c r="E3911" s="45">
        <v>85</v>
      </c>
    </row>
    <row r="3912" spans="2:5">
      <c r="B3912" s="43" t="s">
        <v>38</v>
      </c>
      <c r="C3912" s="43" t="s">
        <v>39</v>
      </c>
      <c r="D3912" s="44">
        <v>45874</v>
      </c>
      <c r="E3912" s="45">
        <v>116</v>
      </c>
    </row>
    <row r="3913" spans="2:5">
      <c r="B3913" s="43" t="s">
        <v>42</v>
      </c>
      <c r="C3913" s="43" t="s">
        <v>43</v>
      </c>
      <c r="D3913" s="44">
        <v>45875</v>
      </c>
      <c r="E3913" s="45">
        <v>423.5</v>
      </c>
    </row>
    <row r="3914" spans="2:5">
      <c r="B3914" s="43" t="s">
        <v>4</v>
      </c>
      <c r="C3914" s="43" t="s">
        <v>5</v>
      </c>
      <c r="D3914" s="44">
        <v>45875</v>
      </c>
      <c r="E3914" s="45">
        <v>53.6</v>
      </c>
    </row>
    <row r="3915" spans="2:5">
      <c r="B3915" s="43" t="s">
        <v>156</v>
      </c>
      <c r="C3915" s="43" t="s">
        <v>157</v>
      </c>
      <c r="D3915" s="44">
        <v>45875</v>
      </c>
      <c r="E3915" s="45">
        <v>546</v>
      </c>
    </row>
    <row r="3916" spans="2:5">
      <c r="B3916" s="43" t="s">
        <v>8</v>
      </c>
      <c r="C3916" s="43" t="s">
        <v>9</v>
      </c>
      <c r="D3916" s="44">
        <v>45875</v>
      </c>
      <c r="E3916" s="45">
        <v>87</v>
      </c>
    </row>
    <row r="3917" spans="2:5">
      <c r="B3917" s="43" t="s">
        <v>46</v>
      </c>
      <c r="C3917" s="43" t="s">
        <v>47</v>
      </c>
      <c r="D3917" s="44">
        <v>45875</v>
      </c>
      <c r="E3917" s="45">
        <v>394.7</v>
      </c>
    </row>
    <row r="3918" spans="2:5">
      <c r="B3918" s="43" t="s">
        <v>10</v>
      </c>
      <c r="C3918" s="43" t="s">
        <v>11</v>
      </c>
      <c r="D3918" s="44">
        <v>45875</v>
      </c>
      <c r="E3918" s="45">
        <v>44.2</v>
      </c>
    </row>
    <row r="3919" spans="2:5">
      <c r="B3919" s="43" t="s">
        <v>74</v>
      </c>
      <c r="C3919" s="43" t="s">
        <v>75</v>
      </c>
      <c r="D3919" s="44">
        <v>45875</v>
      </c>
      <c r="E3919" s="45">
        <v>448.2</v>
      </c>
    </row>
    <row r="3920" spans="2:5">
      <c r="B3920" s="43" t="s">
        <v>12</v>
      </c>
      <c r="C3920" s="43" t="s">
        <v>13</v>
      </c>
      <c r="D3920" s="44">
        <v>45875</v>
      </c>
      <c r="E3920" s="45">
        <v>427.8</v>
      </c>
    </row>
    <row r="3921" spans="2:5">
      <c r="B3921" s="43" t="s">
        <v>114</v>
      </c>
      <c r="C3921" s="43" t="s">
        <v>115</v>
      </c>
      <c r="D3921" s="44">
        <v>45875</v>
      </c>
      <c r="E3921" s="45">
        <v>146.3</v>
      </c>
    </row>
    <row r="3922" spans="2:5">
      <c r="B3922" s="43" t="s">
        <v>116</v>
      </c>
      <c r="C3922" s="43" t="s">
        <v>117</v>
      </c>
      <c r="D3922" s="44">
        <v>45875</v>
      </c>
      <c r="E3922" s="45">
        <v>48.9</v>
      </c>
    </row>
    <row r="3923" spans="2:5">
      <c r="B3923" s="43" t="s">
        <v>76</v>
      </c>
      <c r="C3923" s="43" t="s">
        <v>77</v>
      </c>
      <c r="D3923" s="44">
        <v>45875</v>
      </c>
      <c r="E3923" s="45">
        <v>194.15</v>
      </c>
    </row>
    <row r="3924" spans="2:5">
      <c r="B3924" s="43" t="s">
        <v>152</v>
      </c>
      <c r="C3924" s="43" t="s">
        <v>153</v>
      </c>
      <c r="D3924" s="44">
        <v>45875</v>
      </c>
      <c r="E3924" s="45">
        <v>186</v>
      </c>
    </row>
    <row r="3925" spans="2:5">
      <c r="B3925" s="43" t="s">
        <v>16</v>
      </c>
      <c r="C3925" s="43" t="s">
        <v>17</v>
      </c>
      <c r="D3925" s="44">
        <v>45875</v>
      </c>
      <c r="E3925" s="45">
        <v>45.6</v>
      </c>
    </row>
    <row r="3926" spans="2:5">
      <c r="B3926" s="43" t="s">
        <v>18</v>
      </c>
      <c r="C3926" s="43" t="s">
        <v>19</v>
      </c>
      <c r="D3926" s="44">
        <v>45875</v>
      </c>
      <c r="E3926" s="45">
        <v>178</v>
      </c>
    </row>
    <row r="3927" spans="2:5">
      <c r="B3927" s="43" t="s">
        <v>20</v>
      </c>
      <c r="C3927" s="43" t="s">
        <v>21</v>
      </c>
      <c r="D3927" s="44">
        <v>45875</v>
      </c>
      <c r="E3927" s="45">
        <v>274.4</v>
      </c>
    </row>
    <row r="3928" spans="2:5">
      <c r="B3928" s="43" t="s">
        <v>22</v>
      </c>
      <c r="C3928" s="43" t="s">
        <v>23</v>
      </c>
      <c r="D3928" s="44">
        <v>45875</v>
      </c>
      <c r="E3928" s="45">
        <v>57.6</v>
      </c>
    </row>
    <row r="3929" spans="2:5">
      <c r="B3929" s="43" t="s">
        <v>80</v>
      </c>
      <c r="C3929" s="43" t="s">
        <v>81</v>
      </c>
      <c r="D3929" s="44">
        <v>45875</v>
      </c>
      <c r="E3929" s="45">
        <v>1391.95</v>
      </c>
    </row>
    <row r="3930" spans="2:5">
      <c r="B3930" s="43" t="s">
        <v>24</v>
      </c>
      <c r="C3930" s="43" t="s">
        <v>25</v>
      </c>
      <c r="D3930" s="44">
        <v>45875</v>
      </c>
      <c r="E3930" s="45">
        <v>2067</v>
      </c>
    </row>
    <row r="3931" spans="2:5">
      <c r="B3931" s="43" t="s">
        <v>26</v>
      </c>
      <c r="C3931" s="43" t="s">
        <v>27</v>
      </c>
      <c r="D3931" s="44">
        <v>45875</v>
      </c>
      <c r="E3931" s="45">
        <v>1586.1</v>
      </c>
    </row>
    <row r="3932" spans="2:5">
      <c r="B3932" s="43" t="s">
        <v>60</v>
      </c>
      <c r="C3932" s="43" t="s">
        <v>61</v>
      </c>
      <c r="D3932" s="44">
        <v>45875</v>
      </c>
      <c r="E3932" s="45">
        <v>91.5</v>
      </c>
    </row>
    <row r="3933" spans="2:5">
      <c r="B3933" s="43" t="s">
        <v>28</v>
      </c>
      <c r="C3933" s="43" t="s">
        <v>29</v>
      </c>
      <c r="D3933" s="44">
        <v>45875</v>
      </c>
      <c r="E3933" s="45">
        <v>1074</v>
      </c>
    </row>
    <row r="3934" spans="2:5">
      <c r="B3934" s="43" t="s">
        <v>90</v>
      </c>
      <c r="C3934" s="43" t="s">
        <v>91</v>
      </c>
      <c r="D3934" s="44">
        <v>45875</v>
      </c>
      <c r="E3934" s="45">
        <v>667.5</v>
      </c>
    </row>
    <row r="3935" spans="2:5">
      <c r="B3935" s="43" t="s">
        <v>64</v>
      </c>
      <c r="C3935" s="43" t="s">
        <v>65</v>
      </c>
      <c r="D3935" s="44">
        <v>45875</v>
      </c>
      <c r="E3935" s="45">
        <v>1120</v>
      </c>
    </row>
    <row r="3936" spans="2:5">
      <c r="B3936" s="43" t="s">
        <v>172</v>
      </c>
      <c r="C3936" s="43" t="s">
        <v>173</v>
      </c>
      <c r="D3936" s="44">
        <v>45875</v>
      </c>
      <c r="E3936" s="45">
        <v>112.75</v>
      </c>
    </row>
    <row r="3937" spans="2:5">
      <c r="B3937" s="43" t="s">
        <v>132</v>
      </c>
      <c r="C3937" s="43" t="s">
        <v>133</v>
      </c>
      <c r="D3937" s="44">
        <v>45875</v>
      </c>
      <c r="E3937" s="45">
        <v>927</v>
      </c>
    </row>
    <row r="3938" spans="2:5">
      <c r="B3938" s="43" t="s">
        <v>68</v>
      </c>
      <c r="C3938" s="43" t="s">
        <v>69</v>
      </c>
      <c r="D3938" s="44">
        <v>45875</v>
      </c>
      <c r="E3938" s="45">
        <v>789.8</v>
      </c>
    </row>
    <row r="3939" spans="2:5">
      <c r="B3939" s="43" t="s">
        <v>208</v>
      </c>
      <c r="C3939" s="43" t="s">
        <v>209</v>
      </c>
      <c r="D3939" s="44">
        <v>45875</v>
      </c>
      <c r="E3939" s="45">
        <v>70</v>
      </c>
    </row>
    <row r="3940" spans="2:5">
      <c r="B3940" s="43" t="s">
        <v>106</v>
      </c>
      <c r="C3940" s="43" t="s">
        <v>107</v>
      </c>
      <c r="D3940" s="44">
        <v>45875</v>
      </c>
      <c r="E3940" s="45">
        <v>15.4</v>
      </c>
    </row>
    <row r="3941" spans="2:5">
      <c r="B3941" s="43" t="s">
        <v>96</v>
      </c>
      <c r="C3941" s="43" t="s">
        <v>97</v>
      </c>
      <c r="D3941" s="44">
        <v>45875</v>
      </c>
      <c r="E3941" s="45">
        <v>15</v>
      </c>
    </row>
    <row r="3942" spans="2:5">
      <c r="B3942" s="43" t="s">
        <v>32</v>
      </c>
      <c r="C3942" s="43" t="s">
        <v>33</v>
      </c>
      <c r="D3942" s="44">
        <v>45875</v>
      </c>
      <c r="E3942" s="45">
        <v>1</v>
      </c>
    </row>
    <row r="3943" spans="2:5">
      <c r="B3943" s="43" t="s">
        <v>34</v>
      </c>
      <c r="C3943" s="43" t="s">
        <v>35</v>
      </c>
      <c r="D3943" s="44">
        <v>45875</v>
      </c>
      <c r="E3943" s="45">
        <v>59</v>
      </c>
    </row>
    <row r="3944" spans="2:5">
      <c r="B3944" s="43" t="s">
        <v>38</v>
      </c>
      <c r="C3944" s="43" t="s">
        <v>39</v>
      </c>
      <c r="D3944" s="44">
        <v>45875</v>
      </c>
      <c r="E3944" s="45">
        <v>71</v>
      </c>
    </row>
    <row r="3945" spans="2:5">
      <c r="B3945" s="43" t="s">
        <v>8</v>
      </c>
      <c r="C3945" s="43" t="s">
        <v>9</v>
      </c>
      <c r="D3945" s="44">
        <v>45876</v>
      </c>
      <c r="E3945" s="45">
        <v>26.1</v>
      </c>
    </row>
    <row r="3946" spans="2:5">
      <c r="B3946" s="43" t="s">
        <v>46</v>
      </c>
      <c r="C3946" s="43" t="s">
        <v>47</v>
      </c>
      <c r="D3946" s="44">
        <v>45876</v>
      </c>
      <c r="E3946" s="45">
        <v>508.5</v>
      </c>
    </row>
    <row r="3947" spans="2:5">
      <c r="B3947" s="43" t="s">
        <v>10</v>
      </c>
      <c r="C3947" s="43" t="s">
        <v>11</v>
      </c>
      <c r="D3947" s="44">
        <v>45876</v>
      </c>
      <c r="E3947" s="45">
        <v>66.3</v>
      </c>
    </row>
    <row r="3948" spans="2:5">
      <c r="B3948" s="43" t="s">
        <v>12</v>
      </c>
      <c r="C3948" s="43" t="s">
        <v>13</v>
      </c>
      <c r="D3948" s="44">
        <v>45876</v>
      </c>
      <c r="E3948" s="45">
        <v>690</v>
      </c>
    </row>
    <row r="3949" spans="2:5">
      <c r="B3949" s="43" t="s">
        <v>14</v>
      </c>
      <c r="C3949" s="43" t="s">
        <v>15</v>
      </c>
      <c r="D3949" s="44">
        <v>45876</v>
      </c>
      <c r="E3949" s="45">
        <v>67.5</v>
      </c>
    </row>
    <row r="3950" spans="2:5">
      <c r="B3950" s="43" t="s">
        <v>230</v>
      </c>
      <c r="C3950" s="43" t="s">
        <v>231</v>
      </c>
      <c r="D3950" s="44">
        <v>45876</v>
      </c>
      <c r="E3950" s="45">
        <v>63.8</v>
      </c>
    </row>
    <row r="3951" spans="2:5">
      <c r="B3951" s="43" t="s">
        <v>50</v>
      </c>
      <c r="C3951" s="43" t="s">
        <v>51</v>
      </c>
      <c r="D3951" s="44">
        <v>45876</v>
      </c>
      <c r="E3951" s="45">
        <v>81.6</v>
      </c>
    </row>
    <row r="3952" spans="2:5">
      <c r="B3952" s="43" t="s">
        <v>114</v>
      </c>
      <c r="C3952" s="43" t="s">
        <v>115</v>
      </c>
      <c r="D3952" s="44">
        <v>45876</v>
      </c>
      <c r="E3952" s="45">
        <v>26.6</v>
      </c>
    </row>
    <row r="3953" spans="2:5">
      <c r="B3953" s="43" t="s">
        <v>116</v>
      </c>
      <c r="C3953" s="43" t="s">
        <v>117</v>
      </c>
      <c r="D3953" s="44">
        <v>45876</v>
      </c>
      <c r="E3953" s="45">
        <v>97.8</v>
      </c>
    </row>
    <row r="3954" spans="2:5">
      <c r="B3954" s="43" t="s">
        <v>76</v>
      </c>
      <c r="C3954" s="43" t="s">
        <v>77</v>
      </c>
      <c r="D3954" s="44">
        <v>45876</v>
      </c>
      <c r="E3954" s="45">
        <v>35.3</v>
      </c>
    </row>
    <row r="3955" spans="2:5">
      <c r="B3955" s="43" t="s">
        <v>146</v>
      </c>
      <c r="C3955" s="43" t="s">
        <v>147</v>
      </c>
      <c r="D3955" s="44">
        <v>45876</v>
      </c>
      <c r="E3955" s="45">
        <v>488.4</v>
      </c>
    </row>
    <row r="3956" spans="2:5">
      <c r="B3956" s="43" t="s">
        <v>200</v>
      </c>
      <c r="C3956" s="43" t="s">
        <v>201</v>
      </c>
      <c r="D3956" s="44">
        <v>45876</v>
      </c>
      <c r="E3956" s="45">
        <v>55</v>
      </c>
    </row>
    <row r="3957" spans="2:5">
      <c r="B3957" s="43" t="s">
        <v>22</v>
      </c>
      <c r="C3957" s="43" t="s">
        <v>23</v>
      </c>
      <c r="D3957" s="44">
        <v>45876</v>
      </c>
      <c r="E3957" s="45">
        <v>38.4</v>
      </c>
    </row>
    <row r="3958" spans="2:5">
      <c r="B3958" s="43" t="s">
        <v>80</v>
      </c>
      <c r="C3958" s="43" t="s">
        <v>81</v>
      </c>
      <c r="D3958" s="44">
        <v>45876</v>
      </c>
      <c r="E3958" s="45">
        <v>143.5</v>
      </c>
    </row>
    <row r="3959" spans="2:5">
      <c r="B3959" s="43" t="s">
        <v>24</v>
      </c>
      <c r="C3959" s="43" t="s">
        <v>25</v>
      </c>
      <c r="D3959" s="44">
        <v>45876</v>
      </c>
      <c r="E3959" s="45">
        <v>715.5</v>
      </c>
    </row>
    <row r="3960" spans="2:5">
      <c r="B3960" s="43" t="s">
        <v>26</v>
      </c>
      <c r="C3960" s="43" t="s">
        <v>27</v>
      </c>
      <c r="D3960" s="44">
        <v>45876</v>
      </c>
      <c r="E3960" s="45">
        <v>544.25</v>
      </c>
    </row>
    <row r="3961" spans="2:5">
      <c r="B3961" s="43" t="s">
        <v>28</v>
      </c>
      <c r="C3961" s="43" t="s">
        <v>29</v>
      </c>
      <c r="D3961" s="44">
        <v>45876</v>
      </c>
      <c r="E3961" s="45">
        <v>250.6</v>
      </c>
    </row>
    <row r="3962" spans="2:5">
      <c r="B3962" s="43" t="s">
        <v>62</v>
      </c>
      <c r="C3962" s="43" t="s">
        <v>63</v>
      </c>
      <c r="D3962" s="44">
        <v>45876</v>
      </c>
      <c r="E3962" s="45">
        <v>881.5</v>
      </c>
    </row>
    <row r="3963" spans="2:5">
      <c r="B3963" s="43" t="s">
        <v>198</v>
      </c>
      <c r="C3963" s="43" t="s">
        <v>199</v>
      </c>
      <c r="D3963" s="44">
        <v>45876</v>
      </c>
      <c r="E3963" s="45">
        <v>369.6</v>
      </c>
    </row>
    <row r="3964" spans="2:5">
      <c r="B3964" s="43" t="s">
        <v>68</v>
      </c>
      <c r="C3964" s="43" t="s">
        <v>69</v>
      </c>
      <c r="D3964" s="44">
        <v>45876</v>
      </c>
      <c r="E3964" s="45">
        <v>359</v>
      </c>
    </row>
    <row r="3965" spans="2:5">
      <c r="B3965" s="43" t="s">
        <v>106</v>
      </c>
      <c r="C3965" s="43" t="s">
        <v>107</v>
      </c>
      <c r="D3965" s="44">
        <v>45876</v>
      </c>
      <c r="E3965" s="45">
        <v>7.7</v>
      </c>
    </row>
    <row r="3966" spans="2:5">
      <c r="B3966" s="43" t="s">
        <v>96</v>
      </c>
      <c r="C3966" s="43" t="s">
        <v>97</v>
      </c>
      <c r="D3966" s="44">
        <v>45876</v>
      </c>
      <c r="E3966" s="45">
        <v>11</v>
      </c>
    </row>
    <row r="3967" spans="2:5">
      <c r="B3967" s="43" t="s">
        <v>32</v>
      </c>
      <c r="C3967" s="43" t="s">
        <v>33</v>
      </c>
      <c r="D3967" s="44">
        <v>45876</v>
      </c>
      <c r="E3967" s="45">
        <v>4</v>
      </c>
    </row>
    <row r="3968" spans="2:5">
      <c r="B3968" s="43" t="s">
        <v>160</v>
      </c>
      <c r="C3968" s="43" t="s">
        <v>161</v>
      </c>
      <c r="D3968" s="44">
        <v>45876</v>
      </c>
      <c r="E3968" s="45">
        <v>8</v>
      </c>
    </row>
    <row r="3969" spans="2:5">
      <c r="B3969" s="43" t="s">
        <v>38</v>
      </c>
      <c r="C3969" s="43" t="s">
        <v>39</v>
      </c>
      <c r="D3969" s="44">
        <v>45876</v>
      </c>
      <c r="E3969" s="45">
        <v>12</v>
      </c>
    </row>
    <row r="3970" spans="2:5">
      <c r="B3970" s="43" t="s">
        <v>4</v>
      </c>
      <c r="C3970" s="43" t="s">
        <v>5</v>
      </c>
      <c r="D3970" s="44">
        <v>45877</v>
      </c>
      <c r="E3970" s="45">
        <v>100.5</v>
      </c>
    </row>
    <row r="3971" spans="2:5">
      <c r="B3971" s="43" t="s">
        <v>156</v>
      </c>
      <c r="C3971" s="43" t="s">
        <v>157</v>
      </c>
      <c r="D3971" s="44">
        <v>45877</v>
      </c>
      <c r="E3971" s="45">
        <v>15.6</v>
      </c>
    </row>
    <row r="3972" spans="2:5">
      <c r="B3972" s="43" t="s">
        <v>8</v>
      </c>
      <c r="C3972" s="43" t="s">
        <v>9</v>
      </c>
      <c r="D3972" s="44">
        <v>45877</v>
      </c>
      <c r="E3972" s="45">
        <v>199.7</v>
      </c>
    </row>
    <row r="3973" spans="2:5">
      <c r="B3973" s="43" t="s">
        <v>46</v>
      </c>
      <c r="C3973" s="43" t="s">
        <v>47</v>
      </c>
      <c r="D3973" s="44">
        <v>45877</v>
      </c>
      <c r="E3973" s="45">
        <v>339</v>
      </c>
    </row>
    <row r="3974" spans="2:5">
      <c r="B3974" s="43" t="s">
        <v>74</v>
      </c>
      <c r="C3974" s="43" t="s">
        <v>75</v>
      </c>
      <c r="D3974" s="44">
        <v>45877</v>
      </c>
      <c r="E3974" s="45">
        <v>249</v>
      </c>
    </row>
    <row r="3975" spans="2:5">
      <c r="B3975" s="43" t="s">
        <v>12</v>
      </c>
      <c r="C3975" s="43" t="s">
        <v>13</v>
      </c>
      <c r="D3975" s="44">
        <v>45877</v>
      </c>
      <c r="E3975" s="45">
        <v>276</v>
      </c>
    </row>
    <row r="3976" spans="2:5">
      <c r="B3976" s="43" t="s">
        <v>178</v>
      </c>
      <c r="C3976" s="43" t="s">
        <v>179</v>
      </c>
      <c r="D3976" s="44">
        <v>45877</v>
      </c>
      <c r="E3976" s="45">
        <v>18</v>
      </c>
    </row>
    <row r="3977" spans="2:5">
      <c r="B3977" s="43" t="s">
        <v>180</v>
      </c>
      <c r="C3977" s="43" t="s">
        <v>181</v>
      </c>
      <c r="D3977" s="44">
        <v>45877</v>
      </c>
      <c r="E3977" s="45">
        <v>33.6</v>
      </c>
    </row>
    <row r="3978" spans="2:5">
      <c r="B3978" s="43" t="s">
        <v>200</v>
      </c>
      <c r="C3978" s="43" t="s">
        <v>201</v>
      </c>
      <c r="D3978" s="44">
        <v>45877</v>
      </c>
      <c r="E3978" s="45">
        <v>55</v>
      </c>
    </row>
    <row r="3979" spans="2:5">
      <c r="B3979" s="43" t="s">
        <v>22</v>
      </c>
      <c r="C3979" s="43" t="s">
        <v>23</v>
      </c>
      <c r="D3979" s="44">
        <v>45877</v>
      </c>
      <c r="E3979" s="45">
        <v>9.6</v>
      </c>
    </row>
    <row r="3980" spans="2:5">
      <c r="B3980" s="43" t="s">
        <v>80</v>
      </c>
      <c r="C3980" s="43" t="s">
        <v>81</v>
      </c>
      <c r="D3980" s="44">
        <v>45877</v>
      </c>
      <c r="E3980" s="45">
        <v>889.7</v>
      </c>
    </row>
    <row r="3981" spans="2:5">
      <c r="B3981" s="43" t="s">
        <v>24</v>
      </c>
      <c r="C3981" s="43" t="s">
        <v>25</v>
      </c>
      <c r="D3981" s="44">
        <v>45877</v>
      </c>
      <c r="E3981" s="45">
        <v>985.8</v>
      </c>
    </row>
    <row r="3982" spans="2:5">
      <c r="B3982" s="43" t="s">
        <v>26</v>
      </c>
      <c r="C3982" s="43" t="s">
        <v>27</v>
      </c>
      <c r="D3982" s="44">
        <v>45877</v>
      </c>
      <c r="E3982" s="45">
        <v>1352.85</v>
      </c>
    </row>
    <row r="3983" spans="2:5">
      <c r="B3983" s="43" t="s">
        <v>28</v>
      </c>
      <c r="C3983" s="43" t="s">
        <v>29</v>
      </c>
      <c r="D3983" s="44">
        <v>45877</v>
      </c>
      <c r="E3983" s="45">
        <v>429.6</v>
      </c>
    </row>
    <row r="3984" spans="2:5">
      <c r="B3984" s="43" t="s">
        <v>122</v>
      </c>
      <c r="C3984" s="43" t="s">
        <v>123</v>
      </c>
      <c r="D3984" s="44">
        <v>45877</v>
      </c>
      <c r="E3984" s="45">
        <v>604</v>
      </c>
    </row>
    <row r="3985" spans="2:5">
      <c r="B3985" s="43" t="s">
        <v>62</v>
      </c>
      <c r="C3985" s="43" t="s">
        <v>63</v>
      </c>
      <c r="D3985" s="44">
        <v>45877</v>
      </c>
      <c r="E3985" s="45">
        <v>205</v>
      </c>
    </row>
    <row r="3986" spans="2:5">
      <c r="B3986" s="43" t="s">
        <v>64</v>
      </c>
      <c r="C3986" s="43" t="s">
        <v>65</v>
      </c>
      <c r="D3986" s="44">
        <v>45877</v>
      </c>
      <c r="E3986" s="45">
        <v>20.5</v>
      </c>
    </row>
    <row r="3987" spans="2:5">
      <c r="B3987" s="43" t="s">
        <v>196</v>
      </c>
      <c r="C3987" s="43" t="s">
        <v>197</v>
      </c>
      <c r="D3987" s="44">
        <v>45877</v>
      </c>
      <c r="E3987" s="45">
        <v>10</v>
      </c>
    </row>
    <row r="3988" spans="2:5">
      <c r="B3988" s="43" t="s">
        <v>96</v>
      </c>
      <c r="C3988" s="43" t="s">
        <v>97</v>
      </c>
      <c r="D3988" s="44">
        <v>45877</v>
      </c>
      <c r="E3988" s="45">
        <v>4</v>
      </c>
    </row>
    <row r="3989" spans="2:5">
      <c r="B3989" s="43" t="s">
        <v>32</v>
      </c>
      <c r="C3989" s="43" t="s">
        <v>33</v>
      </c>
      <c r="D3989" s="44">
        <v>45877</v>
      </c>
      <c r="E3989" s="45">
        <v>8</v>
      </c>
    </row>
    <row r="3990" spans="2:5">
      <c r="B3990" s="43" t="s">
        <v>160</v>
      </c>
      <c r="C3990" s="43" t="s">
        <v>161</v>
      </c>
      <c r="D3990" s="44">
        <v>45877</v>
      </c>
      <c r="E3990" s="45">
        <v>1</v>
      </c>
    </row>
    <row r="3991" spans="2:5">
      <c r="B3991" s="43" t="s">
        <v>34</v>
      </c>
      <c r="C3991" s="43" t="s">
        <v>35</v>
      </c>
      <c r="D3991" s="44">
        <v>45877</v>
      </c>
      <c r="E3991" s="45">
        <v>12</v>
      </c>
    </row>
    <row r="3992" spans="2:5">
      <c r="B3992" s="43" t="s">
        <v>170</v>
      </c>
      <c r="C3992" s="43" t="s">
        <v>171</v>
      </c>
      <c r="D3992" s="44">
        <v>45877</v>
      </c>
      <c r="E3992" s="45">
        <v>3</v>
      </c>
    </row>
    <row r="3993" spans="2:5">
      <c r="B3993" s="43" t="s">
        <v>38</v>
      </c>
      <c r="C3993" s="43" t="s">
        <v>39</v>
      </c>
      <c r="D3993" s="44">
        <v>45877</v>
      </c>
      <c r="E3993" s="45">
        <v>75</v>
      </c>
    </row>
    <row r="3994" spans="2:5">
      <c r="B3994" s="43" t="s">
        <v>4</v>
      </c>
      <c r="C3994" s="43" t="s">
        <v>5</v>
      </c>
      <c r="D3994" s="44">
        <v>45880</v>
      </c>
      <c r="E3994" s="45">
        <v>134</v>
      </c>
    </row>
    <row r="3995" spans="2:5">
      <c r="B3995" s="43" t="s">
        <v>156</v>
      </c>
      <c r="C3995" s="43" t="s">
        <v>157</v>
      </c>
      <c r="D3995" s="44">
        <v>45880</v>
      </c>
      <c r="E3995" s="45">
        <v>15.6</v>
      </c>
    </row>
    <row r="3996" spans="2:5">
      <c r="B3996" s="43" t="s">
        <v>8</v>
      </c>
      <c r="C3996" s="43" t="s">
        <v>9</v>
      </c>
      <c r="D3996" s="44">
        <v>45880</v>
      </c>
      <c r="E3996" s="45">
        <v>304.5</v>
      </c>
    </row>
    <row r="3997" spans="2:5">
      <c r="B3997" s="43" t="s">
        <v>46</v>
      </c>
      <c r="C3997" s="43" t="s">
        <v>47</v>
      </c>
      <c r="D3997" s="44">
        <v>45880</v>
      </c>
      <c r="E3997" s="45">
        <v>339</v>
      </c>
    </row>
    <row r="3998" spans="2:5">
      <c r="B3998" s="43" t="s">
        <v>10</v>
      </c>
      <c r="C3998" s="43" t="s">
        <v>11</v>
      </c>
      <c r="D3998" s="44">
        <v>45880</v>
      </c>
      <c r="E3998" s="45">
        <v>110.5</v>
      </c>
    </row>
    <row r="3999" spans="2:5">
      <c r="B3999" s="43" t="s">
        <v>108</v>
      </c>
      <c r="C3999" s="43" t="s">
        <v>109</v>
      </c>
      <c r="D3999" s="44">
        <v>45880</v>
      </c>
      <c r="E3999" s="45">
        <v>310</v>
      </c>
    </row>
    <row r="4000" spans="2:5">
      <c r="B4000" s="43" t="s">
        <v>14</v>
      </c>
      <c r="C4000" s="43" t="s">
        <v>15</v>
      </c>
      <c r="D4000" s="44">
        <v>45880</v>
      </c>
      <c r="E4000" s="45">
        <v>594</v>
      </c>
    </row>
    <row r="4001" spans="2:5">
      <c r="B4001" s="43" t="s">
        <v>50</v>
      </c>
      <c r="C4001" s="43" t="s">
        <v>51</v>
      </c>
      <c r="D4001" s="44">
        <v>45880</v>
      </c>
      <c r="E4001" s="45">
        <v>272</v>
      </c>
    </row>
    <row r="4002" spans="2:5">
      <c r="B4002" s="43" t="s">
        <v>114</v>
      </c>
      <c r="C4002" s="43" t="s">
        <v>115</v>
      </c>
      <c r="D4002" s="44">
        <v>45880</v>
      </c>
      <c r="E4002" s="45">
        <v>159.6</v>
      </c>
    </row>
    <row r="4003" spans="2:5">
      <c r="B4003" s="43" t="s">
        <v>182</v>
      </c>
      <c r="C4003" s="43" t="s">
        <v>183</v>
      </c>
      <c r="D4003" s="44">
        <v>45880</v>
      </c>
      <c r="E4003" s="45">
        <v>21.1</v>
      </c>
    </row>
    <row r="4004" spans="2:5">
      <c r="B4004" s="43" t="s">
        <v>56</v>
      </c>
      <c r="C4004" s="43" t="s">
        <v>57</v>
      </c>
      <c r="D4004" s="44">
        <v>45880</v>
      </c>
      <c r="E4004" s="45">
        <v>72.4</v>
      </c>
    </row>
    <row r="4005" spans="2:5">
      <c r="B4005" s="43" t="s">
        <v>162</v>
      </c>
      <c r="C4005" s="43" t="s">
        <v>163</v>
      </c>
      <c r="D4005" s="44">
        <v>45880</v>
      </c>
      <c r="E4005" s="45">
        <v>404</v>
      </c>
    </row>
    <row r="4006" spans="2:5">
      <c r="B4006" s="43" t="s">
        <v>18</v>
      </c>
      <c r="C4006" s="43" t="s">
        <v>19</v>
      </c>
      <c r="D4006" s="44">
        <v>45880</v>
      </c>
      <c r="E4006" s="45">
        <v>44.5</v>
      </c>
    </row>
    <row r="4007" spans="2:5">
      <c r="B4007" s="43" t="s">
        <v>20</v>
      </c>
      <c r="C4007" s="43" t="s">
        <v>21</v>
      </c>
      <c r="D4007" s="44">
        <v>45880</v>
      </c>
      <c r="E4007" s="45">
        <v>117.6</v>
      </c>
    </row>
    <row r="4008" spans="2:5">
      <c r="B4008" s="43" t="s">
        <v>22</v>
      </c>
      <c r="C4008" s="43" t="s">
        <v>23</v>
      </c>
      <c r="D4008" s="44">
        <v>45880</v>
      </c>
      <c r="E4008" s="45">
        <v>9.6</v>
      </c>
    </row>
    <row r="4009" spans="2:5">
      <c r="B4009" s="43" t="s">
        <v>24</v>
      </c>
      <c r="C4009" s="43" t="s">
        <v>25</v>
      </c>
      <c r="D4009" s="44">
        <v>45880</v>
      </c>
      <c r="E4009" s="45">
        <v>1876.2</v>
      </c>
    </row>
    <row r="4010" spans="2:5">
      <c r="B4010" s="43" t="s">
        <v>26</v>
      </c>
      <c r="C4010" s="43" t="s">
        <v>27</v>
      </c>
      <c r="D4010" s="44">
        <v>45880</v>
      </c>
      <c r="E4010" s="45">
        <v>77.75</v>
      </c>
    </row>
    <row r="4011" spans="2:5">
      <c r="B4011" s="43" t="s">
        <v>62</v>
      </c>
      <c r="C4011" s="43" t="s">
        <v>63</v>
      </c>
      <c r="D4011" s="44">
        <v>45880</v>
      </c>
      <c r="E4011" s="45">
        <v>1168.5</v>
      </c>
    </row>
    <row r="4012" spans="2:5">
      <c r="B4012" s="43" t="s">
        <v>64</v>
      </c>
      <c r="C4012" s="43" t="s">
        <v>65</v>
      </c>
      <c r="D4012" s="44">
        <v>45880</v>
      </c>
      <c r="E4012" s="45">
        <v>1080</v>
      </c>
    </row>
    <row r="4013" spans="2:5">
      <c r="B4013" s="43" t="s">
        <v>198</v>
      </c>
      <c r="C4013" s="43" t="s">
        <v>199</v>
      </c>
      <c r="D4013" s="44">
        <v>45880</v>
      </c>
      <c r="E4013" s="45">
        <v>46.2</v>
      </c>
    </row>
    <row r="4014" spans="2:5">
      <c r="B4014" s="43" t="s">
        <v>132</v>
      </c>
      <c r="C4014" s="43" t="s">
        <v>133</v>
      </c>
      <c r="D4014" s="44">
        <v>45880</v>
      </c>
      <c r="E4014" s="45">
        <v>556.2</v>
      </c>
    </row>
    <row r="4015" spans="2:5">
      <c r="B4015" s="43" t="s">
        <v>68</v>
      </c>
      <c r="C4015" s="43" t="s">
        <v>69</v>
      </c>
      <c r="D4015" s="44">
        <v>45880</v>
      </c>
      <c r="E4015" s="45">
        <v>71.8</v>
      </c>
    </row>
    <row r="4016" spans="2:5">
      <c r="B4016" s="43" t="s">
        <v>96</v>
      </c>
      <c r="C4016" s="43" t="s">
        <v>97</v>
      </c>
      <c r="D4016" s="44">
        <v>45880</v>
      </c>
      <c r="E4016" s="45">
        <v>15</v>
      </c>
    </row>
    <row r="4017" spans="2:5">
      <c r="B4017" s="43" t="s">
        <v>32</v>
      </c>
      <c r="C4017" s="43" t="s">
        <v>33</v>
      </c>
      <c r="D4017" s="44">
        <v>45880</v>
      </c>
      <c r="E4017" s="45">
        <v>11</v>
      </c>
    </row>
    <row r="4018" spans="2:5">
      <c r="B4018" s="43" t="s">
        <v>34</v>
      </c>
      <c r="C4018" s="43" t="s">
        <v>35</v>
      </c>
      <c r="D4018" s="44">
        <v>45880</v>
      </c>
      <c r="E4018" s="45">
        <v>18</v>
      </c>
    </row>
    <row r="4019" spans="2:5">
      <c r="B4019" s="43" t="s">
        <v>38</v>
      </c>
      <c r="C4019" s="43" t="s">
        <v>39</v>
      </c>
      <c r="D4019" s="44">
        <v>45880</v>
      </c>
      <c r="E4019" s="45">
        <v>18</v>
      </c>
    </row>
    <row r="4020" spans="2:5">
      <c r="B4020" s="43" t="s">
        <v>4</v>
      </c>
      <c r="C4020" s="43" t="s">
        <v>5</v>
      </c>
      <c r="D4020" s="44">
        <v>45881</v>
      </c>
      <c r="E4020" s="45">
        <v>13.4</v>
      </c>
    </row>
    <row r="4021" spans="2:5">
      <c r="B4021" s="43" t="s">
        <v>156</v>
      </c>
      <c r="C4021" s="43" t="s">
        <v>157</v>
      </c>
      <c r="D4021" s="44">
        <v>45881</v>
      </c>
      <c r="E4021" s="45">
        <v>46.8</v>
      </c>
    </row>
    <row r="4022" spans="2:5">
      <c r="B4022" s="43" t="s">
        <v>8</v>
      </c>
      <c r="C4022" s="43" t="s">
        <v>9</v>
      </c>
      <c r="D4022" s="44">
        <v>45881</v>
      </c>
      <c r="E4022" s="45">
        <v>26.1</v>
      </c>
    </row>
    <row r="4023" spans="2:5">
      <c r="B4023" s="43" t="s">
        <v>44</v>
      </c>
      <c r="C4023" s="43" t="s">
        <v>45</v>
      </c>
      <c r="D4023" s="44">
        <v>45881</v>
      </c>
      <c r="E4023" s="45">
        <v>68</v>
      </c>
    </row>
    <row r="4024" spans="2:5">
      <c r="B4024" s="43" t="s">
        <v>46</v>
      </c>
      <c r="C4024" s="43" t="s">
        <v>47</v>
      </c>
      <c r="D4024" s="44">
        <v>45881</v>
      </c>
      <c r="E4024" s="45">
        <v>237.3</v>
      </c>
    </row>
    <row r="4025" spans="2:5">
      <c r="B4025" s="43" t="s">
        <v>10</v>
      </c>
      <c r="C4025" s="43" t="s">
        <v>11</v>
      </c>
      <c r="D4025" s="44">
        <v>45881</v>
      </c>
      <c r="E4025" s="45">
        <v>176.8</v>
      </c>
    </row>
    <row r="4026" spans="2:5">
      <c r="B4026" s="43" t="s">
        <v>12</v>
      </c>
      <c r="C4026" s="43" t="s">
        <v>13</v>
      </c>
      <c r="D4026" s="44">
        <v>45881</v>
      </c>
      <c r="E4026" s="45">
        <v>331.2</v>
      </c>
    </row>
    <row r="4027" spans="2:5">
      <c r="B4027" s="43" t="s">
        <v>108</v>
      </c>
      <c r="C4027" s="43" t="s">
        <v>109</v>
      </c>
      <c r="D4027" s="44">
        <v>45881</v>
      </c>
      <c r="E4027" s="45">
        <v>77.5</v>
      </c>
    </row>
    <row r="4028" spans="2:5">
      <c r="B4028" s="43" t="s">
        <v>14</v>
      </c>
      <c r="C4028" s="43" t="s">
        <v>15</v>
      </c>
      <c r="D4028" s="44">
        <v>45881</v>
      </c>
      <c r="E4028" s="45">
        <v>513</v>
      </c>
    </row>
    <row r="4029" spans="2:5">
      <c r="B4029" s="43" t="s">
        <v>116</v>
      </c>
      <c r="C4029" s="43" t="s">
        <v>117</v>
      </c>
      <c r="D4029" s="44">
        <v>45881</v>
      </c>
      <c r="E4029" s="45">
        <v>344.1</v>
      </c>
    </row>
    <row r="4030" spans="2:5">
      <c r="B4030" s="43" t="s">
        <v>76</v>
      </c>
      <c r="C4030" s="43" t="s">
        <v>77</v>
      </c>
      <c r="D4030" s="44">
        <v>45881</v>
      </c>
      <c r="E4030" s="45">
        <v>317.7</v>
      </c>
    </row>
    <row r="4031" spans="2:5">
      <c r="B4031" s="43" t="s">
        <v>18</v>
      </c>
      <c r="C4031" s="43" t="s">
        <v>19</v>
      </c>
      <c r="D4031" s="44">
        <v>45881</v>
      </c>
      <c r="E4031" s="45">
        <v>511.75</v>
      </c>
    </row>
    <row r="4032" spans="2:5">
      <c r="B4032" s="43" t="s">
        <v>78</v>
      </c>
      <c r="C4032" s="43" t="s">
        <v>79</v>
      </c>
      <c r="D4032" s="44">
        <v>45881</v>
      </c>
      <c r="E4032" s="45">
        <v>70.8</v>
      </c>
    </row>
    <row r="4033" spans="2:5">
      <c r="B4033" s="43" t="s">
        <v>20</v>
      </c>
      <c r="C4033" s="43" t="s">
        <v>21</v>
      </c>
      <c r="D4033" s="44">
        <v>45881</v>
      </c>
      <c r="E4033" s="45">
        <v>480.2</v>
      </c>
    </row>
    <row r="4034" spans="2:5">
      <c r="B4034" s="43" t="s">
        <v>120</v>
      </c>
      <c r="C4034" s="43" t="s">
        <v>121</v>
      </c>
      <c r="D4034" s="44">
        <v>45881</v>
      </c>
      <c r="E4034" s="45">
        <v>7.6</v>
      </c>
    </row>
    <row r="4035" spans="2:5">
      <c r="B4035" s="43" t="s">
        <v>22</v>
      </c>
      <c r="C4035" s="43" t="s">
        <v>23</v>
      </c>
      <c r="D4035" s="44">
        <v>45881</v>
      </c>
      <c r="E4035" s="45">
        <v>153.6</v>
      </c>
    </row>
    <row r="4036" spans="2:5">
      <c r="B4036" s="43" t="s">
        <v>24</v>
      </c>
      <c r="C4036" s="43" t="s">
        <v>25</v>
      </c>
      <c r="D4036" s="44">
        <v>45881</v>
      </c>
      <c r="E4036" s="45">
        <v>1128.9</v>
      </c>
    </row>
    <row r="4037" spans="2:5">
      <c r="B4037" s="43" t="s">
        <v>26</v>
      </c>
      <c r="C4037" s="43" t="s">
        <v>27</v>
      </c>
      <c r="D4037" s="44">
        <v>45881</v>
      </c>
      <c r="E4037" s="45">
        <v>1119.6</v>
      </c>
    </row>
    <row r="4038" spans="2:5">
      <c r="B4038" s="43" t="s">
        <v>28</v>
      </c>
      <c r="C4038" s="43" t="s">
        <v>29</v>
      </c>
      <c r="D4038" s="44">
        <v>45881</v>
      </c>
      <c r="E4038" s="45">
        <v>107.4</v>
      </c>
    </row>
    <row r="4039" spans="2:5">
      <c r="B4039" s="43" t="s">
        <v>62</v>
      </c>
      <c r="C4039" s="43" t="s">
        <v>63</v>
      </c>
      <c r="D4039" s="44">
        <v>45881</v>
      </c>
      <c r="E4039" s="45">
        <v>635.5</v>
      </c>
    </row>
    <row r="4040" spans="2:5">
      <c r="B4040" s="43" t="s">
        <v>64</v>
      </c>
      <c r="C4040" s="43" t="s">
        <v>65</v>
      </c>
      <c r="D4040" s="44">
        <v>45881</v>
      </c>
      <c r="E4040" s="45">
        <v>720</v>
      </c>
    </row>
    <row r="4041" spans="2:5">
      <c r="B4041" s="43" t="s">
        <v>198</v>
      </c>
      <c r="C4041" s="43" t="s">
        <v>199</v>
      </c>
      <c r="D4041" s="44">
        <v>45881</v>
      </c>
      <c r="E4041" s="45">
        <v>138.6</v>
      </c>
    </row>
    <row r="4042" spans="2:5">
      <c r="B4042" s="43" t="s">
        <v>208</v>
      </c>
      <c r="C4042" s="43" t="s">
        <v>209</v>
      </c>
      <c r="D4042" s="44">
        <v>45881</v>
      </c>
      <c r="E4042" s="45">
        <v>35</v>
      </c>
    </row>
    <row r="4043" spans="2:5">
      <c r="B4043" s="43" t="s">
        <v>106</v>
      </c>
      <c r="C4043" s="43" t="s">
        <v>107</v>
      </c>
      <c r="D4043" s="44">
        <v>45881</v>
      </c>
      <c r="E4043" s="45">
        <v>7.7</v>
      </c>
    </row>
    <row r="4044" spans="2:5">
      <c r="B4044" s="43" t="s">
        <v>142</v>
      </c>
      <c r="C4044" s="43" t="s">
        <v>143</v>
      </c>
      <c r="D4044" s="44">
        <v>45881</v>
      </c>
      <c r="E4044" s="45">
        <v>15</v>
      </c>
    </row>
    <row r="4045" spans="2:5">
      <c r="B4045" s="43" t="s">
        <v>96</v>
      </c>
      <c r="C4045" s="43" t="s">
        <v>97</v>
      </c>
      <c r="D4045" s="44">
        <v>45881</v>
      </c>
      <c r="E4045" s="45">
        <v>11</v>
      </c>
    </row>
    <row r="4046" spans="2:5">
      <c r="B4046" s="43" t="s">
        <v>224</v>
      </c>
      <c r="C4046" s="43" t="s">
        <v>225</v>
      </c>
      <c r="D4046" s="44">
        <v>45881</v>
      </c>
      <c r="E4046" s="45">
        <v>1</v>
      </c>
    </row>
    <row r="4047" spans="2:5">
      <c r="B4047" s="43" t="s">
        <v>32</v>
      </c>
      <c r="C4047" s="43" t="s">
        <v>33</v>
      </c>
      <c r="D4047" s="44">
        <v>45881</v>
      </c>
      <c r="E4047" s="45">
        <v>8</v>
      </c>
    </row>
    <row r="4048" spans="2:5">
      <c r="B4048" s="43" t="s">
        <v>160</v>
      </c>
      <c r="C4048" s="43" t="s">
        <v>161</v>
      </c>
      <c r="D4048" s="44">
        <v>45881</v>
      </c>
      <c r="E4048" s="45">
        <v>3</v>
      </c>
    </row>
    <row r="4049" spans="2:5">
      <c r="B4049" s="43" t="s">
        <v>34</v>
      </c>
      <c r="C4049" s="43" t="s">
        <v>35</v>
      </c>
      <c r="D4049" s="44">
        <v>45881</v>
      </c>
      <c r="E4049" s="45">
        <v>13</v>
      </c>
    </row>
    <row r="4050" spans="2:5">
      <c r="B4050" s="43" t="s">
        <v>38</v>
      </c>
      <c r="C4050" s="43" t="s">
        <v>39</v>
      </c>
      <c r="D4050" s="44">
        <v>45881</v>
      </c>
      <c r="E4050" s="45">
        <v>111</v>
      </c>
    </row>
    <row r="4051" spans="2:5">
      <c r="B4051" s="43" t="s">
        <v>104</v>
      </c>
      <c r="C4051" s="43" t="s">
        <v>105</v>
      </c>
      <c r="D4051" s="44">
        <v>45882</v>
      </c>
      <c r="E4051" s="45">
        <v>15</v>
      </c>
    </row>
    <row r="4052" spans="2:5">
      <c r="B4052" s="43" t="s">
        <v>4</v>
      </c>
      <c r="C4052" s="43" t="s">
        <v>5</v>
      </c>
      <c r="D4052" s="44">
        <v>45882</v>
      </c>
      <c r="E4052" s="45">
        <v>207.7</v>
      </c>
    </row>
    <row r="4053" spans="2:5">
      <c r="B4053" s="43" t="s">
        <v>8</v>
      </c>
      <c r="C4053" s="43" t="s">
        <v>9</v>
      </c>
      <c r="D4053" s="44">
        <v>45882</v>
      </c>
      <c r="E4053" s="45">
        <v>469.8</v>
      </c>
    </row>
    <row r="4054" spans="2:5">
      <c r="B4054" s="43" t="s">
        <v>46</v>
      </c>
      <c r="C4054" s="43" t="s">
        <v>47</v>
      </c>
      <c r="D4054" s="44">
        <v>45882</v>
      </c>
      <c r="E4054" s="45">
        <v>1254.3</v>
      </c>
    </row>
    <row r="4055" spans="2:5">
      <c r="B4055" s="43" t="s">
        <v>206</v>
      </c>
      <c r="C4055" s="43" t="s">
        <v>207</v>
      </c>
      <c r="D4055" s="44">
        <v>45882</v>
      </c>
      <c r="E4055" s="45">
        <v>40.4</v>
      </c>
    </row>
    <row r="4056" spans="2:5">
      <c r="B4056" s="43" t="s">
        <v>12</v>
      </c>
      <c r="C4056" s="43" t="s">
        <v>13</v>
      </c>
      <c r="D4056" s="44">
        <v>45882</v>
      </c>
      <c r="E4056" s="45">
        <v>1559.4</v>
      </c>
    </row>
    <row r="4057" spans="2:5">
      <c r="B4057" s="43" t="s">
        <v>14</v>
      </c>
      <c r="C4057" s="43" t="s">
        <v>15</v>
      </c>
      <c r="D4057" s="44">
        <v>45882</v>
      </c>
      <c r="E4057" s="45">
        <v>1107</v>
      </c>
    </row>
    <row r="4058" spans="2:5">
      <c r="B4058" s="43" t="s">
        <v>116</v>
      </c>
      <c r="C4058" s="43" t="s">
        <v>117</v>
      </c>
      <c r="D4058" s="44">
        <v>45882</v>
      </c>
      <c r="E4058" s="45">
        <v>472.7</v>
      </c>
    </row>
    <row r="4059" spans="2:5">
      <c r="B4059" s="43" t="s">
        <v>152</v>
      </c>
      <c r="C4059" s="43" t="s">
        <v>153</v>
      </c>
      <c r="D4059" s="44">
        <v>45882</v>
      </c>
      <c r="E4059" s="45">
        <v>186</v>
      </c>
    </row>
    <row r="4060" spans="2:5">
      <c r="B4060" s="43" t="s">
        <v>168</v>
      </c>
      <c r="C4060" s="43" t="s">
        <v>169</v>
      </c>
      <c r="D4060" s="44">
        <v>45882</v>
      </c>
      <c r="E4060" s="45">
        <v>40.2</v>
      </c>
    </row>
    <row r="4061" spans="2:5">
      <c r="B4061" s="43" t="s">
        <v>180</v>
      </c>
      <c r="C4061" s="43" t="s">
        <v>181</v>
      </c>
      <c r="D4061" s="44">
        <v>45882</v>
      </c>
      <c r="E4061" s="45">
        <v>168</v>
      </c>
    </row>
    <row r="4062" spans="2:5">
      <c r="B4062" s="43" t="s">
        <v>130</v>
      </c>
      <c r="C4062" s="43" t="s">
        <v>131</v>
      </c>
      <c r="D4062" s="44">
        <v>45882</v>
      </c>
      <c r="E4062" s="45">
        <v>155.1</v>
      </c>
    </row>
    <row r="4063" spans="2:5">
      <c r="B4063" s="43" t="s">
        <v>20</v>
      </c>
      <c r="C4063" s="43" t="s">
        <v>21</v>
      </c>
      <c r="D4063" s="44">
        <v>45882</v>
      </c>
      <c r="E4063" s="45">
        <v>264.6</v>
      </c>
    </row>
    <row r="4064" spans="2:5">
      <c r="B4064" s="43" t="s">
        <v>22</v>
      </c>
      <c r="C4064" s="43" t="s">
        <v>23</v>
      </c>
      <c r="D4064" s="44">
        <v>45882</v>
      </c>
      <c r="E4064" s="45">
        <v>19.2</v>
      </c>
    </row>
    <row r="4065" spans="2:5">
      <c r="B4065" s="43" t="s">
        <v>140</v>
      </c>
      <c r="C4065" s="43" t="s">
        <v>141</v>
      </c>
      <c r="D4065" s="44">
        <v>45882</v>
      </c>
      <c r="E4065" s="45">
        <v>464</v>
      </c>
    </row>
    <row r="4066" spans="2:5">
      <c r="B4066" s="43" t="s">
        <v>24</v>
      </c>
      <c r="C4066" s="43" t="s">
        <v>25</v>
      </c>
      <c r="D4066" s="44">
        <v>45882</v>
      </c>
      <c r="E4066" s="45">
        <v>2124.7</v>
      </c>
    </row>
    <row r="4067" spans="2:5">
      <c r="B4067" s="43" t="s">
        <v>26</v>
      </c>
      <c r="C4067" s="43" t="s">
        <v>27</v>
      </c>
      <c r="D4067" s="44">
        <v>45882</v>
      </c>
      <c r="E4067" s="45">
        <v>279.9</v>
      </c>
    </row>
    <row r="4068" spans="2:5">
      <c r="B4068" s="43" t="s">
        <v>60</v>
      </c>
      <c r="C4068" s="43" t="s">
        <v>61</v>
      </c>
      <c r="D4068" s="44">
        <v>45882</v>
      </c>
      <c r="E4068" s="45">
        <v>457.5</v>
      </c>
    </row>
    <row r="4069" spans="2:5">
      <c r="B4069" s="43" t="s">
        <v>28</v>
      </c>
      <c r="C4069" s="43" t="s">
        <v>29</v>
      </c>
      <c r="D4069" s="44">
        <v>45882</v>
      </c>
      <c r="E4069" s="45">
        <v>716</v>
      </c>
    </row>
    <row r="4070" spans="2:5">
      <c r="B4070" s="43" t="s">
        <v>62</v>
      </c>
      <c r="C4070" s="43" t="s">
        <v>63</v>
      </c>
      <c r="D4070" s="44">
        <v>45882</v>
      </c>
      <c r="E4070" s="45">
        <v>102.5</v>
      </c>
    </row>
    <row r="4071" spans="2:5">
      <c r="B4071" s="43" t="s">
        <v>64</v>
      </c>
      <c r="C4071" s="43" t="s">
        <v>65</v>
      </c>
      <c r="D4071" s="44">
        <v>45882</v>
      </c>
      <c r="E4071" s="45">
        <v>400</v>
      </c>
    </row>
    <row r="4072" spans="2:5">
      <c r="B4072" s="43" t="s">
        <v>172</v>
      </c>
      <c r="C4072" s="43" t="s">
        <v>173</v>
      </c>
      <c r="D4072" s="44">
        <v>45882</v>
      </c>
      <c r="E4072" s="45">
        <v>45.1</v>
      </c>
    </row>
    <row r="4073" spans="2:5">
      <c r="B4073" s="43" t="s">
        <v>84</v>
      </c>
      <c r="C4073" s="43" t="s">
        <v>85</v>
      </c>
      <c r="D4073" s="44">
        <v>45882</v>
      </c>
      <c r="E4073" s="45">
        <v>499</v>
      </c>
    </row>
    <row r="4074" spans="2:5">
      <c r="B4074" s="43" t="s">
        <v>68</v>
      </c>
      <c r="C4074" s="43" t="s">
        <v>69</v>
      </c>
      <c r="D4074" s="44">
        <v>45882</v>
      </c>
      <c r="E4074" s="45">
        <v>574.4</v>
      </c>
    </row>
    <row r="4075" spans="2:5">
      <c r="B4075" s="43" t="s">
        <v>94</v>
      </c>
      <c r="C4075" s="43" t="s">
        <v>95</v>
      </c>
      <c r="D4075" s="44">
        <v>45882</v>
      </c>
      <c r="E4075" s="45">
        <v>1125.6</v>
      </c>
    </row>
    <row r="4076" spans="2:5">
      <c r="B4076" s="43" t="s">
        <v>142</v>
      </c>
      <c r="C4076" s="43" t="s">
        <v>143</v>
      </c>
      <c r="D4076" s="44">
        <v>45882</v>
      </c>
      <c r="E4076" s="45">
        <v>50</v>
      </c>
    </row>
    <row r="4077" spans="2:5">
      <c r="B4077" s="43" t="s">
        <v>196</v>
      </c>
      <c r="C4077" s="43" t="s">
        <v>197</v>
      </c>
      <c r="D4077" s="44">
        <v>45882</v>
      </c>
      <c r="E4077" s="45">
        <v>5</v>
      </c>
    </row>
    <row r="4078" spans="2:5">
      <c r="B4078" s="43" t="s">
        <v>96</v>
      </c>
      <c r="C4078" s="43" t="s">
        <v>97</v>
      </c>
      <c r="D4078" s="44">
        <v>45882</v>
      </c>
      <c r="E4078" s="45">
        <v>13</v>
      </c>
    </row>
    <row r="4079" spans="2:5">
      <c r="B4079" s="43" t="s">
        <v>32</v>
      </c>
      <c r="C4079" s="43" t="s">
        <v>33</v>
      </c>
      <c r="D4079" s="44">
        <v>45882</v>
      </c>
      <c r="E4079" s="45">
        <v>7</v>
      </c>
    </row>
    <row r="4080" spans="2:5">
      <c r="B4080" s="43" t="s">
        <v>226</v>
      </c>
      <c r="C4080" s="43" t="s">
        <v>227</v>
      </c>
      <c r="D4080" s="44">
        <v>45882</v>
      </c>
      <c r="E4080" s="45">
        <v>2</v>
      </c>
    </row>
    <row r="4081" spans="2:5">
      <c r="B4081" s="43" t="s">
        <v>160</v>
      </c>
      <c r="C4081" s="43" t="s">
        <v>161</v>
      </c>
      <c r="D4081" s="44">
        <v>45882</v>
      </c>
      <c r="E4081" s="45">
        <v>2</v>
      </c>
    </row>
    <row r="4082" spans="2:5">
      <c r="B4082" s="43" t="s">
        <v>34</v>
      </c>
      <c r="C4082" s="43" t="s">
        <v>35</v>
      </c>
      <c r="D4082" s="44">
        <v>45882</v>
      </c>
      <c r="E4082" s="45">
        <v>16</v>
      </c>
    </row>
    <row r="4083" spans="2:5">
      <c r="B4083" s="43" t="s">
        <v>100</v>
      </c>
      <c r="C4083" s="43" t="s">
        <v>101</v>
      </c>
      <c r="D4083" s="44">
        <v>45883</v>
      </c>
      <c r="E4083" s="45">
        <v>11</v>
      </c>
    </row>
    <row r="4084" spans="2:5">
      <c r="B4084" s="43" t="s">
        <v>4</v>
      </c>
      <c r="C4084" s="43" t="s">
        <v>5</v>
      </c>
      <c r="D4084" s="44">
        <v>45883</v>
      </c>
      <c r="E4084" s="45">
        <v>120.6</v>
      </c>
    </row>
    <row r="4085" spans="2:5">
      <c r="B4085" s="43" t="s">
        <v>156</v>
      </c>
      <c r="C4085" s="43" t="s">
        <v>157</v>
      </c>
      <c r="D4085" s="44">
        <v>45883</v>
      </c>
      <c r="E4085" s="45">
        <v>15.6</v>
      </c>
    </row>
    <row r="4086" spans="2:5">
      <c r="B4086" s="43" t="s">
        <v>8</v>
      </c>
      <c r="C4086" s="43" t="s">
        <v>9</v>
      </c>
      <c r="D4086" s="44">
        <v>45883</v>
      </c>
      <c r="E4086" s="45">
        <v>348</v>
      </c>
    </row>
    <row r="4087" spans="2:5">
      <c r="B4087" s="43" t="s">
        <v>44</v>
      </c>
      <c r="C4087" s="43" t="s">
        <v>45</v>
      </c>
      <c r="D4087" s="44">
        <v>45883</v>
      </c>
      <c r="E4087" s="45">
        <v>8.5</v>
      </c>
    </row>
    <row r="4088" spans="2:5">
      <c r="B4088" s="43" t="s">
        <v>46</v>
      </c>
      <c r="C4088" s="43" t="s">
        <v>47</v>
      </c>
      <c r="D4088" s="44">
        <v>45883</v>
      </c>
      <c r="E4088" s="45">
        <v>971.8</v>
      </c>
    </row>
    <row r="4089" spans="2:5">
      <c r="B4089" s="43" t="s">
        <v>10</v>
      </c>
      <c r="C4089" s="43" t="s">
        <v>11</v>
      </c>
      <c r="D4089" s="44">
        <v>45883</v>
      </c>
      <c r="E4089" s="45">
        <v>121.55</v>
      </c>
    </row>
    <row r="4090" spans="2:5">
      <c r="B4090" s="43" t="s">
        <v>74</v>
      </c>
      <c r="C4090" s="43" t="s">
        <v>75</v>
      </c>
      <c r="D4090" s="44">
        <v>45883</v>
      </c>
      <c r="E4090" s="45">
        <v>224.1</v>
      </c>
    </row>
    <row r="4091" spans="2:5">
      <c r="B4091" s="43" t="s">
        <v>12</v>
      </c>
      <c r="C4091" s="43" t="s">
        <v>13</v>
      </c>
      <c r="D4091" s="44">
        <v>45883</v>
      </c>
      <c r="E4091" s="45">
        <v>621</v>
      </c>
    </row>
    <row r="4092" spans="2:5">
      <c r="B4092" s="43" t="s">
        <v>178</v>
      </c>
      <c r="C4092" s="43" t="s">
        <v>179</v>
      </c>
      <c r="D4092" s="44">
        <v>45883</v>
      </c>
      <c r="E4092" s="45">
        <v>216</v>
      </c>
    </row>
    <row r="4093" spans="2:5">
      <c r="B4093" s="43" t="s">
        <v>14</v>
      </c>
      <c r="C4093" s="43" t="s">
        <v>15</v>
      </c>
      <c r="D4093" s="44">
        <v>45883</v>
      </c>
      <c r="E4093" s="45">
        <v>1336.5</v>
      </c>
    </row>
    <row r="4094" spans="2:5">
      <c r="B4094" s="43" t="s">
        <v>50</v>
      </c>
      <c r="C4094" s="43" t="s">
        <v>51</v>
      </c>
      <c r="D4094" s="44">
        <v>45883</v>
      </c>
      <c r="E4094" s="45">
        <v>530.4</v>
      </c>
    </row>
    <row r="4095" spans="2:5">
      <c r="B4095" s="43" t="s">
        <v>144</v>
      </c>
      <c r="C4095" s="43" t="s">
        <v>145</v>
      </c>
      <c r="D4095" s="44">
        <v>45883</v>
      </c>
      <c r="E4095" s="45">
        <v>648</v>
      </c>
    </row>
    <row r="4096" spans="2:5">
      <c r="B4096" s="43" t="s">
        <v>202</v>
      </c>
      <c r="C4096" s="43" t="s">
        <v>203</v>
      </c>
      <c r="D4096" s="44">
        <v>45883</v>
      </c>
      <c r="E4096" s="45">
        <v>506.8</v>
      </c>
    </row>
    <row r="4097" spans="2:5">
      <c r="B4097" s="43" t="s">
        <v>204</v>
      </c>
      <c r="C4097" s="43" t="s">
        <v>205</v>
      </c>
      <c r="D4097" s="44">
        <v>45883</v>
      </c>
      <c r="E4097" s="45">
        <v>84.75</v>
      </c>
    </row>
    <row r="4098" spans="2:5">
      <c r="B4098" s="43" t="s">
        <v>20</v>
      </c>
      <c r="C4098" s="43" t="s">
        <v>21</v>
      </c>
      <c r="D4098" s="44">
        <v>45883</v>
      </c>
      <c r="E4098" s="45">
        <v>205.8</v>
      </c>
    </row>
    <row r="4099" spans="2:5">
      <c r="B4099" s="43" t="s">
        <v>22</v>
      </c>
      <c r="C4099" s="43" t="s">
        <v>23</v>
      </c>
      <c r="D4099" s="44">
        <v>45883</v>
      </c>
      <c r="E4099" s="45">
        <v>57.6</v>
      </c>
    </row>
    <row r="4100" spans="2:5">
      <c r="B4100" s="43" t="s">
        <v>140</v>
      </c>
      <c r="C4100" s="43" t="s">
        <v>141</v>
      </c>
      <c r="D4100" s="44">
        <v>45883</v>
      </c>
      <c r="E4100" s="45">
        <v>533.6</v>
      </c>
    </row>
    <row r="4101" spans="2:5">
      <c r="B4101" s="43" t="s">
        <v>80</v>
      </c>
      <c r="C4101" s="43" t="s">
        <v>81</v>
      </c>
      <c r="D4101" s="44">
        <v>45883</v>
      </c>
      <c r="E4101" s="45">
        <v>703.15</v>
      </c>
    </row>
    <row r="4102" spans="2:5">
      <c r="B4102" s="43" t="s">
        <v>24</v>
      </c>
      <c r="C4102" s="43" t="s">
        <v>25</v>
      </c>
      <c r="D4102" s="44">
        <v>45883</v>
      </c>
      <c r="E4102" s="45">
        <v>3529.8</v>
      </c>
    </row>
    <row r="4103" spans="2:5">
      <c r="B4103" s="43" t="s">
        <v>26</v>
      </c>
      <c r="C4103" s="43" t="s">
        <v>27</v>
      </c>
      <c r="D4103" s="44">
        <v>45883</v>
      </c>
      <c r="E4103" s="45">
        <v>1834.9</v>
      </c>
    </row>
    <row r="4104" spans="2:5">
      <c r="B4104" s="43" t="s">
        <v>28</v>
      </c>
      <c r="C4104" s="43" t="s">
        <v>29</v>
      </c>
      <c r="D4104" s="44">
        <v>45883</v>
      </c>
      <c r="E4104" s="45">
        <v>912.9</v>
      </c>
    </row>
    <row r="4105" spans="2:5">
      <c r="B4105" s="43" t="s">
        <v>62</v>
      </c>
      <c r="C4105" s="43" t="s">
        <v>63</v>
      </c>
      <c r="D4105" s="44">
        <v>45883</v>
      </c>
      <c r="E4105" s="45">
        <v>389.5</v>
      </c>
    </row>
    <row r="4106" spans="2:5">
      <c r="B4106" s="43" t="s">
        <v>90</v>
      </c>
      <c r="C4106" s="43" t="s">
        <v>91</v>
      </c>
      <c r="D4106" s="44">
        <v>45883</v>
      </c>
      <c r="E4106" s="45">
        <v>534</v>
      </c>
    </row>
    <row r="4107" spans="2:5">
      <c r="B4107" s="43" t="s">
        <v>64</v>
      </c>
      <c r="C4107" s="43" t="s">
        <v>65</v>
      </c>
      <c r="D4107" s="44">
        <v>45883</v>
      </c>
      <c r="E4107" s="45">
        <v>1260</v>
      </c>
    </row>
    <row r="4108" spans="2:5">
      <c r="B4108" s="43" t="s">
        <v>66</v>
      </c>
      <c r="C4108" s="43" t="s">
        <v>67</v>
      </c>
      <c r="D4108" s="44">
        <v>45883</v>
      </c>
      <c r="E4108" s="45">
        <v>55.4</v>
      </c>
    </row>
    <row r="4109" spans="2:5">
      <c r="B4109" s="43" t="s">
        <v>132</v>
      </c>
      <c r="C4109" s="43" t="s">
        <v>133</v>
      </c>
      <c r="D4109" s="44">
        <v>45883</v>
      </c>
      <c r="E4109" s="45">
        <v>525.3</v>
      </c>
    </row>
    <row r="4110" spans="2:5">
      <c r="B4110" s="43" t="s">
        <v>68</v>
      </c>
      <c r="C4110" s="43" t="s">
        <v>69</v>
      </c>
      <c r="D4110" s="44">
        <v>45883</v>
      </c>
      <c r="E4110" s="45">
        <v>718</v>
      </c>
    </row>
    <row r="4111" spans="2:5">
      <c r="B4111" s="43" t="s">
        <v>208</v>
      </c>
      <c r="C4111" s="43" t="s">
        <v>209</v>
      </c>
      <c r="D4111" s="44">
        <v>45883</v>
      </c>
      <c r="E4111" s="45">
        <v>140</v>
      </c>
    </row>
    <row r="4112" spans="2:5">
      <c r="B4112" s="43" t="s">
        <v>106</v>
      </c>
      <c r="C4112" s="43" t="s">
        <v>107</v>
      </c>
      <c r="D4112" s="44">
        <v>45883</v>
      </c>
      <c r="E4112" s="45">
        <v>23.1</v>
      </c>
    </row>
    <row r="4113" spans="2:5">
      <c r="B4113" s="43" t="s">
        <v>96</v>
      </c>
      <c r="C4113" s="43" t="s">
        <v>97</v>
      </c>
      <c r="D4113" s="44">
        <v>45883</v>
      </c>
      <c r="E4113" s="45">
        <v>3</v>
      </c>
    </row>
    <row r="4114" spans="2:5">
      <c r="B4114" s="43" t="s">
        <v>224</v>
      </c>
      <c r="C4114" s="43" t="s">
        <v>225</v>
      </c>
      <c r="D4114" s="44">
        <v>45883</v>
      </c>
      <c r="E4114" s="45">
        <v>1</v>
      </c>
    </row>
    <row r="4115" spans="2:5">
      <c r="B4115" s="43" t="s">
        <v>32</v>
      </c>
      <c r="C4115" s="43" t="s">
        <v>33</v>
      </c>
      <c r="D4115" s="44">
        <v>45883</v>
      </c>
      <c r="E4115" s="45">
        <v>12</v>
      </c>
    </row>
    <row r="4116" spans="2:5">
      <c r="B4116" s="43" t="s">
        <v>160</v>
      </c>
      <c r="C4116" s="43" t="s">
        <v>161</v>
      </c>
      <c r="D4116" s="44">
        <v>45883</v>
      </c>
      <c r="E4116" s="45">
        <v>3</v>
      </c>
    </row>
    <row r="4117" spans="2:5">
      <c r="B4117" s="43" t="s">
        <v>34</v>
      </c>
      <c r="C4117" s="43" t="s">
        <v>35</v>
      </c>
      <c r="D4117" s="44">
        <v>45883</v>
      </c>
      <c r="E4117" s="45">
        <v>9</v>
      </c>
    </row>
    <row r="4118" spans="2:5">
      <c r="B4118" s="43" t="s">
        <v>4</v>
      </c>
      <c r="C4118" s="43" t="s">
        <v>5</v>
      </c>
      <c r="D4118" s="44">
        <v>45884</v>
      </c>
      <c r="E4118" s="45">
        <v>67</v>
      </c>
    </row>
    <row r="4119" spans="2:5">
      <c r="B4119" s="43" t="s">
        <v>8</v>
      </c>
      <c r="C4119" s="43" t="s">
        <v>9</v>
      </c>
      <c r="D4119" s="44">
        <v>45884</v>
      </c>
      <c r="E4119" s="45">
        <v>234.9</v>
      </c>
    </row>
    <row r="4120" spans="2:5">
      <c r="B4120" s="43" t="s">
        <v>44</v>
      </c>
      <c r="C4120" s="43" t="s">
        <v>45</v>
      </c>
      <c r="D4120" s="44">
        <v>45884</v>
      </c>
      <c r="E4120" s="45">
        <v>25.5</v>
      </c>
    </row>
    <row r="4121" spans="2:5">
      <c r="B4121" s="43" t="s">
        <v>46</v>
      </c>
      <c r="C4121" s="43" t="s">
        <v>47</v>
      </c>
      <c r="D4121" s="44">
        <v>45884</v>
      </c>
      <c r="E4121" s="45">
        <v>452</v>
      </c>
    </row>
    <row r="4122" spans="2:5">
      <c r="B4122" s="43" t="s">
        <v>10</v>
      </c>
      <c r="C4122" s="43" t="s">
        <v>11</v>
      </c>
      <c r="D4122" s="44">
        <v>45884</v>
      </c>
      <c r="E4122" s="45">
        <v>276.25</v>
      </c>
    </row>
    <row r="4123" spans="2:5">
      <c r="B4123" s="43" t="s">
        <v>12</v>
      </c>
      <c r="C4123" s="43" t="s">
        <v>13</v>
      </c>
      <c r="D4123" s="44">
        <v>45884</v>
      </c>
      <c r="E4123" s="45">
        <v>800.4</v>
      </c>
    </row>
    <row r="4124" spans="2:5">
      <c r="B4124" s="43" t="s">
        <v>14</v>
      </c>
      <c r="C4124" s="43" t="s">
        <v>15</v>
      </c>
      <c r="D4124" s="44">
        <v>45884</v>
      </c>
      <c r="E4124" s="45">
        <v>2632.5</v>
      </c>
    </row>
    <row r="4125" spans="2:5">
      <c r="B4125" s="43" t="s">
        <v>50</v>
      </c>
      <c r="C4125" s="43" t="s">
        <v>51</v>
      </c>
      <c r="D4125" s="44">
        <v>45884</v>
      </c>
      <c r="E4125" s="45">
        <v>856.8</v>
      </c>
    </row>
    <row r="4126" spans="2:5">
      <c r="B4126" s="43" t="s">
        <v>114</v>
      </c>
      <c r="C4126" s="43" t="s">
        <v>115</v>
      </c>
      <c r="D4126" s="44">
        <v>45884</v>
      </c>
      <c r="E4126" s="45">
        <v>199.5</v>
      </c>
    </row>
    <row r="4127" spans="2:5">
      <c r="B4127" s="43" t="s">
        <v>144</v>
      </c>
      <c r="C4127" s="43" t="s">
        <v>145</v>
      </c>
      <c r="D4127" s="44">
        <v>45884</v>
      </c>
      <c r="E4127" s="45">
        <v>648</v>
      </c>
    </row>
    <row r="4128" spans="2:5">
      <c r="B4128" s="43" t="s">
        <v>56</v>
      </c>
      <c r="C4128" s="43" t="s">
        <v>57</v>
      </c>
      <c r="D4128" s="44">
        <v>45884</v>
      </c>
      <c r="E4128" s="45">
        <v>181</v>
      </c>
    </row>
    <row r="4129" spans="2:5">
      <c r="B4129" s="43" t="s">
        <v>126</v>
      </c>
      <c r="C4129" s="43" t="s">
        <v>127</v>
      </c>
      <c r="D4129" s="44">
        <v>45884</v>
      </c>
      <c r="E4129" s="45">
        <v>566.4</v>
      </c>
    </row>
    <row r="4130" spans="2:5">
      <c r="B4130" s="43" t="s">
        <v>76</v>
      </c>
      <c r="C4130" s="43" t="s">
        <v>77</v>
      </c>
      <c r="D4130" s="44">
        <v>45884</v>
      </c>
      <c r="E4130" s="45">
        <v>547.15</v>
      </c>
    </row>
    <row r="4131" spans="2:5">
      <c r="B4131" s="43" t="s">
        <v>152</v>
      </c>
      <c r="C4131" s="43" t="s">
        <v>153</v>
      </c>
      <c r="D4131" s="44">
        <v>45884</v>
      </c>
      <c r="E4131" s="45">
        <v>93</v>
      </c>
    </row>
    <row r="4132" spans="2:5">
      <c r="B4132" s="43" t="s">
        <v>168</v>
      </c>
      <c r="C4132" s="43" t="s">
        <v>169</v>
      </c>
      <c r="D4132" s="44">
        <v>45884</v>
      </c>
      <c r="E4132" s="45">
        <v>502.5</v>
      </c>
    </row>
    <row r="4133" spans="2:5">
      <c r="B4133" s="43" t="s">
        <v>20</v>
      </c>
      <c r="C4133" s="43" t="s">
        <v>21</v>
      </c>
      <c r="D4133" s="44">
        <v>45884</v>
      </c>
      <c r="E4133" s="45">
        <v>98</v>
      </c>
    </row>
    <row r="4134" spans="2:5">
      <c r="B4134" s="43" t="s">
        <v>22</v>
      </c>
      <c r="C4134" s="43" t="s">
        <v>23</v>
      </c>
      <c r="D4134" s="44">
        <v>45884</v>
      </c>
      <c r="E4134" s="45">
        <v>259.2</v>
      </c>
    </row>
    <row r="4135" spans="2:5">
      <c r="B4135" s="43" t="s">
        <v>80</v>
      </c>
      <c r="C4135" s="43" t="s">
        <v>81</v>
      </c>
      <c r="D4135" s="44">
        <v>45884</v>
      </c>
      <c r="E4135" s="45">
        <v>28.7</v>
      </c>
    </row>
    <row r="4136" spans="2:5">
      <c r="B4136" s="43" t="s">
        <v>24</v>
      </c>
      <c r="C4136" s="43" t="s">
        <v>25</v>
      </c>
      <c r="D4136" s="44">
        <v>45884</v>
      </c>
      <c r="E4136" s="45">
        <v>1526.4</v>
      </c>
    </row>
    <row r="4137" spans="2:5">
      <c r="B4137" s="43" t="s">
        <v>58</v>
      </c>
      <c r="C4137" s="43" t="s">
        <v>59</v>
      </c>
      <c r="D4137" s="44">
        <v>45884</v>
      </c>
      <c r="E4137" s="45">
        <v>531</v>
      </c>
    </row>
    <row r="4138" spans="2:5">
      <c r="B4138" s="43" t="s">
        <v>26</v>
      </c>
      <c r="C4138" s="43" t="s">
        <v>27</v>
      </c>
      <c r="D4138" s="44">
        <v>45884</v>
      </c>
      <c r="E4138" s="45">
        <v>1834.9</v>
      </c>
    </row>
    <row r="4139" spans="2:5">
      <c r="B4139" s="43" t="s">
        <v>60</v>
      </c>
      <c r="C4139" s="43" t="s">
        <v>61</v>
      </c>
      <c r="D4139" s="44">
        <v>45884</v>
      </c>
      <c r="E4139" s="45">
        <v>366</v>
      </c>
    </row>
    <row r="4140" spans="2:5">
      <c r="B4140" s="43" t="s">
        <v>28</v>
      </c>
      <c r="C4140" s="43" t="s">
        <v>29</v>
      </c>
      <c r="D4140" s="44">
        <v>45884</v>
      </c>
      <c r="E4140" s="45">
        <v>107.4</v>
      </c>
    </row>
    <row r="4141" spans="2:5">
      <c r="B4141" s="43" t="s">
        <v>62</v>
      </c>
      <c r="C4141" s="43" t="s">
        <v>63</v>
      </c>
      <c r="D4141" s="44">
        <v>45884</v>
      </c>
      <c r="E4141" s="45">
        <v>902</v>
      </c>
    </row>
    <row r="4142" spans="2:5">
      <c r="B4142" s="43" t="s">
        <v>148</v>
      </c>
      <c r="C4142" s="43" t="s">
        <v>149</v>
      </c>
      <c r="D4142" s="44">
        <v>45884</v>
      </c>
      <c r="E4142" s="45">
        <v>824.4</v>
      </c>
    </row>
    <row r="4143" spans="2:5">
      <c r="B4143" s="43" t="s">
        <v>64</v>
      </c>
      <c r="C4143" s="43" t="s">
        <v>65</v>
      </c>
      <c r="D4143" s="44">
        <v>45884</v>
      </c>
      <c r="E4143" s="45">
        <v>460</v>
      </c>
    </row>
    <row r="4144" spans="2:5">
      <c r="B4144" s="43" t="s">
        <v>68</v>
      </c>
      <c r="C4144" s="43" t="s">
        <v>69</v>
      </c>
      <c r="D4144" s="44">
        <v>45884</v>
      </c>
      <c r="E4144" s="45">
        <v>359</v>
      </c>
    </row>
    <row r="4145" spans="2:5">
      <c r="B4145" s="43" t="s">
        <v>106</v>
      </c>
      <c r="C4145" s="43" t="s">
        <v>107</v>
      </c>
      <c r="D4145" s="44">
        <v>45884</v>
      </c>
      <c r="E4145" s="45">
        <v>15.4</v>
      </c>
    </row>
    <row r="4146" spans="2:5">
      <c r="B4146" s="43" t="s">
        <v>96</v>
      </c>
      <c r="C4146" s="43" t="s">
        <v>97</v>
      </c>
      <c r="D4146" s="44">
        <v>45884</v>
      </c>
      <c r="E4146" s="45">
        <v>9</v>
      </c>
    </row>
    <row r="4147" spans="2:5">
      <c r="B4147" s="43" t="s">
        <v>32</v>
      </c>
      <c r="C4147" s="43" t="s">
        <v>33</v>
      </c>
      <c r="D4147" s="44">
        <v>45884</v>
      </c>
      <c r="E4147" s="45">
        <v>4</v>
      </c>
    </row>
    <row r="4148" spans="2:5">
      <c r="B4148" s="43" t="s">
        <v>34</v>
      </c>
      <c r="C4148" s="43" t="s">
        <v>35</v>
      </c>
      <c r="D4148" s="44">
        <v>45884</v>
      </c>
      <c r="E4148" s="45">
        <v>1</v>
      </c>
    </row>
    <row r="4149" spans="2:5">
      <c r="B4149" s="43" t="s">
        <v>170</v>
      </c>
      <c r="C4149" s="43" t="s">
        <v>171</v>
      </c>
      <c r="D4149" s="44">
        <v>45884</v>
      </c>
      <c r="E4149" s="45">
        <v>2</v>
      </c>
    </row>
    <row r="4150" spans="2:5">
      <c r="B4150" s="43" t="s">
        <v>4</v>
      </c>
      <c r="C4150" s="43" t="s">
        <v>5</v>
      </c>
      <c r="D4150" s="44">
        <v>45887</v>
      </c>
      <c r="E4150" s="45">
        <v>288.1</v>
      </c>
    </row>
    <row r="4151" spans="2:5">
      <c r="B4151" s="43" t="s">
        <v>156</v>
      </c>
      <c r="C4151" s="43" t="s">
        <v>157</v>
      </c>
      <c r="D4151" s="44">
        <v>45887</v>
      </c>
      <c r="E4151" s="45">
        <v>15.6</v>
      </c>
    </row>
    <row r="4152" spans="2:5">
      <c r="B4152" s="43" t="s">
        <v>8</v>
      </c>
      <c r="C4152" s="43" t="s">
        <v>9</v>
      </c>
      <c r="D4152" s="44">
        <v>45887</v>
      </c>
      <c r="E4152" s="45">
        <v>374.1</v>
      </c>
    </row>
    <row r="4153" spans="2:5">
      <c r="B4153" s="43" t="s">
        <v>50</v>
      </c>
      <c r="C4153" s="43" t="s">
        <v>51</v>
      </c>
      <c r="D4153" s="44">
        <v>45887</v>
      </c>
      <c r="E4153" s="45">
        <v>639.2</v>
      </c>
    </row>
    <row r="4154" spans="2:5">
      <c r="B4154" s="43" t="s">
        <v>56</v>
      </c>
      <c r="C4154" s="43" t="s">
        <v>57</v>
      </c>
      <c r="D4154" s="44">
        <v>45887</v>
      </c>
      <c r="E4154" s="45">
        <v>181</v>
      </c>
    </row>
    <row r="4155" spans="2:5">
      <c r="B4155" s="43" t="s">
        <v>162</v>
      </c>
      <c r="C4155" s="43" t="s">
        <v>163</v>
      </c>
      <c r="D4155" s="44">
        <v>45887</v>
      </c>
      <c r="E4155" s="45">
        <v>444.4</v>
      </c>
    </row>
    <row r="4156" spans="2:5">
      <c r="B4156" s="43" t="s">
        <v>152</v>
      </c>
      <c r="C4156" s="43" t="s">
        <v>153</v>
      </c>
      <c r="D4156" s="44">
        <v>45887</v>
      </c>
      <c r="E4156" s="45">
        <v>93</v>
      </c>
    </row>
    <row r="4157" spans="2:5">
      <c r="B4157" s="43" t="s">
        <v>20</v>
      </c>
      <c r="C4157" s="43" t="s">
        <v>21</v>
      </c>
      <c r="D4157" s="44">
        <v>45887</v>
      </c>
      <c r="E4157" s="45">
        <v>186.2</v>
      </c>
    </row>
    <row r="4158" spans="2:5">
      <c r="B4158" s="43" t="s">
        <v>22</v>
      </c>
      <c r="C4158" s="43" t="s">
        <v>23</v>
      </c>
      <c r="D4158" s="44">
        <v>45887</v>
      </c>
      <c r="E4158" s="45">
        <v>9.6</v>
      </c>
    </row>
    <row r="4159" spans="2:5">
      <c r="B4159" s="43" t="s">
        <v>24</v>
      </c>
      <c r="C4159" s="43" t="s">
        <v>25</v>
      </c>
      <c r="D4159" s="44">
        <v>45887</v>
      </c>
      <c r="E4159" s="45">
        <v>1621.8</v>
      </c>
    </row>
    <row r="4160" spans="2:5">
      <c r="B4160" s="43" t="s">
        <v>26</v>
      </c>
      <c r="C4160" s="43" t="s">
        <v>27</v>
      </c>
      <c r="D4160" s="44">
        <v>45887</v>
      </c>
      <c r="E4160" s="45">
        <v>3032.25</v>
      </c>
    </row>
    <row r="4161" spans="2:5">
      <c r="B4161" s="43" t="s">
        <v>148</v>
      </c>
      <c r="C4161" s="43" t="s">
        <v>149</v>
      </c>
      <c r="D4161" s="44">
        <v>45887</v>
      </c>
      <c r="E4161" s="45">
        <v>1030.5</v>
      </c>
    </row>
    <row r="4162" spans="2:5">
      <c r="B4162" s="43" t="s">
        <v>64</v>
      </c>
      <c r="C4162" s="43" t="s">
        <v>65</v>
      </c>
      <c r="D4162" s="44">
        <v>45887</v>
      </c>
      <c r="E4162" s="45">
        <v>180</v>
      </c>
    </row>
    <row r="4163" spans="2:5">
      <c r="B4163" s="43" t="s">
        <v>84</v>
      </c>
      <c r="C4163" s="43" t="s">
        <v>85</v>
      </c>
      <c r="D4163" s="44">
        <v>45887</v>
      </c>
      <c r="E4163" s="45">
        <v>149.7</v>
      </c>
    </row>
    <row r="4164" spans="2:5">
      <c r="B4164" s="43" t="s">
        <v>66</v>
      </c>
      <c r="C4164" s="43" t="s">
        <v>67</v>
      </c>
      <c r="D4164" s="44">
        <v>45887</v>
      </c>
      <c r="E4164" s="45">
        <v>166.2</v>
      </c>
    </row>
    <row r="4165" spans="2:5">
      <c r="B4165" s="43" t="s">
        <v>132</v>
      </c>
      <c r="C4165" s="43" t="s">
        <v>133</v>
      </c>
      <c r="D4165" s="44">
        <v>45887</v>
      </c>
      <c r="E4165" s="45">
        <v>185.4</v>
      </c>
    </row>
    <row r="4166" spans="2:5">
      <c r="B4166" s="43" t="s">
        <v>68</v>
      </c>
      <c r="C4166" s="43" t="s">
        <v>69</v>
      </c>
      <c r="D4166" s="44">
        <v>45887</v>
      </c>
      <c r="E4166" s="45">
        <v>215.4</v>
      </c>
    </row>
    <row r="4167" spans="2:5">
      <c r="B4167" s="43" t="s">
        <v>96</v>
      </c>
      <c r="C4167" s="43" t="s">
        <v>97</v>
      </c>
      <c r="D4167" s="44">
        <v>45887</v>
      </c>
      <c r="E4167" s="45">
        <v>3</v>
      </c>
    </row>
    <row r="4168" spans="2:5">
      <c r="B4168" s="43" t="s">
        <v>32</v>
      </c>
      <c r="C4168" s="43" t="s">
        <v>33</v>
      </c>
      <c r="D4168" s="44">
        <v>45887</v>
      </c>
      <c r="E4168" s="45">
        <v>1</v>
      </c>
    </row>
    <row r="4169" spans="2:5">
      <c r="B4169" s="43" t="s">
        <v>160</v>
      </c>
      <c r="C4169" s="43" t="s">
        <v>161</v>
      </c>
      <c r="D4169" s="44">
        <v>45887</v>
      </c>
      <c r="E4169" s="45">
        <v>6</v>
      </c>
    </row>
    <row r="4170" spans="2:5">
      <c r="B4170" s="43" t="s">
        <v>34</v>
      </c>
      <c r="C4170" s="43" t="s">
        <v>35</v>
      </c>
      <c r="D4170" s="44">
        <v>45887</v>
      </c>
      <c r="E4170" s="45">
        <v>1</v>
      </c>
    </row>
    <row r="4171" spans="2:5">
      <c r="B4171" s="43" t="s">
        <v>36</v>
      </c>
      <c r="C4171" s="43" t="s">
        <v>37</v>
      </c>
      <c r="D4171" s="44">
        <v>45887</v>
      </c>
      <c r="E4171" s="45">
        <v>4</v>
      </c>
    </row>
    <row r="4172" spans="2:5">
      <c r="B4172" s="43" t="s">
        <v>40</v>
      </c>
      <c r="C4172" s="43" t="s">
        <v>41</v>
      </c>
      <c r="D4172" s="44">
        <v>45888</v>
      </c>
      <c r="E4172" s="45">
        <v>1</v>
      </c>
    </row>
    <row r="4173" spans="2:5">
      <c r="B4173" s="43" t="s">
        <v>42</v>
      </c>
      <c r="C4173" s="43" t="s">
        <v>43</v>
      </c>
      <c r="D4173" s="44">
        <v>45888</v>
      </c>
      <c r="E4173" s="45">
        <v>151.25</v>
      </c>
    </row>
    <row r="4174" spans="2:5">
      <c r="B4174" s="43" t="s">
        <v>4</v>
      </c>
      <c r="C4174" s="43" t="s">
        <v>5</v>
      </c>
      <c r="D4174" s="44">
        <v>45888</v>
      </c>
      <c r="E4174" s="45">
        <v>60.3</v>
      </c>
    </row>
    <row r="4175" spans="2:5">
      <c r="B4175" s="43" t="s">
        <v>156</v>
      </c>
      <c r="C4175" s="43" t="s">
        <v>157</v>
      </c>
      <c r="D4175" s="44">
        <v>45888</v>
      </c>
      <c r="E4175" s="45">
        <v>304.2</v>
      </c>
    </row>
    <row r="4176" spans="2:5">
      <c r="B4176" s="43" t="s">
        <v>8</v>
      </c>
      <c r="C4176" s="43" t="s">
        <v>9</v>
      </c>
      <c r="D4176" s="44">
        <v>45888</v>
      </c>
      <c r="E4176" s="45">
        <v>147.9</v>
      </c>
    </row>
    <row r="4177" spans="2:5">
      <c r="B4177" s="43" t="s">
        <v>44</v>
      </c>
      <c r="C4177" s="43" t="s">
        <v>45</v>
      </c>
      <c r="D4177" s="44">
        <v>45888</v>
      </c>
      <c r="E4177" s="45">
        <v>25.5</v>
      </c>
    </row>
    <row r="4178" spans="2:5">
      <c r="B4178" s="43" t="s">
        <v>46</v>
      </c>
      <c r="C4178" s="43" t="s">
        <v>47</v>
      </c>
      <c r="D4178" s="44">
        <v>45888</v>
      </c>
      <c r="E4178" s="45">
        <v>90.4</v>
      </c>
    </row>
    <row r="4179" spans="2:5">
      <c r="B4179" s="43" t="s">
        <v>12</v>
      </c>
      <c r="C4179" s="43" t="s">
        <v>13</v>
      </c>
      <c r="D4179" s="44">
        <v>45888</v>
      </c>
      <c r="E4179" s="45">
        <v>565.8</v>
      </c>
    </row>
    <row r="4180" spans="2:5">
      <c r="B4180" s="43" t="s">
        <v>178</v>
      </c>
      <c r="C4180" s="43" t="s">
        <v>179</v>
      </c>
      <c r="D4180" s="44">
        <v>45888</v>
      </c>
      <c r="E4180" s="45">
        <v>108</v>
      </c>
    </row>
    <row r="4181" spans="2:5">
      <c r="B4181" s="43" t="s">
        <v>50</v>
      </c>
      <c r="C4181" s="43" t="s">
        <v>51</v>
      </c>
      <c r="D4181" s="44">
        <v>45888</v>
      </c>
      <c r="E4181" s="45">
        <v>54.4</v>
      </c>
    </row>
    <row r="4182" spans="2:5">
      <c r="B4182" s="43" t="s">
        <v>56</v>
      </c>
      <c r="C4182" s="43" t="s">
        <v>57</v>
      </c>
      <c r="D4182" s="44">
        <v>45888</v>
      </c>
      <c r="E4182" s="45">
        <v>199.1</v>
      </c>
    </row>
    <row r="4183" spans="2:5">
      <c r="B4183" s="43" t="s">
        <v>118</v>
      </c>
      <c r="C4183" s="43" t="s">
        <v>119</v>
      </c>
      <c r="D4183" s="44">
        <v>45888</v>
      </c>
      <c r="E4183" s="45">
        <v>516.8</v>
      </c>
    </row>
    <row r="4184" spans="2:5">
      <c r="B4184" s="43" t="s">
        <v>168</v>
      </c>
      <c r="C4184" s="43" t="s">
        <v>169</v>
      </c>
      <c r="D4184" s="44">
        <v>45888</v>
      </c>
      <c r="E4184" s="45">
        <v>80.4</v>
      </c>
    </row>
    <row r="4185" spans="2:5">
      <c r="B4185" s="43" t="s">
        <v>180</v>
      </c>
      <c r="C4185" s="43" t="s">
        <v>181</v>
      </c>
      <c r="D4185" s="44">
        <v>45888</v>
      </c>
      <c r="E4185" s="45">
        <v>134.4</v>
      </c>
    </row>
    <row r="4186" spans="2:5">
      <c r="B4186" s="43" t="s">
        <v>130</v>
      </c>
      <c r="C4186" s="43" t="s">
        <v>131</v>
      </c>
      <c r="D4186" s="44">
        <v>45888</v>
      </c>
      <c r="E4186" s="45">
        <v>568.7</v>
      </c>
    </row>
    <row r="4187" spans="2:5">
      <c r="B4187" s="43" t="s">
        <v>18</v>
      </c>
      <c r="C4187" s="43" t="s">
        <v>19</v>
      </c>
      <c r="D4187" s="44">
        <v>45888</v>
      </c>
      <c r="E4187" s="45">
        <v>22.25</v>
      </c>
    </row>
    <row r="4188" spans="2:5">
      <c r="B4188" s="43" t="s">
        <v>200</v>
      </c>
      <c r="C4188" s="43" t="s">
        <v>201</v>
      </c>
      <c r="D4188" s="44">
        <v>45888</v>
      </c>
      <c r="E4188" s="45">
        <v>27.5</v>
      </c>
    </row>
    <row r="4189" spans="2:5">
      <c r="B4189" s="43" t="s">
        <v>78</v>
      </c>
      <c r="C4189" s="43" t="s">
        <v>79</v>
      </c>
      <c r="D4189" s="44">
        <v>45888</v>
      </c>
      <c r="E4189" s="45">
        <v>44.25</v>
      </c>
    </row>
    <row r="4190" spans="2:5">
      <c r="B4190" s="43" t="s">
        <v>20</v>
      </c>
      <c r="C4190" s="43" t="s">
        <v>21</v>
      </c>
      <c r="D4190" s="44">
        <v>45888</v>
      </c>
      <c r="E4190" s="45">
        <v>98</v>
      </c>
    </row>
    <row r="4191" spans="2:5">
      <c r="B4191" s="43" t="s">
        <v>22</v>
      </c>
      <c r="C4191" s="43" t="s">
        <v>23</v>
      </c>
      <c r="D4191" s="44">
        <v>45888</v>
      </c>
      <c r="E4191" s="45">
        <v>192</v>
      </c>
    </row>
    <row r="4192" spans="2:5">
      <c r="B4192" s="43" t="s">
        <v>80</v>
      </c>
      <c r="C4192" s="43" t="s">
        <v>81</v>
      </c>
      <c r="D4192" s="44">
        <v>45888</v>
      </c>
      <c r="E4192" s="45">
        <v>861</v>
      </c>
    </row>
    <row r="4193" spans="2:5">
      <c r="B4193" s="43" t="s">
        <v>24</v>
      </c>
      <c r="C4193" s="43" t="s">
        <v>25</v>
      </c>
      <c r="D4193" s="44">
        <v>45888</v>
      </c>
      <c r="E4193" s="45">
        <v>1224.3</v>
      </c>
    </row>
    <row r="4194" spans="2:5">
      <c r="B4194" s="43" t="s">
        <v>26</v>
      </c>
      <c r="C4194" s="43" t="s">
        <v>27</v>
      </c>
      <c r="D4194" s="44">
        <v>45888</v>
      </c>
      <c r="E4194" s="45">
        <v>1741.6</v>
      </c>
    </row>
    <row r="4195" spans="2:5">
      <c r="B4195" s="43" t="s">
        <v>28</v>
      </c>
      <c r="C4195" s="43" t="s">
        <v>29</v>
      </c>
      <c r="D4195" s="44">
        <v>45888</v>
      </c>
      <c r="E4195" s="45">
        <v>53.7</v>
      </c>
    </row>
    <row r="4196" spans="2:5">
      <c r="B4196" s="43" t="s">
        <v>122</v>
      </c>
      <c r="C4196" s="43" t="s">
        <v>123</v>
      </c>
      <c r="D4196" s="44">
        <v>45888</v>
      </c>
      <c r="E4196" s="45">
        <v>30.2</v>
      </c>
    </row>
    <row r="4197" spans="2:5">
      <c r="B4197" s="43" t="s">
        <v>62</v>
      </c>
      <c r="C4197" s="43" t="s">
        <v>63</v>
      </c>
      <c r="D4197" s="44">
        <v>45888</v>
      </c>
      <c r="E4197" s="45">
        <v>533</v>
      </c>
    </row>
    <row r="4198" spans="2:5">
      <c r="B4198" s="43" t="s">
        <v>64</v>
      </c>
      <c r="C4198" s="43" t="s">
        <v>65</v>
      </c>
      <c r="D4198" s="44">
        <v>45888</v>
      </c>
      <c r="E4198" s="45">
        <v>680</v>
      </c>
    </row>
    <row r="4199" spans="2:5">
      <c r="B4199" s="43" t="s">
        <v>186</v>
      </c>
      <c r="C4199" s="43" t="s">
        <v>187</v>
      </c>
      <c r="D4199" s="44">
        <v>45888</v>
      </c>
      <c r="E4199" s="45">
        <v>569.8</v>
      </c>
    </row>
    <row r="4200" spans="2:5">
      <c r="B4200" s="43" t="s">
        <v>66</v>
      </c>
      <c r="C4200" s="43" t="s">
        <v>67</v>
      </c>
      <c r="D4200" s="44">
        <v>45888</v>
      </c>
      <c r="E4200" s="45">
        <v>27.7</v>
      </c>
    </row>
    <row r="4201" spans="2:5">
      <c r="B4201" s="43" t="s">
        <v>132</v>
      </c>
      <c r="C4201" s="43" t="s">
        <v>133</v>
      </c>
      <c r="D4201" s="44">
        <v>45888</v>
      </c>
      <c r="E4201" s="45">
        <v>988.8</v>
      </c>
    </row>
    <row r="4202" spans="2:5">
      <c r="B4202" s="43" t="s">
        <v>68</v>
      </c>
      <c r="C4202" s="43" t="s">
        <v>69</v>
      </c>
      <c r="D4202" s="44">
        <v>45888</v>
      </c>
      <c r="E4202" s="45">
        <v>71.8</v>
      </c>
    </row>
    <row r="4203" spans="2:5">
      <c r="B4203" s="43" t="s">
        <v>106</v>
      </c>
      <c r="C4203" s="43" t="s">
        <v>107</v>
      </c>
      <c r="D4203" s="44">
        <v>45888</v>
      </c>
      <c r="E4203" s="45">
        <v>15.4</v>
      </c>
    </row>
    <row r="4204" spans="2:5">
      <c r="B4204" s="43" t="s">
        <v>96</v>
      </c>
      <c r="C4204" s="43" t="s">
        <v>97</v>
      </c>
      <c r="D4204" s="44">
        <v>45888</v>
      </c>
      <c r="E4204" s="45">
        <v>44</v>
      </c>
    </row>
    <row r="4205" spans="2:5">
      <c r="B4205" s="43" t="s">
        <v>224</v>
      </c>
      <c r="C4205" s="43" t="s">
        <v>225</v>
      </c>
      <c r="D4205" s="44">
        <v>45888</v>
      </c>
      <c r="E4205" s="45">
        <v>1</v>
      </c>
    </row>
    <row r="4206" spans="2:5">
      <c r="B4206" s="43" t="s">
        <v>32</v>
      </c>
      <c r="C4206" s="43" t="s">
        <v>33</v>
      </c>
      <c r="D4206" s="44">
        <v>45888</v>
      </c>
      <c r="E4206" s="45">
        <v>18</v>
      </c>
    </row>
    <row r="4207" spans="2:5">
      <c r="B4207" s="43" t="s">
        <v>160</v>
      </c>
      <c r="C4207" s="43" t="s">
        <v>161</v>
      </c>
      <c r="D4207" s="44">
        <v>45888</v>
      </c>
      <c r="E4207" s="45">
        <v>5</v>
      </c>
    </row>
    <row r="4208" spans="2:5">
      <c r="B4208" s="43" t="s">
        <v>34</v>
      </c>
      <c r="C4208" s="43" t="s">
        <v>35</v>
      </c>
      <c r="D4208" s="44">
        <v>45888</v>
      </c>
      <c r="E4208" s="45">
        <v>2</v>
      </c>
    </row>
    <row r="4209" spans="2:5">
      <c r="B4209" s="43" t="s">
        <v>36</v>
      </c>
      <c r="C4209" s="43" t="s">
        <v>37</v>
      </c>
      <c r="D4209" s="44">
        <v>45888</v>
      </c>
      <c r="E4209" s="45">
        <v>4</v>
      </c>
    </row>
    <row r="4210" spans="2:5">
      <c r="B4210" s="43" t="s">
        <v>38</v>
      </c>
      <c r="C4210" s="43" t="s">
        <v>39</v>
      </c>
      <c r="D4210" s="44">
        <v>45888</v>
      </c>
      <c r="E4210" s="45">
        <v>20</v>
      </c>
    </row>
    <row r="4211" spans="2:5">
      <c r="B4211" s="43" t="s">
        <v>102</v>
      </c>
      <c r="C4211" s="43" t="s">
        <v>103</v>
      </c>
      <c r="D4211" s="44">
        <v>45889</v>
      </c>
      <c r="E4211" s="45">
        <v>15</v>
      </c>
    </row>
    <row r="4212" spans="2:5">
      <c r="B4212" s="43" t="s">
        <v>8</v>
      </c>
      <c r="C4212" s="43" t="s">
        <v>9</v>
      </c>
      <c r="D4212" s="44">
        <v>45889</v>
      </c>
      <c r="E4212" s="45">
        <v>26.1</v>
      </c>
    </row>
    <row r="4213" spans="2:5">
      <c r="B4213" s="43" t="s">
        <v>46</v>
      </c>
      <c r="C4213" s="43" t="s">
        <v>47</v>
      </c>
      <c r="D4213" s="44">
        <v>45889</v>
      </c>
      <c r="E4213" s="45">
        <v>678</v>
      </c>
    </row>
    <row r="4214" spans="2:5">
      <c r="B4214" s="43" t="s">
        <v>10</v>
      </c>
      <c r="C4214" s="43" t="s">
        <v>11</v>
      </c>
      <c r="D4214" s="44">
        <v>45889</v>
      </c>
      <c r="E4214" s="45">
        <v>232.05</v>
      </c>
    </row>
    <row r="4215" spans="2:5">
      <c r="B4215" s="43" t="s">
        <v>12</v>
      </c>
      <c r="C4215" s="43" t="s">
        <v>13</v>
      </c>
      <c r="D4215" s="44">
        <v>45889</v>
      </c>
      <c r="E4215" s="45">
        <v>579.6</v>
      </c>
    </row>
    <row r="4216" spans="2:5">
      <c r="B4216" s="43" t="s">
        <v>14</v>
      </c>
      <c r="C4216" s="43" t="s">
        <v>15</v>
      </c>
      <c r="D4216" s="44">
        <v>45889</v>
      </c>
      <c r="E4216" s="45">
        <v>297</v>
      </c>
    </row>
    <row r="4217" spans="2:5">
      <c r="B4217" s="43" t="s">
        <v>50</v>
      </c>
      <c r="C4217" s="43" t="s">
        <v>51</v>
      </c>
      <c r="D4217" s="44">
        <v>45889</v>
      </c>
      <c r="E4217" s="45">
        <v>1468.8</v>
      </c>
    </row>
    <row r="4218" spans="2:5">
      <c r="B4218" s="43" t="s">
        <v>114</v>
      </c>
      <c r="C4218" s="43" t="s">
        <v>115</v>
      </c>
      <c r="D4218" s="44">
        <v>45889</v>
      </c>
      <c r="E4218" s="45">
        <v>26.6</v>
      </c>
    </row>
    <row r="4219" spans="2:5">
      <c r="B4219" s="43" t="s">
        <v>144</v>
      </c>
      <c r="C4219" s="43" t="s">
        <v>145</v>
      </c>
      <c r="D4219" s="44">
        <v>45889</v>
      </c>
      <c r="E4219" s="45">
        <v>972</v>
      </c>
    </row>
    <row r="4220" spans="2:5">
      <c r="B4220" s="43" t="s">
        <v>56</v>
      </c>
      <c r="C4220" s="43" t="s">
        <v>57</v>
      </c>
      <c r="D4220" s="44">
        <v>45889</v>
      </c>
      <c r="E4220" s="45">
        <v>1013.6</v>
      </c>
    </row>
    <row r="4221" spans="2:5">
      <c r="B4221" s="43" t="s">
        <v>76</v>
      </c>
      <c r="C4221" s="43" t="s">
        <v>77</v>
      </c>
      <c r="D4221" s="44">
        <v>45889</v>
      </c>
      <c r="E4221" s="45">
        <v>52.95</v>
      </c>
    </row>
    <row r="4222" spans="2:5">
      <c r="B4222" s="43" t="s">
        <v>20</v>
      </c>
      <c r="C4222" s="43" t="s">
        <v>21</v>
      </c>
      <c r="D4222" s="44">
        <v>45889</v>
      </c>
      <c r="E4222" s="45">
        <v>107.8</v>
      </c>
    </row>
    <row r="4223" spans="2:5">
      <c r="B4223" s="43" t="s">
        <v>22</v>
      </c>
      <c r="C4223" s="43" t="s">
        <v>23</v>
      </c>
      <c r="D4223" s="44">
        <v>45889</v>
      </c>
      <c r="E4223" s="45">
        <v>240</v>
      </c>
    </row>
    <row r="4224" spans="2:5">
      <c r="B4224" s="43" t="s">
        <v>140</v>
      </c>
      <c r="C4224" s="43" t="s">
        <v>141</v>
      </c>
      <c r="D4224" s="44">
        <v>45889</v>
      </c>
      <c r="E4224" s="45">
        <v>278.4</v>
      </c>
    </row>
    <row r="4225" spans="2:5">
      <c r="B4225" s="43" t="s">
        <v>80</v>
      </c>
      <c r="C4225" s="43" t="s">
        <v>81</v>
      </c>
      <c r="D4225" s="44">
        <v>45889</v>
      </c>
      <c r="E4225" s="45">
        <v>28.7</v>
      </c>
    </row>
    <row r="4226" spans="2:5">
      <c r="B4226" s="43" t="s">
        <v>24</v>
      </c>
      <c r="C4226" s="43" t="s">
        <v>25</v>
      </c>
      <c r="D4226" s="44">
        <v>45889</v>
      </c>
      <c r="E4226" s="45">
        <v>3879.6</v>
      </c>
    </row>
    <row r="4227" spans="2:5">
      <c r="B4227" s="43" t="s">
        <v>26</v>
      </c>
      <c r="C4227" s="43" t="s">
        <v>27</v>
      </c>
      <c r="D4227" s="44">
        <v>45889</v>
      </c>
      <c r="E4227" s="45">
        <v>3498.75</v>
      </c>
    </row>
    <row r="4228" spans="2:5">
      <c r="B4228" s="43" t="s">
        <v>60</v>
      </c>
      <c r="C4228" s="43" t="s">
        <v>61</v>
      </c>
      <c r="D4228" s="44">
        <v>45889</v>
      </c>
      <c r="E4228" s="45">
        <v>33</v>
      </c>
    </row>
    <row r="4229" spans="2:5">
      <c r="B4229" s="43" t="s">
        <v>28</v>
      </c>
      <c r="C4229" s="43" t="s">
        <v>29</v>
      </c>
      <c r="D4229" s="44">
        <v>45889</v>
      </c>
      <c r="E4229" s="45">
        <v>447.5</v>
      </c>
    </row>
    <row r="4230" spans="2:5">
      <c r="B4230" s="43" t="s">
        <v>62</v>
      </c>
      <c r="C4230" s="43" t="s">
        <v>63</v>
      </c>
      <c r="D4230" s="44">
        <v>45889</v>
      </c>
      <c r="E4230" s="45">
        <v>164</v>
      </c>
    </row>
    <row r="4231" spans="2:5">
      <c r="B4231" s="43" t="s">
        <v>64</v>
      </c>
      <c r="C4231" s="43" t="s">
        <v>65</v>
      </c>
      <c r="D4231" s="44">
        <v>45889</v>
      </c>
      <c r="E4231" s="45">
        <v>780</v>
      </c>
    </row>
    <row r="4232" spans="2:5">
      <c r="B4232" s="43" t="s">
        <v>198</v>
      </c>
      <c r="C4232" s="43" t="s">
        <v>199</v>
      </c>
      <c r="D4232" s="44">
        <v>45889</v>
      </c>
      <c r="E4232" s="45">
        <v>277.2</v>
      </c>
    </row>
    <row r="4233" spans="2:5">
      <c r="B4233" s="43" t="s">
        <v>132</v>
      </c>
      <c r="C4233" s="43" t="s">
        <v>133</v>
      </c>
      <c r="D4233" s="44">
        <v>45889</v>
      </c>
      <c r="E4233" s="45">
        <v>309</v>
      </c>
    </row>
    <row r="4234" spans="2:5">
      <c r="B4234" s="43" t="s">
        <v>68</v>
      </c>
      <c r="C4234" s="43" t="s">
        <v>69</v>
      </c>
      <c r="D4234" s="44">
        <v>45889</v>
      </c>
      <c r="E4234" s="45">
        <v>107.7</v>
      </c>
    </row>
    <row r="4235" spans="2:5">
      <c r="B4235" s="43" t="s">
        <v>106</v>
      </c>
      <c r="C4235" s="43" t="s">
        <v>107</v>
      </c>
      <c r="D4235" s="44">
        <v>45889</v>
      </c>
      <c r="E4235" s="45">
        <v>23.1</v>
      </c>
    </row>
    <row r="4236" spans="2:5">
      <c r="B4236" s="43" t="s">
        <v>142</v>
      </c>
      <c r="C4236" s="43" t="s">
        <v>143</v>
      </c>
      <c r="D4236" s="44">
        <v>45889</v>
      </c>
      <c r="E4236" s="45">
        <v>17</v>
      </c>
    </row>
    <row r="4237" spans="2:5">
      <c r="B4237" s="43" t="s">
        <v>196</v>
      </c>
      <c r="C4237" s="43" t="s">
        <v>197</v>
      </c>
      <c r="D4237" s="44">
        <v>45889</v>
      </c>
      <c r="E4237" s="45">
        <v>6</v>
      </c>
    </row>
    <row r="4238" spans="2:5">
      <c r="B4238" s="43" t="s">
        <v>96</v>
      </c>
      <c r="C4238" s="43" t="s">
        <v>97</v>
      </c>
      <c r="D4238" s="44">
        <v>45889</v>
      </c>
      <c r="E4238" s="45">
        <v>32</v>
      </c>
    </row>
    <row r="4239" spans="2:5">
      <c r="B4239" s="43" t="s">
        <v>32</v>
      </c>
      <c r="C4239" s="43" t="s">
        <v>33</v>
      </c>
      <c r="D4239" s="44">
        <v>45889</v>
      </c>
      <c r="E4239" s="45">
        <v>9</v>
      </c>
    </row>
    <row r="4240" spans="2:5">
      <c r="B4240" s="43" t="s">
        <v>160</v>
      </c>
      <c r="C4240" s="43" t="s">
        <v>161</v>
      </c>
      <c r="D4240" s="44">
        <v>45889</v>
      </c>
      <c r="E4240" s="45">
        <v>4</v>
      </c>
    </row>
    <row r="4241" spans="2:5">
      <c r="B4241" s="43" t="s">
        <v>36</v>
      </c>
      <c r="C4241" s="43" t="s">
        <v>37</v>
      </c>
      <c r="D4241" s="44">
        <v>45889</v>
      </c>
      <c r="E4241" s="45">
        <v>1</v>
      </c>
    </row>
    <row r="4242" spans="2:5">
      <c r="B4242" s="43" t="s">
        <v>154</v>
      </c>
      <c r="C4242" s="43" t="s">
        <v>155</v>
      </c>
      <c r="D4242" s="44">
        <v>45890</v>
      </c>
      <c r="E4242" s="45">
        <v>17</v>
      </c>
    </row>
    <row r="4243" spans="2:5">
      <c r="B4243" s="43" t="s">
        <v>42</v>
      </c>
      <c r="C4243" s="43" t="s">
        <v>43</v>
      </c>
      <c r="D4243" s="44">
        <v>45890</v>
      </c>
      <c r="E4243" s="45">
        <v>24.2</v>
      </c>
    </row>
    <row r="4244" spans="2:5">
      <c r="B4244" s="43" t="s">
        <v>4</v>
      </c>
      <c r="C4244" s="43" t="s">
        <v>5</v>
      </c>
      <c r="D4244" s="44">
        <v>45890</v>
      </c>
      <c r="E4244" s="45">
        <v>113.9</v>
      </c>
    </row>
    <row r="4245" spans="2:5">
      <c r="B4245" s="43" t="s">
        <v>156</v>
      </c>
      <c r="C4245" s="43" t="s">
        <v>157</v>
      </c>
      <c r="D4245" s="44">
        <v>45890</v>
      </c>
      <c r="E4245" s="45">
        <v>85.8</v>
      </c>
    </row>
    <row r="4246" spans="2:5">
      <c r="B4246" s="43" t="s">
        <v>8</v>
      </c>
      <c r="C4246" s="43" t="s">
        <v>9</v>
      </c>
      <c r="D4246" s="44">
        <v>45890</v>
      </c>
      <c r="E4246" s="45">
        <v>60.9</v>
      </c>
    </row>
    <row r="4247" spans="2:5">
      <c r="B4247" s="43" t="s">
        <v>44</v>
      </c>
      <c r="C4247" s="43" t="s">
        <v>45</v>
      </c>
      <c r="D4247" s="44">
        <v>45890</v>
      </c>
      <c r="E4247" s="45">
        <v>68</v>
      </c>
    </row>
    <row r="4248" spans="2:5">
      <c r="B4248" s="43" t="s">
        <v>46</v>
      </c>
      <c r="C4248" s="43" t="s">
        <v>47</v>
      </c>
      <c r="D4248" s="44">
        <v>45890</v>
      </c>
      <c r="E4248" s="45">
        <v>271.2</v>
      </c>
    </row>
    <row r="4249" spans="2:5">
      <c r="B4249" s="43" t="s">
        <v>12</v>
      </c>
      <c r="C4249" s="43" t="s">
        <v>13</v>
      </c>
      <c r="D4249" s="44">
        <v>45890</v>
      </c>
      <c r="E4249" s="45">
        <v>552</v>
      </c>
    </row>
    <row r="4250" spans="2:5">
      <c r="B4250" s="43" t="s">
        <v>178</v>
      </c>
      <c r="C4250" s="43" t="s">
        <v>179</v>
      </c>
      <c r="D4250" s="44">
        <v>45890</v>
      </c>
      <c r="E4250" s="45">
        <v>36</v>
      </c>
    </row>
    <row r="4251" spans="2:5">
      <c r="B4251" s="43" t="s">
        <v>50</v>
      </c>
      <c r="C4251" s="43" t="s">
        <v>51</v>
      </c>
      <c r="D4251" s="44">
        <v>45890</v>
      </c>
      <c r="E4251" s="45">
        <v>272</v>
      </c>
    </row>
    <row r="4252" spans="2:5">
      <c r="B4252" s="43" t="s">
        <v>138</v>
      </c>
      <c r="C4252" s="43" t="s">
        <v>139</v>
      </c>
      <c r="D4252" s="44">
        <v>45890</v>
      </c>
      <c r="E4252" s="45">
        <v>126.8</v>
      </c>
    </row>
    <row r="4253" spans="2:5">
      <c r="B4253" s="43" t="s">
        <v>162</v>
      </c>
      <c r="C4253" s="43" t="s">
        <v>163</v>
      </c>
      <c r="D4253" s="44">
        <v>45890</v>
      </c>
      <c r="E4253" s="45">
        <v>868.6</v>
      </c>
    </row>
    <row r="4254" spans="2:5">
      <c r="B4254" s="43" t="s">
        <v>76</v>
      </c>
      <c r="C4254" s="43" t="s">
        <v>77</v>
      </c>
      <c r="D4254" s="44">
        <v>45890</v>
      </c>
      <c r="E4254" s="45">
        <v>405.95</v>
      </c>
    </row>
    <row r="4255" spans="2:5">
      <c r="B4255" s="43" t="s">
        <v>20</v>
      </c>
      <c r="C4255" s="43" t="s">
        <v>21</v>
      </c>
      <c r="D4255" s="44">
        <v>45890</v>
      </c>
      <c r="E4255" s="45">
        <v>323.4</v>
      </c>
    </row>
    <row r="4256" spans="2:5">
      <c r="B4256" s="43" t="s">
        <v>22</v>
      </c>
      <c r="C4256" s="43" t="s">
        <v>23</v>
      </c>
      <c r="D4256" s="44">
        <v>45890</v>
      </c>
      <c r="E4256" s="45">
        <v>451.2</v>
      </c>
    </row>
    <row r="4257" spans="2:5">
      <c r="B4257" s="43" t="s">
        <v>140</v>
      </c>
      <c r="C4257" s="43" t="s">
        <v>141</v>
      </c>
      <c r="D4257" s="44">
        <v>45890</v>
      </c>
      <c r="E4257" s="45">
        <v>208.8</v>
      </c>
    </row>
    <row r="4258" spans="2:5">
      <c r="B4258" s="43" t="s">
        <v>80</v>
      </c>
      <c r="C4258" s="43" t="s">
        <v>81</v>
      </c>
      <c r="D4258" s="44">
        <v>45890</v>
      </c>
      <c r="E4258" s="45">
        <v>344.4</v>
      </c>
    </row>
    <row r="4259" spans="2:5">
      <c r="B4259" s="43" t="s">
        <v>24</v>
      </c>
      <c r="C4259" s="43" t="s">
        <v>25</v>
      </c>
      <c r="D4259" s="44">
        <v>45890</v>
      </c>
      <c r="E4259" s="45">
        <v>1749</v>
      </c>
    </row>
    <row r="4260" spans="2:5">
      <c r="B4260" s="43" t="s">
        <v>26</v>
      </c>
      <c r="C4260" s="43" t="s">
        <v>27</v>
      </c>
      <c r="D4260" s="44">
        <v>45890</v>
      </c>
      <c r="E4260" s="45">
        <v>1912.65</v>
      </c>
    </row>
    <row r="4261" spans="2:5">
      <c r="B4261" s="43" t="s">
        <v>60</v>
      </c>
      <c r="C4261" s="43" t="s">
        <v>61</v>
      </c>
      <c r="D4261" s="44">
        <v>45890</v>
      </c>
      <c r="E4261" s="45">
        <v>146.4</v>
      </c>
    </row>
    <row r="4262" spans="2:5">
      <c r="B4262" s="43" t="s">
        <v>28</v>
      </c>
      <c r="C4262" s="43" t="s">
        <v>29</v>
      </c>
      <c r="D4262" s="44">
        <v>45890</v>
      </c>
      <c r="E4262" s="45">
        <v>483.3</v>
      </c>
    </row>
    <row r="4263" spans="2:5">
      <c r="B4263" s="43" t="s">
        <v>122</v>
      </c>
      <c r="C4263" s="43" t="s">
        <v>123</v>
      </c>
      <c r="D4263" s="44">
        <v>45890</v>
      </c>
      <c r="E4263" s="45">
        <v>60.4</v>
      </c>
    </row>
    <row r="4264" spans="2:5">
      <c r="B4264" s="43" t="s">
        <v>62</v>
      </c>
      <c r="C4264" s="43" t="s">
        <v>63</v>
      </c>
      <c r="D4264" s="44">
        <v>45890</v>
      </c>
      <c r="E4264" s="45">
        <v>205</v>
      </c>
    </row>
    <row r="4265" spans="2:5">
      <c r="B4265" s="43" t="s">
        <v>64</v>
      </c>
      <c r="C4265" s="43" t="s">
        <v>65</v>
      </c>
      <c r="D4265" s="44">
        <v>45890</v>
      </c>
      <c r="E4265" s="45">
        <v>440</v>
      </c>
    </row>
    <row r="4266" spans="2:5">
      <c r="B4266" s="43" t="s">
        <v>68</v>
      </c>
      <c r="C4266" s="43" t="s">
        <v>69</v>
      </c>
      <c r="D4266" s="44">
        <v>45890</v>
      </c>
      <c r="E4266" s="45">
        <v>107.7</v>
      </c>
    </row>
    <row r="4267" spans="2:5">
      <c r="B4267" s="43" t="s">
        <v>96</v>
      </c>
      <c r="C4267" s="43" t="s">
        <v>97</v>
      </c>
      <c r="D4267" s="44">
        <v>45890</v>
      </c>
      <c r="E4267" s="45">
        <v>45</v>
      </c>
    </row>
    <row r="4268" spans="2:5">
      <c r="B4268" s="43" t="s">
        <v>224</v>
      </c>
      <c r="C4268" s="43" t="s">
        <v>225</v>
      </c>
      <c r="D4268" s="44">
        <v>45890</v>
      </c>
      <c r="E4268" s="45">
        <v>1</v>
      </c>
    </row>
    <row r="4269" spans="2:5">
      <c r="B4269" s="43" t="s">
        <v>32</v>
      </c>
      <c r="C4269" s="43" t="s">
        <v>33</v>
      </c>
      <c r="D4269" s="44">
        <v>45890</v>
      </c>
      <c r="E4269" s="45">
        <v>18</v>
      </c>
    </row>
    <row r="4270" spans="2:5">
      <c r="B4270" s="43" t="s">
        <v>160</v>
      </c>
      <c r="C4270" s="43" t="s">
        <v>161</v>
      </c>
      <c r="D4270" s="44">
        <v>45890</v>
      </c>
      <c r="E4270" s="45">
        <v>11</v>
      </c>
    </row>
    <row r="4271" spans="2:5">
      <c r="B4271" s="43" t="s">
        <v>34</v>
      </c>
      <c r="C4271" s="43" t="s">
        <v>35</v>
      </c>
      <c r="D4271" s="44">
        <v>45890</v>
      </c>
      <c r="E4271" s="45">
        <v>1</v>
      </c>
    </row>
    <row r="4272" spans="2:5">
      <c r="B4272" s="43" t="s">
        <v>36</v>
      </c>
      <c r="C4272" s="43" t="s">
        <v>37</v>
      </c>
      <c r="D4272" s="44">
        <v>45890</v>
      </c>
      <c r="E4272" s="45">
        <v>2</v>
      </c>
    </row>
    <row r="4273" spans="2:5">
      <c r="B4273" s="43" t="s">
        <v>38</v>
      </c>
      <c r="C4273" s="43" t="s">
        <v>39</v>
      </c>
      <c r="D4273" s="44">
        <v>45890</v>
      </c>
      <c r="E4273" s="45">
        <v>110</v>
      </c>
    </row>
    <row r="4274" spans="2:5">
      <c r="B4274" s="43" t="s">
        <v>8</v>
      </c>
      <c r="C4274" s="43" t="s">
        <v>9</v>
      </c>
      <c r="D4274" s="44">
        <v>45891</v>
      </c>
      <c r="E4274" s="45">
        <v>17.4</v>
      </c>
    </row>
    <row r="4275" spans="2:5">
      <c r="B4275" s="43" t="s">
        <v>46</v>
      </c>
      <c r="C4275" s="43" t="s">
        <v>47</v>
      </c>
      <c r="D4275" s="44">
        <v>45891</v>
      </c>
      <c r="E4275" s="45">
        <v>56.5</v>
      </c>
    </row>
    <row r="4276" spans="2:5">
      <c r="B4276" s="43" t="s">
        <v>78</v>
      </c>
      <c r="C4276" s="43" t="s">
        <v>79</v>
      </c>
      <c r="D4276" s="44">
        <v>45891</v>
      </c>
      <c r="E4276" s="45">
        <v>88.5</v>
      </c>
    </row>
    <row r="4277" spans="2:5">
      <c r="B4277" s="43" t="s">
        <v>80</v>
      </c>
      <c r="C4277" s="43" t="s">
        <v>81</v>
      </c>
      <c r="D4277" s="44">
        <v>45891</v>
      </c>
      <c r="E4277" s="45">
        <v>215.25</v>
      </c>
    </row>
    <row r="4278" spans="2:5">
      <c r="B4278" s="43" t="s">
        <v>26</v>
      </c>
      <c r="C4278" s="43" t="s">
        <v>27</v>
      </c>
      <c r="D4278" s="44">
        <v>45891</v>
      </c>
      <c r="E4278" s="45">
        <v>1866</v>
      </c>
    </row>
    <row r="4279" spans="2:5">
      <c r="B4279" s="43" t="s">
        <v>28</v>
      </c>
      <c r="C4279" s="43" t="s">
        <v>29</v>
      </c>
      <c r="D4279" s="44">
        <v>45891</v>
      </c>
      <c r="E4279" s="45">
        <v>1700.5</v>
      </c>
    </row>
    <row r="4280" spans="2:5">
      <c r="B4280" s="43" t="s">
        <v>64</v>
      </c>
      <c r="C4280" s="43" t="s">
        <v>65</v>
      </c>
      <c r="D4280" s="44">
        <v>45891</v>
      </c>
      <c r="E4280" s="45">
        <v>880</v>
      </c>
    </row>
    <row r="4281" spans="2:5">
      <c r="B4281" s="43" t="s">
        <v>66</v>
      </c>
      <c r="C4281" s="43" t="s">
        <v>67</v>
      </c>
      <c r="D4281" s="44">
        <v>45891</v>
      </c>
      <c r="E4281" s="45">
        <v>554</v>
      </c>
    </row>
    <row r="4282" spans="2:5">
      <c r="B4282" s="43" t="s">
        <v>150</v>
      </c>
      <c r="C4282" s="43" t="s">
        <v>151</v>
      </c>
      <c r="D4282" s="44">
        <v>45891</v>
      </c>
      <c r="E4282" s="45">
        <v>1136.1</v>
      </c>
    </row>
    <row r="4283" spans="2:5">
      <c r="B4283" s="43" t="s">
        <v>142</v>
      </c>
      <c r="C4283" s="43" t="s">
        <v>143</v>
      </c>
      <c r="D4283" s="44">
        <v>45891</v>
      </c>
      <c r="E4283" s="45">
        <v>1</v>
      </c>
    </row>
    <row r="4284" spans="2:5">
      <c r="B4284" s="43" t="s">
        <v>96</v>
      </c>
      <c r="C4284" s="43" t="s">
        <v>97</v>
      </c>
      <c r="D4284" s="44">
        <v>45891</v>
      </c>
      <c r="E4284" s="45">
        <v>20</v>
      </c>
    </row>
    <row r="4285" spans="2:5">
      <c r="B4285" s="43" t="s">
        <v>34</v>
      </c>
      <c r="C4285" s="43" t="s">
        <v>35</v>
      </c>
      <c r="D4285" s="44">
        <v>45891</v>
      </c>
      <c r="E4285" s="45">
        <v>5</v>
      </c>
    </row>
    <row r="4286" spans="2:5">
      <c r="B4286" s="43" t="s">
        <v>4</v>
      </c>
      <c r="C4286" s="43" t="s">
        <v>5</v>
      </c>
      <c r="D4286" s="44">
        <v>45894</v>
      </c>
      <c r="E4286" s="45">
        <v>140.7</v>
      </c>
    </row>
    <row r="4287" spans="2:5">
      <c r="B4287" s="43" t="s">
        <v>8</v>
      </c>
      <c r="C4287" s="43" t="s">
        <v>9</v>
      </c>
      <c r="D4287" s="44">
        <v>45894</v>
      </c>
      <c r="E4287" s="45">
        <v>330.6</v>
      </c>
    </row>
    <row r="4288" spans="2:5">
      <c r="B4288" s="43" t="s">
        <v>46</v>
      </c>
      <c r="C4288" s="43" t="s">
        <v>47</v>
      </c>
      <c r="D4288" s="44">
        <v>45894</v>
      </c>
      <c r="E4288" s="45">
        <v>22.6</v>
      </c>
    </row>
    <row r="4289" spans="2:5">
      <c r="B4289" s="43" t="s">
        <v>10</v>
      </c>
      <c r="C4289" s="43" t="s">
        <v>11</v>
      </c>
      <c r="D4289" s="44">
        <v>45894</v>
      </c>
      <c r="E4289" s="45">
        <v>33.15</v>
      </c>
    </row>
    <row r="4290" spans="2:5">
      <c r="B4290" s="43" t="s">
        <v>206</v>
      </c>
      <c r="C4290" s="43" t="s">
        <v>207</v>
      </c>
      <c r="D4290" s="44">
        <v>45894</v>
      </c>
      <c r="E4290" s="45">
        <v>282.8</v>
      </c>
    </row>
    <row r="4291" spans="2:5">
      <c r="B4291" s="43" t="s">
        <v>12</v>
      </c>
      <c r="C4291" s="43" t="s">
        <v>13</v>
      </c>
      <c r="D4291" s="44">
        <v>45894</v>
      </c>
      <c r="E4291" s="45">
        <v>13.8</v>
      </c>
    </row>
    <row r="4292" spans="2:5">
      <c r="B4292" s="43" t="s">
        <v>14</v>
      </c>
      <c r="C4292" s="43" t="s">
        <v>15</v>
      </c>
      <c r="D4292" s="44">
        <v>45894</v>
      </c>
      <c r="E4292" s="45">
        <v>270</v>
      </c>
    </row>
    <row r="4293" spans="2:5">
      <c r="B4293" s="43" t="s">
        <v>126</v>
      </c>
      <c r="C4293" s="43" t="s">
        <v>127</v>
      </c>
      <c r="D4293" s="44">
        <v>45894</v>
      </c>
      <c r="E4293" s="45">
        <v>23.6</v>
      </c>
    </row>
    <row r="4294" spans="2:5">
      <c r="B4294" s="43" t="s">
        <v>176</v>
      </c>
      <c r="C4294" s="43" t="s">
        <v>177</v>
      </c>
      <c r="D4294" s="44">
        <v>45894</v>
      </c>
      <c r="E4294" s="45">
        <v>121.5</v>
      </c>
    </row>
    <row r="4295" spans="2:5">
      <c r="B4295" s="43" t="s">
        <v>152</v>
      </c>
      <c r="C4295" s="43" t="s">
        <v>153</v>
      </c>
      <c r="D4295" s="44">
        <v>45894</v>
      </c>
      <c r="E4295" s="45">
        <v>46.5</v>
      </c>
    </row>
    <row r="4296" spans="2:5">
      <c r="B4296" s="43" t="s">
        <v>130</v>
      </c>
      <c r="C4296" s="43" t="s">
        <v>131</v>
      </c>
      <c r="D4296" s="44">
        <v>45894</v>
      </c>
      <c r="E4296" s="45">
        <v>51.7</v>
      </c>
    </row>
    <row r="4297" spans="2:5">
      <c r="B4297" s="43" t="s">
        <v>78</v>
      </c>
      <c r="C4297" s="43" t="s">
        <v>79</v>
      </c>
      <c r="D4297" s="44">
        <v>45894</v>
      </c>
      <c r="E4297" s="45">
        <v>17.7</v>
      </c>
    </row>
    <row r="4298" spans="2:5">
      <c r="B4298" s="43" t="s">
        <v>20</v>
      </c>
      <c r="C4298" s="43" t="s">
        <v>21</v>
      </c>
      <c r="D4298" s="44">
        <v>45894</v>
      </c>
      <c r="E4298" s="45">
        <v>58.8</v>
      </c>
    </row>
    <row r="4299" spans="2:5">
      <c r="B4299" s="43" t="s">
        <v>22</v>
      </c>
      <c r="C4299" s="43" t="s">
        <v>23</v>
      </c>
      <c r="D4299" s="44">
        <v>45894</v>
      </c>
      <c r="E4299" s="45">
        <v>67.2</v>
      </c>
    </row>
    <row r="4300" spans="2:5">
      <c r="B4300" s="43" t="s">
        <v>80</v>
      </c>
      <c r="C4300" s="43" t="s">
        <v>81</v>
      </c>
      <c r="D4300" s="44">
        <v>45894</v>
      </c>
      <c r="E4300" s="45">
        <v>28.7</v>
      </c>
    </row>
    <row r="4301" spans="2:5">
      <c r="B4301" s="43" t="s">
        <v>24</v>
      </c>
      <c r="C4301" s="43" t="s">
        <v>25</v>
      </c>
      <c r="D4301" s="44">
        <v>45894</v>
      </c>
      <c r="E4301" s="45">
        <v>2766.6</v>
      </c>
    </row>
    <row r="4302" spans="2:5">
      <c r="B4302" s="43" t="s">
        <v>26</v>
      </c>
      <c r="C4302" s="43" t="s">
        <v>27</v>
      </c>
      <c r="D4302" s="44">
        <v>45894</v>
      </c>
      <c r="E4302" s="45">
        <v>1119.6</v>
      </c>
    </row>
    <row r="4303" spans="2:5">
      <c r="B4303" s="43" t="s">
        <v>62</v>
      </c>
      <c r="C4303" s="43" t="s">
        <v>63</v>
      </c>
      <c r="D4303" s="44">
        <v>45894</v>
      </c>
      <c r="E4303" s="45">
        <v>229</v>
      </c>
    </row>
    <row r="4304" spans="2:5">
      <c r="B4304" s="43" t="s">
        <v>64</v>
      </c>
      <c r="C4304" s="43" t="s">
        <v>65</v>
      </c>
      <c r="D4304" s="44">
        <v>45894</v>
      </c>
      <c r="E4304" s="45">
        <v>340</v>
      </c>
    </row>
    <row r="4305" spans="2:5">
      <c r="B4305" s="43" t="s">
        <v>92</v>
      </c>
      <c r="C4305" s="43" t="s">
        <v>93</v>
      </c>
      <c r="D4305" s="44">
        <v>45894</v>
      </c>
      <c r="E4305" s="45">
        <v>144.4</v>
      </c>
    </row>
    <row r="4306" spans="2:5">
      <c r="B4306" s="43" t="s">
        <v>94</v>
      </c>
      <c r="C4306" s="43" t="s">
        <v>95</v>
      </c>
      <c r="D4306" s="44">
        <v>45894</v>
      </c>
      <c r="E4306" s="45">
        <v>938</v>
      </c>
    </row>
    <row r="4307" spans="2:5">
      <c r="B4307" s="43" t="s">
        <v>106</v>
      </c>
      <c r="C4307" s="43" t="s">
        <v>107</v>
      </c>
      <c r="D4307" s="44">
        <v>45894</v>
      </c>
      <c r="E4307" s="45">
        <v>23.1</v>
      </c>
    </row>
    <row r="4308" spans="2:5">
      <c r="B4308" s="43" t="s">
        <v>196</v>
      </c>
      <c r="C4308" s="43" t="s">
        <v>197</v>
      </c>
      <c r="D4308" s="44">
        <v>45894</v>
      </c>
      <c r="E4308" s="45">
        <v>3</v>
      </c>
    </row>
    <row r="4309" spans="2:5">
      <c r="B4309" s="43" t="s">
        <v>96</v>
      </c>
      <c r="C4309" s="43" t="s">
        <v>97</v>
      </c>
      <c r="D4309" s="44">
        <v>45894</v>
      </c>
      <c r="E4309" s="45">
        <v>33</v>
      </c>
    </row>
    <row r="4310" spans="2:5">
      <c r="B4310" s="43" t="s">
        <v>32</v>
      </c>
      <c r="C4310" s="43" t="s">
        <v>33</v>
      </c>
      <c r="D4310" s="44">
        <v>45894</v>
      </c>
      <c r="E4310" s="45">
        <v>7</v>
      </c>
    </row>
    <row r="4311" spans="2:5">
      <c r="B4311" s="43" t="s">
        <v>160</v>
      </c>
      <c r="C4311" s="43" t="s">
        <v>161</v>
      </c>
      <c r="D4311" s="44">
        <v>45894</v>
      </c>
      <c r="E4311" s="45">
        <v>1</v>
      </c>
    </row>
    <row r="4312" spans="2:5">
      <c r="B4312" s="43" t="s">
        <v>36</v>
      </c>
      <c r="C4312" s="43" t="s">
        <v>37</v>
      </c>
      <c r="D4312" s="44">
        <v>45894</v>
      </c>
      <c r="E4312" s="45">
        <v>1</v>
      </c>
    </row>
    <row r="4313" spans="2:5">
      <c r="B4313" s="43" t="s">
        <v>8</v>
      </c>
      <c r="C4313" s="43" t="s">
        <v>9</v>
      </c>
      <c r="D4313" s="44">
        <v>45895</v>
      </c>
      <c r="E4313" s="45">
        <v>17.4</v>
      </c>
    </row>
    <row r="4314" spans="2:5">
      <c r="B4314" s="43" t="s">
        <v>46</v>
      </c>
      <c r="C4314" s="43" t="s">
        <v>47</v>
      </c>
      <c r="D4314" s="44">
        <v>45895</v>
      </c>
      <c r="E4314" s="45">
        <v>587.6</v>
      </c>
    </row>
    <row r="4315" spans="2:5">
      <c r="B4315" s="43" t="s">
        <v>12</v>
      </c>
      <c r="C4315" s="43" t="s">
        <v>13</v>
      </c>
      <c r="D4315" s="44">
        <v>45895</v>
      </c>
      <c r="E4315" s="45">
        <v>524.4</v>
      </c>
    </row>
    <row r="4316" spans="2:5">
      <c r="B4316" s="43" t="s">
        <v>108</v>
      </c>
      <c r="C4316" s="43" t="s">
        <v>109</v>
      </c>
      <c r="D4316" s="44">
        <v>45895</v>
      </c>
      <c r="E4316" s="45">
        <v>46.5</v>
      </c>
    </row>
    <row r="4317" spans="2:5">
      <c r="B4317" s="43" t="s">
        <v>14</v>
      </c>
      <c r="C4317" s="43" t="s">
        <v>15</v>
      </c>
      <c r="D4317" s="44">
        <v>45895</v>
      </c>
      <c r="E4317" s="45">
        <v>243</v>
      </c>
    </row>
    <row r="4318" spans="2:5">
      <c r="B4318" s="43" t="s">
        <v>134</v>
      </c>
      <c r="C4318" s="43" t="s">
        <v>135</v>
      </c>
      <c r="D4318" s="44">
        <v>45895</v>
      </c>
      <c r="E4318" s="45">
        <v>49</v>
      </c>
    </row>
    <row r="4319" spans="2:5">
      <c r="B4319" s="43" t="s">
        <v>50</v>
      </c>
      <c r="C4319" s="43" t="s">
        <v>51</v>
      </c>
      <c r="D4319" s="44">
        <v>45895</v>
      </c>
      <c r="E4319" s="45">
        <v>68</v>
      </c>
    </row>
    <row r="4320" spans="2:5">
      <c r="B4320" s="43" t="s">
        <v>138</v>
      </c>
      <c r="C4320" s="43" t="s">
        <v>139</v>
      </c>
      <c r="D4320" s="44">
        <v>45895</v>
      </c>
      <c r="E4320" s="45">
        <v>206.05</v>
      </c>
    </row>
    <row r="4321" spans="2:5">
      <c r="B4321" s="43" t="s">
        <v>56</v>
      </c>
      <c r="C4321" s="43" t="s">
        <v>57</v>
      </c>
      <c r="D4321" s="44">
        <v>45895</v>
      </c>
      <c r="E4321" s="45">
        <v>162.9</v>
      </c>
    </row>
    <row r="4322" spans="2:5">
      <c r="B4322" s="43" t="s">
        <v>20</v>
      </c>
      <c r="C4322" s="43" t="s">
        <v>21</v>
      </c>
      <c r="D4322" s="44">
        <v>45895</v>
      </c>
      <c r="E4322" s="45">
        <v>215.6</v>
      </c>
    </row>
    <row r="4323" spans="2:5">
      <c r="B4323" s="43" t="s">
        <v>22</v>
      </c>
      <c r="C4323" s="43" t="s">
        <v>23</v>
      </c>
      <c r="D4323" s="44">
        <v>45895</v>
      </c>
      <c r="E4323" s="45">
        <v>19.2</v>
      </c>
    </row>
    <row r="4324" spans="2:5">
      <c r="B4324" s="43" t="s">
        <v>80</v>
      </c>
      <c r="C4324" s="43" t="s">
        <v>81</v>
      </c>
      <c r="D4324" s="44">
        <v>45895</v>
      </c>
      <c r="E4324" s="45">
        <v>530.95</v>
      </c>
    </row>
    <row r="4325" spans="2:5">
      <c r="B4325" s="43" t="s">
        <v>24</v>
      </c>
      <c r="C4325" s="43" t="s">
        <v>25</v>
      </c>
      <c r="D4325" s="44">
        <v>45895</v>
      </c>
      <c r="E4325" s="45">
        <v>3116.4</v>
      </c>
    </row>
    <row r="4326" spans="2:5">
      <c r="B4326" s="43" t="s">
        <v>26</v>
      </c>
      <c r="C4326" s="43" t="s">
        <v>27</v>
      </c>
      <c r="D4326" s="44">
        <v>45895</v>
      </c>
      <c r="E4326" s="45">
        <v>855.25</v>
      </c>
    </row>
    <row r="4327" spans="2:5">
      <c r="B4327" s="43" t="s">
        <v>60</v>
      </c>
      <c r="C4327" s="43" t="s">
        <v>61</v>
      </c>
      <c r="D4327" s="44">
        <v>45895</v>
      </c>
      <c r="E4327" s="45">
        <v>695.4</v>
      </c>
    </row>
    <row r="4328" spans="2:5">
      <c r="B4328" s="43" t="s">
        <v>28</v>
      </c>
      <c r="C4328" s="43" t="s">
        <v>29</v>
      </c>
      <c r="D4328" s="44">
        <v>45895</v>
      </c>
      <c r="E4328" s="45">
        <v>250.6</v>
      </c>
    </row>
    <row r="4329" spans="2:5">
      <c r="B4329" s="43" t="s">
        <v>62</v>
      </c>
      <c r="C4329" s="43" t="s">
        <v>63</v>
      </c>
      <c r="D4329" s="44">
        <v>45895</v>
      </c>
      <c r="E4329" s="45">
        <v>963.5</v>
      </c>
    </row>
    <row r="4330" spans="2:5">
      <c r="B4330" s="43" t="s">
        <v>64</v>
      </c>
      <c r="C4330" s="43" t="s">
        <v>65</v>
      </c>
      <c r="D4330" s="44">
        <v>45895</v>
      </c>
      <c r="E4330" s="45">
        <v>140</v>
      </c>
    </row>
    <row r="4331" spans="2:5">
      <c r="B4331" s="43" t="s">
        <v>198</v>
      </c>
      <c r="C4331" s="43" t="s">
        <v>199</v>
      </c>
      <c r="D4331" s="44">
        <v>45895</v>
      </c>
      <c r="E4331" s="45">
        <v>138.6</v>
      </c>
    </row>
    <row r="4332" spans="2:5">
      <c r="B4332" s="43" t="s">
        <v>66</v>
      </c>
      <c r="C4332" s="43" t="s">
        <v>67</v>
      </c>
      <c r="D4332" s="44">
        <v>45895</v>
      </c>
      <c r="E4332" s="45">
        <v>387.8</v>
      </c>
    </row>
    <row r="4333" spans="2:5">
      <c r="B4333" s="43" t="s">
        <v>150</v>
      </c>
      <c r="C4333" s="43" t="s">
        <v>151</v>
      </c>
      <c r="D4333" s="44">
        <v>45895</v>
      </c>
      <c r="E4333" s="45">
        <v>811.5</v>
      </c>
    </row>
    <row r="4334" spans="2:5">
      <c r="B4334" s="43" t="s">
        <v>106</v>
      </c>
      <c r="C4334" s="43" t="s">
        <v>107</v>
      </c>
      <c r="D4334" s="44">
        <v>45895</v>
      </c>
      <c r="E4334" s="45">
        <v>30.8</v>
      </c>
    </row>
    <row r="4335" spans="2:5">
      <c r="B4335" s="43" t="s">
        <v>142</v>
      </c>
      <c r="C4335" s="43" t="s">
        <v>143</v>
      </c>
      <c r="D4335" s="44">
        <v>45895</v>
      </c>
      <c r="E4335" s="45">
        <v>2</v>
      </c>
    </row>
    <row r="4336" spans="2:5">
      <c r="B4336" s="43" t="s">
        <v>96</v>
      </c>
      <c r="C4336" s="43" t="s">
        <v>97</v>
      </c>
      <c r="D4336" s="44">
        <v>45895</v>
      </c>
      <c r="E4336" s="45">
        <v>58</v>
      </c>
    </row>
    <row r="4337" spans="2:5">
      <c r="B4337" s="43" t="s">
        <v>224</v>
      </c>
      <c r="C4337" s="43" t="s">
        <v>225</v>
      </c>
      <c r="D4337" s="44">
        <v>45895</v>
      </c>
      <c r="E4337" s="45">
        <v>10</v>
      </c>
    </row>
    <row r="4338" spans="2:5">
      <c r="B4338" s="43" t="s">
        <v>32</v>
      </c>
      <c r="C4338" s="43" t="s">
        <v>33</v>
      </c>
      <c r="D4338" s="44">
        <v>45895</v>
      </c>
      <c r="E4338" s="45">
        <v>15</v>
      </c>
    </row>
    <row r="4339" spans="2:5">
      <c r="B4339" s="43" t="s">
        <v>160</v>
      </c>
      <c r="C4339" s="43" t="s">
        <v>161</v>
      </c>
      <c r="D4339" s="44">
        <v>45895</v>
      </c>
      <c r="E4339" s="45">
        <v>2</v>
      </c>
    </row>
    <row r="4340" spans="2:5">
      <c r="B4340" s="43" t="s">
        <v>36</v>
      </c>
      <c r="C4340" s="43" t="s">
        <v>37</v>
      </c>
      <c r="D4340" s="44">
        <v>45895</v>
      </c>
      <c r="E4340" s="45">
        <v>2</v>
      </c>
    </row>
    <row r="4341" spans="2:5">
      <c r="B4341" s="43" t="s">
        <v>4</v>
      </c>
      <c r="C4341" s="43" t="s">
        <v>5</v>
      </c>
      <c r="D4341" s="44">
        <v>45896</v>
      </c>
      <c r="E4341" s="45">
        <v>107.2</v>
      </c>
    </row>
    <row r="4342" spans="2:5">
      <c r="B4342" s="43" t="s">
        <v>8</v>
      </c>
      <c r="C4342" s="43" t="s">
        <v>9</v>
      </c>
      <c r="D4342" s="44">
        <v>45896</v>
      </c>
      <c r="E4342" s="45">
        <v>243.6</v>
      </c>
    </row>
    <row r="4343" spans="2:5">
      <c r="B4343" s="43" t="s">
        <v>44</v>
      </c>
      <c r="C4343" s="43" t="s">
        <v>45</v>
      </c>
      <c r="D4343" s="44">
        <v>45896</v>
      </c>
      <c r="E4343" s="45">
        <v>8.5</v>
      </c>
    </row>
    <row r="4344" spans="2:5">
      <c r="B4344" s="43" t="s">
        <v>46</v>
      </c>
      <c r="C4344" s="43" t="s">
        <v>47</v>
      </c>
      <c r="D4344" s="44">
        <v>45896</v>
      </c>
      <c r="E4344" s="45">
        <v>689.3</v>
      </c>
    </row>
    <row r="4345" spans="2:5">
      <c r="B4345" s="43" t="s">
        <v>206</v>
      </c>
      <c r="C4345" s="43" t="s">
        <v>207</v>
      </c>
      <c r="D4345" s="44">
        <v>45896</v>
      </c>
      <c r="E4345" s="45">
        <v>101</v>
      </c>
    </row>
    <row r="4346" spans="2:5">
      <c r="B4346" s="43" t="s">
        <v>12</v>
      </c>
      <c r="C4346" s="43" t="s">
        <v>13</v>
      </c>
      <c r="D4346" s="44">
        <v>45896</v>
      </c>
      <c r="E4346" s="45">
        <v>538.2</v>
      </c>
    </row>
    <row r="4347" spans="2:5">
      <c r="B4347" s="43" t="s">
        <v>114</v>
      </c>
      <c r="C4347" s="43" t="s">
        <v>115</v>
      </c>
      <c r="D4347" s="44">
        <v>45896</v>
      </c>
      <c r="E4347" s="45">
        <v>26.6</v>
      </c>
    </row>
    <row r="4348" spans="2:5">
      <c r="B4348" s="43" t="s">
        <v>56</v>
      </c>
      <c r="C4348" s="43" t="s">
        <v>57</v>
      </c>
      <c r="D4348" s="44">
        <v>45896</v>
      </c>
      <c r="E4348" s="45">
        <v>362</v>
      </c>
    </row>
    <row r="4349" spans="2:5">
      <c r="B4349" s="43" t="s">
        <v>76</v>
      </c>
      <c r="C4349" s="43" t="s">
        <v>77</v>
      </c>
      <c r="D4349" s="44">
        <v>45896</v>
      </c>
      <c r="E4349" s="45">
        <v>635.4</v>
      </c>
    </row>
    <row r="4350" spans="2:5">
      <c r="B4350" s="43" t="s">
        <v>200</v>
      </c>
      <c r="C4350" s="43" t="s">
        <v>201</v>
      </c>
      <c r="D4350" s="44">
        <v>45896</v>
      </c>
      <c r="E4350" s="45">
        <v>467.5</v>
      </c>
    </row>
    <row r="4351" spans="2:5">
      <c r="B4351" s="43" t="s">
        <v>20</v>
      </c>
      <c r="C4351" s="43" t="s">
        <v>21</v>
      </c>
      <c r="D4351" s="44">
        <v>45896</v>
      </c>
      <c r="E4351" s="45">
        <v>235.2</v>
      </c>
    </row>
    <row r="4352" spans="2:5">
      <c r="B4352" s="43" t="s">
        <v>22</v>
      </c>
      <c r="C4352" s="43" t="s">
        <v>23</v>
      </c>
      <c r="D4352" s="44">
        <v>45896</v>
      </c>
      <c r="E4352" s="45">
        <v>67.2</v>
      </c>
    </row>
    <row r="4353" spans="2:5">
      <c r="B4353" s="43" t="s">
        <v>24</v>
      </c>
      <c r="C4353" s="43" t="s">
        <v>25</v>
      </c>
      <c r="D4353" s="44">
        <v>45896</v>
      </c>
      <c r="E4353" s="45">
        <v>1256.1</v>
      </c>
    </row>
    <row r="4354" spans="2:5">
      <c r="B4354" s="43" t="s">
        <v>26</v>
      </c>
      <c r="C4354" s="43" t="s">
        <v>27</v>
      </c>
      <c r="D4354" s="44">
        <v>45896</v>
      </c>
      <c r="E4354" s="45">
        <v>435.4</v>
      </c>
    </row>
    <row r="4355" spans="2:5">
      <c r="B4355" s="43" t="s">
        <v>28</v>
      </c>
      <c r="C4355" s="43" t="s">
        <v>29</v>
      </c>
      <c r="D4355" s="44">
        <v>45896</v>
      </c>
      <c r="E4355" s="45">
        <v>608.6</v>
      </c>
    </row>
    <row r="4356" spans="2:5">
      <c r="B4356" s="43" t="s">
        <v>62</v>
      </c>
      <c r="C4356" s="43" t="s">
        <v>63</v>
      </c>
      <c r="D4356" s="44">
        <v>45896</v>
      </c>
      <c r="E4356" s="45">
        <v>1599</v>
      </c>
    </row>
    <row r="4357" spans="2:5">
      <c r="B4357" s="43" t="s">
        <v>64</v>
      </c>
      <c r="C4357" s="43" t="s">
        <v>65</v>
      </c>
      <c r="D4357" s="44">
        <v>45896</v>
      </c>
      <c r="E4357" s="45">
        <v>1800</v>
      </c>
    </row>
    <row r="4358" spans="2:5">
      <c r="B4358" s="43" t="s">
        <v>132</v>
      </c>
      <c r="C4358" s="43" t="s">
        <v>133</v>
      </c>
      <c r="D4358" s="44">
        <v>45896</v>
      </c>
      <c r="E4358" s="45">
        <v>30.9</v>
      </c>
    </row>
    <row r="4359" spans="2:5">
      <c r="B4359" s="43" t="s">
        <v>96</v>
      </c>
      <c r="C4359" s="43" t="s">
        <v>97</v>
      </c>
      <c r="D4359" s="44">
        <v>45896</v>
      </c>
      <c r="E4359" s="45">
        <v>149</v>
      </c>
    </row>
    <row r="4360" spans="2:5">
      <c r="B4360" s="43" t="s">
        <v>32</v>
      </c>
      <c r="C4360" s="43" t="s">
        <v>33</v>
      </c>
      <c r="D4360" s="44">
        <v>45896</v>
      </c>
      <c r="E4360" s="45">
        <v>8</v>
      </c>
    </row>
    <row r="4361" spans="2:5">
      <c r="B4361" s="43" t="s">
        <v>170</v>
      </c>
      <c r="C4361" s="43" t="s">
        <v>171</v>
      </c>
      <c r="D4361" s="44">
        <v>45896</v>
      </c>
      <c r="E4361" s="45">
        <v>4</v>
      </c>
    </row>
    <row r="4362" spans="2:5">
      <c r="B4362" s="43" t="s">
        <v>8</v>
      </c>
      <c r="C4362" s="43" t="s">
        <v>9</v>
      </c>
      <c r="D4362" s="44">
        <v>45897</v>
      </c>
      <c r="E4362" s="45">
        <v>87</v>
      </c>
    </row>
    <row r="4363" spans="2:5">
      <c r="B4363" s="43" t="s">
        <v>46</v>
      </c>
      <c r="C4363" s="43" t="s">
        <v>47</v>
      </c>
      <c r="D4363" s="44">
        <v>45897</v>
      </c>
      <c r="E4363" s="45">
        <v>79.1</v>
      </c>
    </row>
    <row r="4364" spans="2:5">
      <c r="B4364" s="43" t="s">
        <v>10</v>
      </c>
      <c r="C4364" s="43" t="s">
        <v>11</v>
      </c>
      <c r="D4364" s="44">
        <v>45897</v>
      </c>
      <c r="E4364" s="45">
        <v>55.25</v>
      </c>
    </row>
    <row r="4365" spans="2:5">
      <c r="B4365" s="43" t="s">
        <v>12</v>
      </c>
      <c r="C4365" s="43" t="s">
        <v>13</v>
      </c>
      <c r="D4365" s="44">
        <v>45897</v>
      </c>
      <c r="E4365" s="45">
        <v>55.2</v>
      </c>
    </row>
    <row r="4366" spans="2:5">
      <c r="B4366" s="43" t="s">
        <v>108</v>
      </c>
      <c r="C4366" s="43" t="s">
        <v>109</v>
      </c>
      <c r="D4366" s="44">
        <v>45897</v>
      </c>
      <c r="E4366" s="45">
        <v>155</v>
      </c>
    </row>
    <row r="4367" spans="2:5">
      <c r="B4367" s="43" t="s">
        <v>14</v>
      </c>
      <c r="C4367" s="43" t="s">
        <v>15</v>
      </c>
      <c r="D4367" s="44">
        <v>45897</v>
      </c>
      <c r="E4367" s="45">
        <v>81</v>
      </c>
    </row>
    <row r="4368" spans="2:5">
      <c r="B4368" s="43" t="s">
        <v>50</v>
      </c>
      <c r="C4368" s="43" t="s">
        <v>51</v>
      </c>
      <c r="D4368" s="44">
        <v>45897</v>
      </c>
      <c r="E4368" s="45">
        <v>911.2</v>
      </c>
    </row>
    <row r="4369" spans="2:5">
      <c r="B4369" s="43" t="s">
        <v>144</v>
      </c>
      <c r="C4369" s="43" t="s">
        <v>145</v>
      </c>
      <c r="D4369" s="44">
        <v>45897</v>
      </c>
      <c r="E4369" s="45">
        <v>356.4</v>
      </c>
    </row>
    <row r="4370" spans="2:5">
      <c r="B4370" s="43" t="s">
        <v>56</v>
      </c>
      <c r="C4370" s="43" t="s">
        <v>57</v>
      </c>
      <c r="D4370" s="44">
        <v>45897</v>
      </c>
      <c r="E4370" s="45">
        <v>343.9</v>
      </c>
    </row>
    <row r="4371" spans="2:5">
      <c r="B4371" s="43" t="s">
        <v>162</v>
      </c>
      <c r="C4371" s="43" t="s">
        <v>163</v>
      </c>
      <c r="D4371" s="44">
        <v>45897</v>
      </c>
      <c r="E4371" s="45">
        <v>343.4</v>
      </c>
    </row>
    <row r="4372" spans="2:5">
      <c r="B4372" s="43" t="s">
        <v>126</v>
      </c>
      <c r="C4372" s="43" t="s">
        <v>127</v>
      </c>
      <c r="D4372" s="44">
        <v>45897</v>
      </c>
      <c r="E4372" s="45">
        <v>1132.8</v>
      </c>
    </row>
    <row r="4373" spans="2:5">
      <c r="B4373" s="43" t="s">
        <v>20</v>
      </c>
      <c r="C4373" s="43" t="s">
        <v>21</v>
      </c>
      <c r="D4373" s="44">
        <v>45897</v>
      </c>
      <c r="E4373" s="45">
        <v>117.6</v>
      </c>
    </row>
    <row r="4374" spans="2:5">
      <c r="B4374" s="43" t="s">
        <v>22</v>
      </c>
      <c r="C4374" s="43" t="s">
        <v>23</v>
      </c>
      <c r="D4374" s="44">
        <v>45897</v>
      </c>
      <c r="E4374" s="45">
        <v>76.8</v>
      </c>
    </row>
    <row r="4375" spans="2:5">
      <c r="B4375" s="43" t="s">
        <v>80</v>
      </c>
      <c r="C4375" s="43" t="s">
        <v>81</v>
      </c>
      <c r="D4375" s="44">
        <v>45897</v>
      </c>
      <c r="E4375" s="45">
        <v>1076.25</v>
      </c>
    </row>
    <row r="4376" spans="2:5">
      <c r="B4376" s="43" t="s">
        <v>24</v>
      </c>
      <c r="C4376" s="43" t="s">
        <v>25</v>
      </c>
      <c r="D4376" s="44">
        <v>45897</v>
      </c>
      <c r="E4376" s="45">
        <v>1446.9</v>
      </c>
    </row>
    <row r="4377" spans="2:5">
      <c r="B4377" s="43" t="s">
        <v>26</v>
      </c>
      <c r="C4377" s="43" t="s">
        <v>27</v>
      </c>
      <c r="D4377" s="44">
        <v>45897</v>
      </c>
      <c r="E4377" s="45">
        <v>622</v>
      </c>
    </row>
    <row r="4378" spans="2:5">
      <c r="B4378" s="43" t="s">
        <v>122</v>
      </c>
      <c r="C4378" s="43" t="s">
        <v>123</v>
      </c>
      <c r="D4378" s="44">
        <v>45897</v>
      </c>
      <c r="E4378" s="45">
        <v>60.4</v>
      </c>
    </row>
    <row r="4379" spans="2:5">
      <c r="B4379" s="43" t="s">
        <v>62</v>
      </c>
      <c r="C4379" s="43" t="s">
        <v>63</v>
      </c>
      <c r="D4379" s="44">
        <v>45897</v>
      </c>
      <c r="E4379" s="45">
        <v>1209.5</v>
      </c>
    </row>
    <row r="4380" spans="2:5">
      <c r="B4380" s="43" t="s">
        <v>64</v>
      </c>
      <c r="C4380" s="43" t="s">
        <v>65</v>
      </c>
      <c r="D4380" s="44">
        <v>45897</v>
      </c>
      <c r="E4380" s="45">
        <v>260</v>
      </c>
    </row>
    <row r="4381" spans="2:5">
      <c r="B4381" s="43" t="s">
        <v>198</v>
      </c>
      <c r="C4381" s="43" t="s">
        <v>199</v>
      </c>
      <c r="D4381" s="44">
        <v>45897</v>
      </c>
      <c r="E4381" s="45">
        <v>415.8</v>
      </c>
    </row>
    <row r="4382" spans="2:5">
      <c r="B4382" s="43" t="s">
        <v>172</v>
      </c>
      <c r="C4382" s="43" t="s">
        <v>173</v>
      </c>
      <c r="D4382" s="44">
        <v>45897</v>
      </c>
      <c r="E4382" s="45">
        <v>67.65</v>
      </c>
    </row>
    <row r="4383" spans="2:5">
      <c r="B4383" s="43" t="s">
        <v>84</v>
      </c>
      <c r="C4383" s="43" t="s">
        <v>85</v>
      </c>
      <c r="D4383" s="44">
        <v>45897</v>
      </c>
      <c r="E4383" s="45">
        <v>4291.4</v>
      </c>
    </row>
    <row r="4384" spans="2:5">
      <c r="B4384" s="43" t="s">
        <v>66</v>
      </c>
      <c r="C4384" s="43" t="s">
        <v>67</v>
      </c>
      <c r="D4384" s="44">
        <v>45897</v>
      </c>
      <c r="E4384" s="45">
        <v>27.7</v>
      </c>
    </row>
    <row r="4385" spans="2:5">
      <c r="B4385" s="43" t="s">
        <v>68</v>
      </c>
      <c r="C4385" s="43" t="s">
        <v>69</v>
      </c>
      <c r="D4385" s="44">
        <v>45897</v>
      </c>
      <c r="E4385" s="45">
        <v>359</v>
      </c>
    </row>
    <row r="4386" spans="2:5">
      <c r="B4386" s="43" t="s">
        <v>106</v>
      </c>
      <c r="C4386" s="43" t="s">
        <v>107</v>
      </c>
      <c r="D4386" s="44">
        <v>45897</v>
      </c>
      <c r="E4386" s="45">
        <v>7.7</v>
      </c>
    </row>
    <row r="4387" spans="2:5">
      <c r="B4387" s="43" t="s">
        <v>96</v>
      </c>
      <c r="C4387" s="43" t="s">
        <v>97</v>
      </c>
      <c r="D4387" s="44">
        <v>45897</v>
      </c>
      <c r="E4387" s="45">
        <v>14</v>
      </c>
    </row>
    <row r="4388" spans="2:5">
      <c r="B4388" s="43" t="s">
        <v>224</v>
      </c>
      <c r="C4388" s="43" t="s">
        <v>225</v>
      </c>
      <c r="D4388" s="44">
        <v>45897</v>
      </c>
      <c r="E4388" s="45">
        <v>23</v>
      </c>
    </row>
    <row r="4389" spans="2:5">
      <c r="B4389" s="43" t="s">
        <v>32</v>
      </c>
      <c r="C4389" s="43" t="s">
        <v>33</v>
      </c>
      <c r="D4389" s="44">
        <v>45897</v>
      </c>
      <c r="E4389" s="45">
        <v>1</v>
      </c>
    </row>
    <row r="4390" spans="2:5">
      <c r="B4390" s="43" t="s">
        <v>38</v>
      </c>
      <c r="C4390" s="43" t="s">
        <v>39</v>
      </c>
      <c r="D4390" s="44">
        <v>45897</v>
      </c>
      <c r="E4390" s="45">
        <v>24</v>
      </c>
    </row>
    <row r="4391" spans="2:5">
      <c r="B4391" s="43" t="s">
        <v>4</v>
      </c>
      <c r="C4391" s="43" t="s">
        <v>5</v>
      </c>
      <c r="D4391" s="44">
        <v>45898</v>
      </c>
      <c r="E4391" s="45">
        <v>26.8</v>
      </c>
    </row>
    <row r="4392" spans="2:5">
      <c r="B4392" s="43" t="s">
        <v>156</v>
      </c>
      <c r="C4392" s="43" t="s">
        <v>157</v>
      </c>
      <c r="D4392" s="44">
        <v>45898</v>
      </c>
      <c r="E4392" s="45">
        <v>195</v>
      </c>
    </row>
    <row r="4393" spans="2:5">
      <c r="B4393" s="43" t="s">
        <v>8</v>
      </c>
      <c r="C4393" s="43" t="s">
        <v>9</v>
      </c>
      <c r="D4393" s="44">
        <v>45898</v>
      </c>
      <c r="E4393" s="45">
        <v>8.7</v>
      </c>
    </row>
    <row r="4394" spans="2:5">
      <c r="B4394" s="43" t="s">
        <v>44</v>
      </c>
      <c r="C4394" s="43" t="s">
        <v>45</v>
      </c>
      <c r="D4394" s="44">
        <v>45898</v>
      </c>
      <c r="E4394" s="45">
        <v>110.5</v>
      </c>
    </row>
    <row r="4395" spans="2:5">
      <c r="B4395" s="43" t="s">
        <v>46</v>
      </c>
      <c r="C4395" s="43" t="s">
        <v>47</v>
      </c>
      <c r="D4395" s="44">
        <v>45898</v>
      </c>
      <c r="E4395" s="45">
        <v>192.1</v>
      </c>
    </row>
    <row r="4396" spans="2:5">
      <c r="B4396" s="43" t="s">
        <v>10</v>
      </c>
      <c r="C4396" s="43" t="s">
        <v>11</v>
      </c>
      <c r="D4396" s="44">
        <v>45898</v>
      </c>
      <c r="E4396" s="45">
        <v>221</v>
      </c>
    </row>
    <row r="4397" spans="2:5">
      <c r="B4397" s="43" t="s">
        <v>206</v>
      </c>
      <c r="C4397" s="43" t="s">
        <v>207</v>
      </c>
      <c r="D4397" s="44">
        <v>45898</v>
      </c>
      <c r="E4397" s="45">
        <v>20.2</v>
      </c>
    </row>
    <row r="4398" spans="2:5">
      <c r="B4398" s="43" t="s">
        <v>12</v>
      </c>
      <c r="C4398" s="43" t="s">
        <v>13</v>
      </c>
      <c r="D4398" s="44">
        <v>45898</v>
      </c>
      <c r="E4398" s="45">
        <v>441.6</v>
      </c>
    </row>
    <row r="4399" spans="2:5">
      <c r="B4399" s="43" t="s">
        <v>178</v>
      </c>
      <c r="C4399" s="43" t="s">
        <v>179</v>
      </c>
      <c r="D4399" s="44">
        <v>45898</v>
      </c>
      <c r="E4399" s="45">
        <v>180</v>
      </c>
    </row>
    <row r="4400" spans="2:5">
      <c r="B4400" s="43" t="s">
        <v>14</v>
      </c>
      <c r="C4400" s="43" t="s">
        <v>15</v>
      </c>
      <c r="D4400" s="44">
        <v>45898</v>
      </c>
      <c r="E4400" s="45">
        <v>337.5</v>
      </c>
    </row>
    <row r="4401" spans="2:5">
      <c r="B4401" s="43" t="s">
        <v>56</v>
      </c>
      <c r="C4401" s="43" t="s">
        <v>57</v>
      </c>
      <c r="D4401" s="44">
        <v>45898</v>
      </c>
      <c r="E4401" s="45">
        <v>126.7</v>
      </c>
    </row>
    <row r="4402" spans="2:5">
      <c r="B4402" s="43" t="s">
        <v>126</v>
      </c>
      <c r="C4402" s="43" t="s">
        <v>127</v>
      </c>
      <c r="D4402" s="44">
        <v>45898</v>
      </c>
      <c r="E4402" s="45">
        <v>236</v>
      </c>
    </row>
    <row r="4403" spans="2:5">
      <c r="B4403" s="43" t="s">
        <v>176</v>
      </c>
      <c r="C4403" s="43" t="s">
        <v>177</v>
      </c>
      <c r="D4403" s="44">
        <v>45898</v>
      </c>
      <c r="E4403" s="45">
        <v>810</v>
      </c>
    </row>
    <row r="4404" spans="2:5">
      <c r="B4404" s="43" t="s">
        <v>188</v>
      </c>
      <c r="C4404" s="43" t="s">
        <v>189</v>
      </c>
      <c r="D4404" s="44">
        <v>45898</v>
      </c>
      <c r="E4404" s="45">
        <v>115.5</v>
      </c>
    </row>
    <row r="4405" spans="2:5">
      <c r="B4405" s="43" t="s">
        <v>128</v>
      </c>
      <c r="C4405" s="43" t="s">
        <v>129</v>
      </c>
      <c r="D4405" s="44">
        <v>45898</v>
      </c>
      <c r="E4405" s="45">
        <v>208.6</v>
      </c>
    </row>
    <row r="4406" spans="2:5">
      <c r="B4406" s="43" t="s">
        <v>18</v>
      </c>
      <c r="C4406" s="43" t="s">
        <v>19</v>
      </c>
      <c r="D4406" s="44">
        <v>45898</v>
      </c>
      <c r="E4406" s="45">
        <v>22.25</v>
      </c>
    </row>
    <row r="4407" spans="2:5">
      <c r="B4407" s="43" t="s">
        <v>200</v>
      </c>
      <c r="C4407" s="43" t="s">
        <v>201</v>
      </c>
      <c r="D4407" s="44">
        <v>45898</v>
      </c>
      <c r="E4407" s="45">
        <v>55</v>
      </c>
    </row>
    <row r="4408" spans="2:5">
      <c r="B4408" s="43" t="s">
        <v>192</v>
      </c>
      <c r="C4408" s="43" t="s">
        <v>193</v>
      </c>
      <c r="D4408" s="44">
        <v>45898</v>
      </c>
      <c r="E4408" s="45">
        <v>61.6</v>
      </c>
    </row>
    <row r="4409" spans="2:5">
      <c r="B4409" s="43" t="s">
        <v>78</v>
      </c>
      <c r="C4409" s="43" t="s">
        <v>79</v>
      </c>
      <c r="D4409" s="44">
        <v>45898</v>
      </c>
      <c r="E4409" s="45">
        <v>309.75</v>
      </c>
    </row>
    <row r="4410" spans="2:5">
      <c r="B4410" s="43" t="s">
        <v>20</v>
      </c>
      <c r="C4410" s="43" t="s">
        <v>21</v>
      </c>
      <c r="D4410" s="44">
        <v>45898</v>
      </c>
      <c r="E4410" s="45">
        <v>196</v>
      </c>
    </row>
    <row r="4411" spans="2:5">
      <c r="B4411" s="43" t="s">
        <v>22</v>
      </c>
      <c r="C4411" s="43" t="s">
        <v>23</v>
      </c>
      <c r="D4411" s="44">
        <v>45898</v>
      </c>
      <c r="E4411" s="45">
        <v>67.2</v>
      </c>
    </row>
    <row r="4412" spans="2:5">
      <c r="B4412" s="43" t="s">
        <v>80</v>
      </c>
      <c r="C4412" s="43" t="s">
        <v>81</v>
      </c>
      <c r="D4412" s="44">
        <v>45898</v>
      </c>
      <c r="E4412" s="45">
        <v>330.05</v>
      </c>
    </row>
    <row r="4413" spans="2:5">
      <c r="B4413" s="43" t="s">
        <v>24</v>
      </c>
      <c r="C4413" s="43" t="s">
        <v>25</v>
      </c>
      <c r="D4413" s="44">
        <v>45898</v>
      </c>
      <c r="E4413" s="45">
        <v>2082.9</v>
      </c>
    </row>
    <row r="4414" spans="2:5">
      <c r="B4414" s="43" t="s">
        <v>26</v>
      </c>
      <c r="C4414" s="43" t="s">
        <v>27</v>
      </c>
      <c r="D4414" s="44">
        <v>45898</v>
      </c>
      <c r="E4414" s="45">
        <v>933</v>
      </c>
    </row>
    <row r="4415" spans="2:5">
      <c r="B4415" s="43" t="s">
        <v>60</v>
      </c>
      <c r="C4415" s="43" t="s">
        <v>61</v>
      </c>
      <c r="D4415" s="44">
        <v>45898</v>
      </c>
      <c r="E4415" s="45">
        <v>366</v>
      </c>
    </row>
    <row r="4416" spans="2:5">
      <c r="B4416" s="43" t="s">
        <v>28</v>
      </c>
      <c r="C4416" s="43" t="s">
        <v>29</v>
      </c>
      <c r="D4416" s="44">
        <v>45898</v>
      </c>
      <c r="E4416" s="45">
        <v>751.8</v>
      </c>
    </row>
    <row r="4417" spans="2:5">
      <c r="B4417" s="43" t="s">
        <v>62</v>
      </c>
      <c r="C4417" s="43" t="s">
        <v>63</v>
      </c>
      <c r="D4417" s="44">
        <v>45898</v>
      </c>
      <c r="E4417" s="45">
        <v>410</v>
      </c>
    </row>
    <row r="4418" spans="2:5">
      <c r="B4418" s="43" t="s">
        <v>64</v>
      </c>
      <c r="C4418" s="43" t="s">
        <v>65</v>
      </c>
      <c r="D4418" s="44">
        <v>45898</v>
      </c>
      <c r="E4418" s="45">
        <v>1260</v>
      </c>
    </row>
    <row r="4419" spans="2:5">
      <c r="B4419" s="43" t="s">
        <v>66</v>
      </c>
      <c r="C4419" s="43" t="s">
        <v>67</v>
      </c>
      <c r="D4419" s="44">
        <v>45898</v>
      </c>
      <c r="E4419" s="45">
        <v>193.9</v>
      </c>
    </row>
    <row r="4420" spans="2:5">
      <c r="B4420" s="43" t="s">
        <v>150</v>
      </c>
      <c r="C4420" s="43" t="s">
        <v>151</v>
      </c>
      <c r="D4420" s="44">
        <v>45898</v>
      </c>
      <c r="E4420" s="45">
        <v>405.75</v>
      </c>
    </row>
    <row r="4421" spans="2:5">
      <c r="B4421" s="43" t="s">
        <v>142</v>
      </c>
      <c r="C4421" s="43" t="s">
        <v>143</v>
      </c>
      <c r="D4421" s="44">
        <v>45898</v>
      </c>
      <c r="E4421" s="45">
        <v>10</v>
      </c>
    </row>
    <row r="4422" spans="2:5">
      <c r="B4422" s="43" t="s">
        <v>96</v>
      </c>
      <c r="C4422" s="43" t="s">
        <v>97</v>
      </c>
      <c r="D4422" s="44">
        <v>45898</v>
      </c>
      <c r="E4422" s="45">
        <v>64</v>
      </c>
    </row>
    <row r="4423" spans="2:5">
      <c r="B4423" s="43" t="s">
        <v>32</v>
      </c>
      <c r="C4423" s="43" t="s">
        <v>33</v>
      </c>
      <c r="D4423" s="44">
        <v>45898</v>
      </c>
      <c r="E4423" s="45">
        <v>29</v>
      </c>
    </row>
    <row r="4424" spans="2:5">
      <c r="B4424" s="43" t="s">
        <v>160</v>
      </c>
      <c r="C4424" s="43" t="s">
        <v>161</v>
      </c>
      <c r="D4424" s="44">
        <v>45898</v>
      </c>
      <c r="E4424" s="45">
        <v>13</v>
      </c>
    </row>
    <row r="4425" spans="2:5">
      <c r="B4425" s="43" t="s">
        <v>36</v>
      </c>
      <c r="C4425" s="43" t="s">
        <v>37</v>
      </c>
      <c r="D4425" s="44">
        <v>45898</v>
      </c>
      <c r="E4425" s="45">
        <v>5</v>
      </c>
    </row>
    <row r="4426" spans="2:5">
      <c r="B4426" s="43" t="s">
        <v>42</v>
      </c>
      <c r="C4426" s="43" t="s">
        <v>43</v>
      </c>
      <c r="D4426" s="44">
        <v>45901</v>
      </c>
      <c r="E4426" s="45">
        <v>96.8</v>
      </c>
    </row>
    <row r="4427" spans="2:5">
      <c r="B4427" s="43" t="s">
        <v>156</v>
      </c>
      <c r="C4427" s="43" t="s">
        <v>157</v>
      </c>
      <c r="D4427" s="44">
        <v>45901</v>
      </c>
      <c r="E4427" s="45">
        <v>304.2</v>
      </c>
    </row>
    <row r="4428" spans="2:5">
      <c r="B4428" s="43" t="s">
        <v>8</v>
      </c>
      <c r="C4428" s="43" t="s">
        <v>9</v>
      </c>
      <c r="D4428" s="44">
        <v>45901</v>
      </c>
      <c r="E4428" s="45">
        <v>52.2</v>
      </c>
    </row>
    <row r="4429" spans="2:5">
      <c r="B4429" s="43" t="s">
        <v>46</v>
      </c>
      <c r="C4429" s="43" t="s">
        <v>47</v>
      </c>
      <c r="D4429" s="44">
        <v>45901</v>
      </c>
      <c r="E4429" s="45">
        <v>226</v>
      </c>
    </row>
    <row r="4430" spans="2:5">
      <c r="B4430" s="43" t="s">
        <v>74</v>
      </c>
      <c r="C4430" s="43" t="s">
        <v>75</v>
      </c>
      <c r="D4430" s="44">
        <v>45901</v>
      </c>
      <c r="E4430" s="45">
        <v>74.7</v>
      </c>
    </row>
    <row r="4431" spans="2:5">
      <c r="B4431" s="43" t="s">
        <v>12</v>
      </c>
      <c r="C4431" s="43" t="s">
        <v>13</v>
      </c>
      <c r="D4431" s="44">
        <v>45901</v>
      </c>
      <c r="E4431" s="45">
        <v>717.6</v>
      </c>
    </row>
    <row r="4432" spans="2:5">
      <c r="B4432" s="43" t="s">
        <v>176</v>
      </c>
      <c r="C4432" s="43" t="s">
        <v>177</v>
      </c>
      <c r="D4432" s="44">
        <v>45901</v>
      </c>
      <c r="E4432" s="45">
        <v>121.5</v>
      </c>
    </row>
    <row r="4433" spans="2:5">
      <c r="B4433" s="43" t="s">
        <v>16</v>
      </c>
      <c r="C4433" s="43" t="s">
        <v>17</v>
      </c>
      <c r="D4433" s="44">
        <v>45901</v>
      </c>
      <c r="E4433" s="45">
        <v>364.8</v>
      </c>
    </row>
    <row r="4434" spans="2:5">
      <c r="B4434" s="43" t="s">
        <v>200</v>
      </c>
      <c r="C4434" s="43" t="s">
        <v>201</v>
      </c>
      <c r="D4434" s="44">
        <v>45901</v>
      </c>
      <c r="E4434" s="45">
        <v>27.5</v>
      </c>
    </row>
    <row r="4435" spans="2:5">
      <c r="B4435" s="43" t="s">
        <v>20</v>
      </c>
      <c r="C4435" s="43" t="s">
        <v>21</v>
      </c>
      <c r="D4435" s="44">
        <v>45901</v>
      </c>
      <c r="E4435" s="45">
        <v>107.8</v>
      </c>
    </row>
    <row r="4436" spans="2:5">
      <c r="B4436" s="43" t="s">
        <v>120</v>
      </c>
      <c r="C4436" s="43" t="s">
        <v>121</v>
      </c>
      <c r="D4436" s="44">
        <v>45901</v>
      </c>
      <c r="E4436" s="45">
        <v>7.6</v>
      </c>
    </row>
    <row r="4437" spans="2:5">
      <c r="B4437" s="43" t="s">
        <v>24</v>
      </c>
      <c r="C4437" s="43" t="s">
        <v>25</v>
      </c>
      <c r="D4437" s="44">
        <v>45901</v>
      </c>
      <c r="E4437" s="45">
        <v>1685.4</v>
      </c>
    </row>
    <row r="4438" spans="2:5">
      <c r="B4438" s="43" t="s">
        <v>26</v>
      </c>
      <c r="C4438" s="43" t="s">
        <v>27</v>
      </c>
      <c r="D4438" s="44">
        <v>45901</v>
      </c>
      <c r="E4438" s="45">
        <v>1663.85</v>
      </c>
    </row>
    <row r="4439" spans="2:5">
      <c r="B4439" s="43" t="s">
        <v>62</v>
      </c>
      <c r="C4439" s="43" t="s">
        <v>63</v>
      </c>
      <c r="D4439" s="44">
        <v>45901</v>
      </c>
      <c r="E4439" s="45">
        <v>246</v>
      </c>
    </row>
    <row r="4440" spans="2:5">
      <c r="B4440" s="43" t="s">
        <v>64</v>
      </c>
      <c r="C4440" s="43" t="s">
        <v>65</v>
      </c>
      <c r="D4440" s="44">
        <v>45901</v>
      </c>
      <c r="E4440" s="45">
        <v>480</v>
      </c>
    </row>
    <row r="4441" spans="2:5">
      <c r="B4441" s="43" t="s">
        <v>68</v>
      </c>
      <c r="C4441" s="43" t="s">
        <v>69</v>
      </c>
      <c r="D4441" s="44">
        <v>45901</v>
      </c>
      <c r="E4441" s="45">
        <v>287.2</v>
      </c>
    </row>
    <row r="4442" spans="2:5">
      <c r="B4442" s="43" t="s">
        <v>96</v>
      </c>
      <c r="C4442" s="43" t="s">
        <v>97</v>
      </c>
      <c r="D4442" s="44">
        <v>45901</v>
      </c>
      <c r="E4442" s="45">
        <v>13</v>
      </c>
    </row>
    <row r="4443" spans="2:5">
      <c r="B4443" s="43" t="s">
        <v>32</v>
      </c>
      <c r="C4443" s="43" t="s">
        <v>33</v>
      </c>
      <c r="D4443" s="44">
        <v>45901</v>
      </c>
      <c r="E4443" s="45">
        <v>5</v>
      </c>
    </row>
    <row r="4444" spans="2:5">
      <c r="B4444" s="43" t="s">
        <v>170</v>
      </c>
      <c r="C4444" s="43" t="s">
        <v>171</v>
      </c>
      <c r="D4444" s="44">
        <v>45901</v>
      </c>
      <c r="E4444" s="45">
        <v>1</v>
      </c>
    </row>
    <row r="4445" spans="2:5">
      <c r="B4445" s="43" t="s">
        <v>36</v>
      </c>
      <c r="C4445" s="43" t="s">
        <v>37</v>
      </c>
      <c r="D4445" s="44">
        <v>45901</v>
      </c>
      <c r="E4445" s="45">
        <v>2</v>
      </c>
    </row>
    <row r="4446" spans="2:5">
      <c r="B4446" s="43" t="s">
        <v>42</v>
      </c>
      <c r="C4446" s="43" t="s">
        <v>43</v>
      </c>
      <c r="D4446" s="44">
        <v>45902</v>
      </c>
      <c r="E4446" s="45">
        <v>30.25</v>
      </c>
    </row>
    <row r="4447" spans="2:5">
      <c r="B4447" s="43" t="s">
        <v>156</v>
      </c>
      <c r="C4447" s="43" t="s">
        <v>157</v>
      </c>
      <c r="D4447" s="44">
        <v>45902</v>
      </c>
      <c r="E4447" s="45">
        <v>46.8</v>
      </c>
    </row>
    <row r="4448" spans="2:5">
      <c r="B4448" s="43" t="s">
        <v>8</v>
      </c>
      <c r="C4448" s="43" t="s">
        <v>9</v>
      </c>
      <c r="D4448" s="44">
        <v>45902</v>
      </c>
      <c r="E4448" s="45">
        <v>43.5</v>
      </c>
    </row>
    <row r="4449" spans="2:5">
      <c r="B4449" s="43" t="s">
        <v>44</v>
      </c>
      <c r="C4449" s="43" t="s">
        <v>45</v>
      </c>
      <c r="D4449" s="44">
        <v>45902</v>
      </c>
      <c r="E4449" s="45">
        <v>8.5</v>
      </c>
    </row>
    <row r="4450" spans="2:5">
      <c r="B4450" s="43" t="s">
        <v>46</v>
      </c>
      <c r="C4450" s="43" t="s">
        <v>47</v>
      </c>
      <c r="D4450" s="44">
        <v>45902</v>
      </c>
      <c r="E4450" s="45">
        <v>384.1765</v>
      </c>
    </row>
    <row r="4451" spans="2:5">
      <c r="B4451" s="43" t="s">
        <v>10</v>
      </c>
      <c r="C4451" s="43" t="s">
        <v>11</v>
      </c>
      <c r="D4451" s="44">
        <v>45902</v>
      </c>
      <c r="E4451" s="45">
        <v>674.05</v>
      </c>
    </row>
    <row r="4452" spans="2:5">
      <c r="B4452" s="43" t="s">
        <v>206</v>
      </c>
      <c r="C4452" s="43" t="s">
        <v>207</v>
      </c>
      <c r="D4452" s="44">
        <v>45902</v>
      </c>
      <c r="E4452" s="45">
        <v>202</v>
      </c>
    </row>
    <row r="4453" spans="2:5">
      <c r="B4453" s="43" t="s">
        <v>12</v>
      </c>
      <c r="C4453" s="43" t="s">
        <v>13</v>
      </c>
      <c r="D4453" s="44">
        <v>45902</v>
      </c>
      <c r="E4453" s="45">
        <v>414</v>
      </c>
    </row>
    <row r="4454" spans="2:5">
      <c r="B4454" s="43" t="s">
        <v>14</v>
      </c>
      <c r="C4454" s="43" t="s">
        <v>15</v>
      </c>
      <c r="D4454" s="44">
        <v>45902</v>
      </c>
      <c r="E4454" s="45">
        <v>756</v>
      </c>
    </row>
    <row r="4455" spans="2:5">
      <c r="B4455" s="43" t="s">
        <v>114</v>
      </c>
      <c r="C4455" s="43" t="s">
        <v>115</v>
      </c>
      <c r="D4455" s="44">
        <v>45902</v>
      </c>
      <c r="E4455" s="45">
        <v>26.6</v>
      </c>
    </row>
    <row r="4456" spans="2:5">
      <c r="B4456" s="43" t="s">
        <v>138</v>
      </c>
      <c r="C4456" s="43" t="s">
        <v>139</v>
      </c>
      <c r="D4456" s="44">
        <v>45902</v>
      </c>
      <c r="E4456" s="45">
        <v>31.7</v>
      </c>
    </row>
    <row r="4457" spans="2:5">
      <c r="B4457" s="43" t="s">
        <v>176</v>
      </c>
      <c r="C4457" s="43" t="s">
        <v>177</v>
      </c>
      <c r="D4457" s="44">
        <v>45902</v>
      </c>
      <c r="E4457" s="45">
        <v>81</v>
      </c>
    </row>
    <row r="4458" spans="2:5">
      <c r="B4458" s="43" t="s">
        <v>152</v>
      </c>
      <c r="C4458" s="43" t="s">
        <v>153</v>
      </c>
      <c r="D4458" s="44">
        <v>45902</v>
      </c>
      <c r="E4458" s="45">
        <v>46.5</v>
      </c>
    </row>
    <row r="4459" spans="2:5">
      <c r="B4459" s="43" t="s">
        <v>18</v>
      </c>
      <c r="C4459" s="43" t="s">
        <v>19</v>
      </c>
      <c r="D4459" s="44">
        <v>45902</v>
      </c>
      <c r="E4459" s="45">
        <v>44.5</v>
      </c>
    </row>
    <row r="4460" spans="2:5">
      <c r="B4460" s="43" t="s">
        <v>20</v>
      </c>
      <c r="C4460" s="43" t="s">
        <v>21</v>
      </c>
      <c r="D4460" s="44">
        <v>45902</v>
      </c>
      <c r="E4460" s="45">
        <v>127.4</v>
      </c>
    </row>
    <row r="4461" spans="2:5">
      <c r="B4461" s="43" t="s">
        <v>22</v>
      </c>
      <c r="C4461" s="43" t="s">
        <v>23</v>
      </c>
      <c r="D4461" s="44">
        <v>45902</v>
      </c>
      <c r="E4461" s="45">
        <v>19.2</v>
      </c>
    </row>
    <row r="4462" spans="2:5">
      <c r="B4462" s="43" t="s">
        <v>80</v>
      </c>
      <c r="C4462" s="43" t="s">
        <v>81</v>
      </c>
      <c r="D4462" s="44">
        <v>45902</v>
      </c>
      <c r="E4462" s="45">
        <v>200.9</v>
      </c>
    </row>
    <row r="4463" spans="2:5">
      <c r="B4463" s="43" t="s">
        <v>24</v>
      </c>
      <c r="C4463" s="43" t="s">
        <v>25</v>
      </c>
      <c r="D4463" s="44">
        <v>45902</v>
      </c>
      <c r="E4463" s="45">
        <v>492.9</v>
      </c>
    </row>
    <row r="4464" spans="2:5">
      <c r="B4464" s="43" t="s">
        <v>26</v>
      </c>
      <c r="C4464" s="43" t="s">
        <v>27</v>
      </c>
      <c r="D4464" s="44">
        <v>45902</v>
      </c>
      <c r="E4464" s="45">
        <v>3421</v>
      </c>
    </row>
    <row r="4465" spans="2:5">
      <c r="B4465" s="43" t="s">
        <v>60</v>
      </c>
      <c r="C4465" s="43" t="s">
        <v>61</v>
      </c>
      <c r="D4465" s="44">
        <v>45902</v>
      </c>
      <c r="E4465" s="45">
        <v>146.4</v>
      </c>
    </row>
    <row r="4466" spans="2:5">
      <c r="B4466" s="43" t="s">
        <v>28</v>
      </c>
      <c r="C4466" s="43" t="s">
        <v>29</v>
      </c>
      <c r="D4466" s="44">
        <v>45902</v>
      </c>
      <c r="E4466" s="45">
        <v>125.3</v>
      </c>
    </row>
    <row r="4467" spans="2:5">
      <c r="B4467" s="43" t="s">
        <v>62</v>
      </c>
      <c r="C4467" s="43" t="s">
        <v>63</v>
      </c>
      <c r="D4467" s="44">
        <v>45902</v>
      </c>
      <c r="E4467" s="45">
        <v>410</v>
      </c>
    </row>
    <row r="4468" spans="2:5">
      <c r="B4468" s="43" t="s">
        <v>64</v>
      </c>
      <c r="C4468" s="43" t="s">
        <v>65</v>
      </c>
      <c r="D4468" s="44">
        <v>45902</v>
      </c>
      <c r="E4468" s="45">
        <v>80</v>
      </c>
    </row>
    <row r="4469" spans="2:5">
      <c r="B4469" s="43" t="s">
        <v>172</v>
      </c>
      <c r="C4469" s="43" t="s">
        <v>173</v>
      </c>
      <c r="D4469" s="44">
        <v>45902</v>
      </c>
      <c r="E4469" s="45">
        <v>22.55</v>
      </c>
    </row>
    <row r="4470" spans="2:5">
      <c r="B4470" s="43" t="s">
        <v>150</v>
      </c>
      <c r="C4470" s="43" t="s">
        <v>151</v>
      </c>
      <c r="D4470" s="44">
        <v>45902</v>
      </c>
      <c r="E4470" s="45">
        <v>432.8</v>
      </c>
    </row>
    <row r="4471" spans="2:5">
      <c r="B4471" s="43" t="s">
        <v>142</v>
      </c>
      <c r="C4471" s="43" t="s">
        <v>143</v>
      </c>
      <c r="D4471" s="44">
        <v>45902</v>
      </c>
      <c r="E4471" s="45">
        <v>1</v>
      </c>
    </row>
    <row r="4472" spans="2:5">
      <c r="B4472" s="43" t="s">
        <v>96</v>
      </c>
      <c r="C4472" s="43" t="s">
        <v>97</v>
      </c>
      <c r="D4472" s="44">
        <v>45902</v>
      </c>
      <c r="E4472" s="45">
        <v>90</v>
      </c>
    </row>
    <row r="4473" spans="2:5">
      <c r="B4473" s="43" t="s">
        <v>224</v>
      </c>
      <c r="C4473" s="43" t="s">
        <v>225</v>
      </c>
      <c r="D4473" s="44">
        <v>45902</v>
      </c>
      <c r="E4473" s="45">
        <v>1</v>
      </c>
    </row>
    <row r="4474" spans="2:5">
      <c r="B4474" s="43" t="s">
        <v>32</v>
      </c>
      <c r="C4474" s="43" t="s">
        <v>33</v>
      </c>
      <c r="D4474" s="44">
        <v>45902</v>
      </c>
      <c r="E4474" s="45">
        <v>8</v>
      </c>
    </row>
    <row r="4475" spans="2:5">
      <c r="B4475" s="43" t="s">
        <v>160</v>
      </c>
      <c r="C4475" s="43" t="s">
        <v>161</v>
      </c>
      <c r="D4475" s="44">
        <v>45902</v>
      </c>
      <c r="E4475" s="45">
        <v>4</v>
      </c>
    </row>
    <row r="4476" spans="2:5">
      <c r="B4476" s="43" t="s">
        <v>34</v>
      </c>
      <c r="C4476" s="43" t="s">
        <v>35</v>
      </c>
      <c r="D4476" s="44">
        <v>45902</v>
      </c>
      <c r="E4476" s="45">
        <v>1</v>
      </c>
    </row>
    <row r="4477" spans="2:5">
      <c r="B4477" s="43" t="s">
        <v>170</v>
      </c>
      <c r="C4477" s="43" t="s">
        <v>171</v>
      </c>
      <c r="D4477" s="44">
        <v>45902</v>
      </c>
      <c r="E4477" s="45">
        <v>3</v>
      </c>
    </row>
    <row r="4478" spans="2:5">
      <c r="B4478" s="43" t="s">
        <v>36</v>
      </c>
      <c r="C4478" s="43" t="s">
        <v>37</v>
      </c>
      <c r="D4478" s="44">
        <v>45902</v>
      </c>
      <c r="E4478" s="45">
        <v>7</v>
      </c>
    </row>
    <row r="4479" spans="2:5">
      <c r="B4479" s="43" t="s">
        <v>4</v>
      </c>
      <c r="C4479" s="43" t="s">
        <v>5</v>
      </c>
      <c r="D4479" s="44">
        <v>45903</v>
      </c>
      <c r="E4479" s="45">
        <v>26.8</v>
      </c>
    </row>
    <row r="4480" spans="2:5">
      <c r="B4480" s="43" t="s">
        <v>156</v>
      </c>
      <c r="C4480" s="43" t="s">
        <v>157</v>
      </c>
      <c r="D4480" s="44">
        <v>45903</v>
      </c>
      <c r="E4480" s="45">
        <v>15.6</v>
      </c>
    </row>
    <row r="4481" spans="2:5">
      <c r="B4481" s="43" t="s">
        <v>8</v>
      </c>
      <c r="C4481" s="43" t="s">
        <v>9</v>
      </c>
      <c r="D4481" s="44">
        <v>45903</v>
      </c>
      <c r="E4481" s="45">
        <v>182.7</v>
      </c>
    </row>
    <row r="4482" spans="2:5">
      <c r="B4482" s="43" t="s">
        <v>46</v>
      </c>
      <c r="C4482" s="43" t="s">
        <v>47</v>
      </c>
      <c r="D4482" s="44">
        <v>45903</v>
      </c>
      <c r="E4482" s="45">
        <v>327.7</v>
      </c>
    </row>
    <row r="4483" spans="2:5">
      <c r="B4483" s="43" t="s">
        <v>12</v>
      </c>
      <c r="C4483" s="43" t="s">
        <v>13</v>
      </c>
      <c r="D4483" s="44">
        <v>45903</v>
      </c>
      <c r="E4483" s="45">
        <v>441.6</v>
      </c>
    </row>
    <row r="4484" spans="2:5">
      <c r="B4484" s="43" t="s">
        <v>108</v>
      </c>
      <c r="C4484" s="43" t="s">
        <v>109</v>
      </c>
      <c r="D4484" s="44">
        <v>45903</v>
      </c>
      <c r="E4484" s="45">
        <v>62</v>
      </c>
    </row>
    <row r="4485" spans="2:5">
      <c r="B4485" s="43" t="s">
        <v>178</v>
      </c>
      <c r="C4485" s="43" t="s">
        <v>179</v>
      </c>
      <c r="D4485" s="44">
        <v>45903</v>
      </c>
      <c r="E4485" s="45">
        <v>36</v>
      </c>
    </row>
    <row r="4486" spans="2:5">
      <c r="B4486" s="43" t="s">
        <v>14</v>
      </c>
      <c r="C4486" s="43" t="s">
        <v>15</v>
      </c>
      <c r="D4486" s="44">
        <v>45903</v>
      </c>
      <c r="E4486" s="45">
        <v>162</v>
      </c>
    </row>
    <row r="4487" spans="2:5">
      <c r="B4487" s="43" t="s">
        <v>134</v>
      </c>
      <c r="C4487" s="43" t="s">
        <v>135</v>
      </c>
      <c r="D4487" s="44">
        <v>45903</v>
      </c>
      <c r="E4487" s="45">
        <v>600.25</v>
      </c>
    </row>
    <row r="4488" spans="2:5">
      <c r="B4488" s="43" t="s">
        <v>144</v>
      </c>
      <c r="C4488" s="43" t="s">
        <v>145</v>
      </c>
      <c r="D4488" s="44">
        <v>45903</v>
      </c>
      <c r="E4488" s="45">
        <v>307.8</v>
      </c>
    </row>
    <row r="4489" spans="2:5">
      <c r="B4489" s="43" t="s">
        <v>56</v>
      </c>
      <c r="C4489" s="43" t="s">
        <v>57</v>
      </c>
      <c r="D4489" s="44">
        <v>45903</v>
      </c>
      <c r="E4489" s="45">
        <v>760.2</v>
      </c>
    </row>
    <row r="4490" spans="2:5">
      <c r="B4490" s="43" t="s">
        <v>200</v>
      </c>
      <c r="C4490" s="43" t="s">
        <v>201</v>
      </c>
      <c r="D4490" s="44">
        <v>45903</v>
      </c>
      <c r="E4490" s="45">
        <v>27.5</v>
      </c>
    </row>
    <row r="4491" spans="2:5">
      <c r="B4491" s="43" t="s">
        <v>78</v>
      </c>
      <c r="C4491" s="43" t="s">
        <v>79</v>
      </c>
      <c r="D4491" s="44">
        <v>45903</v>
      </c>
      <c r="E4491" s="45">
        <v>17.7</v>
      </c>
    </row>
    <row r="4492" spans="2:5">
      <c r="B4492" s="43" t="s">
        <v>20</v>
      </c>
      <c r="C4492" s="43" t="s">
        <v>21</v>
      </c>
      <c r="D4492" s="44">
        <v>45903</v>
      </c>
      <c r="E4492" s="45">
        <v>480.2</v>
      </c>
    </row>
    <row r="4493" spans="2:5">
      <c r="B4493" s="43" t="s">
        <v>22</v>
      </c>
      <c r="C4493" s="43" t="s">
        <v>23</v>
      </c>
      <c r="D4493" s="44">
        <v>45903</v>
      </c>
      <c r="E4493" s="45">
        <v>19.2</v>
      </c>
    </row>
    <row r="4494" spans="2:5">
      <c r="B4494" s="43" t="s">
        <v>80</v>
      </c>
      <c r="C4494" s="43" t="s">
        <v>81</v>
      </c>
      <c r="D4494" s="44">
        <v>45903</v>
      </c>
      <c r="E4494" s="45">
        <v>530.95</v>
      </c>
    </row>
    <row r="4495" spans="2:5">
      <c r="B4495" s="43" t="s">
        <v>24</v>
      </c>
      <c r="C4495" s="43" t="s">
        <v>25</v>
      </c>
      <c r="D4495" s="44">
        <v>45903</v>
      </c>
      <c r="E4495" s="45">
        <v>1446.9</v>
      </c>
    </row>
    <row r="4496" spans="2:5">
      <c r="B4496" s="43" t="s">
        <v>58</v>
      </c>
      <c r="C4496" s="43" t="s">
        <v>59</v>
      </c>
      <c r="D4496" s="44">
        <v>45903</v>
      </c>
      <c r="E4496" s="45">
        <v>955.8</v>
      </c>
    </row>
    <row r="4497" spans="2:5">
      <c r="B4497" s="43" t="s">
        <v>26</v>
      </c>
      <c r="C4497" s="43" t="s">
        <v>27</v>
      </c>
      <c r="D4497" s="44">
        <v>45903</v>
      </c>
      <c r="E4497" s="45">
        <v>964.1</v>
      </c>
    </row>
    <row r="4498" spans="2:5">
      <c r="B4498" s="43" t="s">
        <v>28</v>
      </c>
      <c r="C4498" s="43" t="s">
        <v>29</v>
      </c>
      <c r="D4498" s="44">
        <v>45903</v>
      </c>
      <c r="E4498" s="45">
        <v>89.5</v>
      </c>
    </row>
    <row r="4499" spans="2:5">
      <c r="B4499" s="43" t="s">
        <v>62</v>
      </c>
      <c r="C4499" s="43" t="s">
        <v>63</v>
      </c>
      <c r="D4499" s="44">
        <v>45903</v>
      </c>
      <c r="E4499" s="45">
        <v>1025</v>
      </c>
    </row>
    <row r="4500" spans="2:5">
      <c r="B4500" s="43" t="s">
        <v>64</v>
      </c>
      <c r="C4500" s="43" t="s">
        <v>65</v>
      </c>
      <c r="D4500" s="44">
        <v>45903</v>
      </c>
      <c r="E4500" s="45">
        <v>140</v>
      </c>
    </row>
    <row r="4501" spans="2:5">
      <c r="B4501" s="43" t="s">
        <v>172</v>
      </c>
      <c r="C4501" s="43" t="s">
        <v>173</v>
      </c>
      <c r="D4501" s="44">
        <v>45903</v>
      </c>
      <c r="E4501" s="45">
        <v>112.75</v>
      </c>
    </row>
    <row r="4502" spans="2:5">
      <c r="B4502" s="43" t="s">
        <v>150</v>
      </c>
      <c r="C4502" s="43" t="s">
        <v>151</v>
      </c>
      <c r="D4502" s="44">
        <v>45903</v>
      </c>
      <c r="E4502" s="45">
        <v>135.25</v>
      </c>
    </row>
    <row r="4503" spans="2:5">
      <c r="B4503" s="43" t="s">
        <v>196</v>
      </c>
      <c r="C4503" s="43" t="s">
        <v>197</v>
      </c>
      <c r="D4503" s="44">
        <v>45903</v>
      </c>
      <c r="E4503" s="45">
        <v>3</v>
      </c>
    </row>
    <row r="4504" spans="2:5">
      <c r="B4504" s="43" t="s">
        <v>96</v>
      </c>
      <c r="C4504" s="43" t="s">
        <v>97</v>
      </c>
      <c r="D4504" s="44">
        <v>45903</v>
      </c>
      <c r="E4504" s="45">
        <v>12</v>
      </c>
    </row>
    <row r="4505" spans="2:5">
      <c r="B4505" s="43" t="s">
        <v>32</v>
      </c>
      <c r="C4505" s="43" t="s">
        <v>33</v>
      </c>
      <c r="D4505" s="44">
        <v>45903</v>
      </c>
      <c r="E4505" s="45">
        <v>3</v>
      </c>
    </row>
    <row r="4506" spans="2:5">
      <c r="B4506" s="43" t="s">
        <v>34</v>
      </c>
      <c r="C4506" s="43" t="s">
        <v>35</v>
      </c>
      <c r="D4506" s="44">
        <v>45903</v>
      </c>
      <c r="E4506" s="45">
        <v>8</v>
      </c>
    </row>
    <row r="4507" spans="2:5">
      <c r="B4507" s="43" t="s">
        <v>170</v>
      </c>
      <c r="C4507" s="43" t="s">
        <v>171</v>
      </c>
      <c r="D4507" s="44">
        <v>45903</v>
      </c>
      <c r="E4507" s="45">
        <v>3</v>
      </c>
    </row>
    <row r="4508" spans="2:5">
      <c r="B4508" s="43" t="s">
        <v>38</v>
      </c>
      <c r="C4508" s="43" t="s">
        <v>39</v>
      </c>
      <c r="D4508" s="44">
        <v>45903</v>
      </c>
      <c r="E4508" s="45">
        <v>55</v>
      </c>
    </row>
    <row r="4509" spans="2:5">
      <c r="B4509" s="43" t="s">
        <v>156</v>
      </c>
      <c r="C4509" s="43" t="s">
        <v>157</v>
      </c>
      <c r="D4509" s="44">
        <v>45904</v>
      </c>
      <c r="E4509" s="45">
        <v>405.6</v>
      </c>
    </row>
    <row r="4510" spans="2:5">
      <c r="B4510" s="43" t="s">
        <v>8</v>
      </c>
      <c r="C4510" s="43" t="s">
        <v>9</v>
      </c>
      <c r="D4510" s="44">
        <v>45904</v>
      </c>
      <c r="E4510" s="45">
        <v>17.4</v>
      </c>
    </row>
    <row r="4511" spans="2:5">
      <c r="B4511" s="43" t="s">
        <v>10</v>
      </c>
      <c r="C4511" s="43" t="s">
        <v>11</v>
      </c>
      <c r="D4511" s="44">
        <v>45904</v>
      </c>
      <c r="E4511" s="45">
        <v>154.7</v>
      </c>
    </row>
    <row r="4512" spans="2:5">
      <c r="B4512" s="43" t="s">
        <v>206</v>
      </c>
      <c r="C4512" s="43" t="s">
        <v>207</v>
      </c>
      <c r="D4512" s="44">
        <v>45904</v>
      </c>
      <c r="E4512" s="45">
        <v>565.6</v>
      </c>
    </row>
    <row r="4513" spans="2:5">
      <c r="B4513" s="43" t="s">
        <v>12</v>
      </c>
      <c r="C4513" s="43" t="s">
        <v>13</v>
      </c>
      <c r="D4513" s="44">
        <v>45904</v>
      </c>
      <c r="E4513" s="45">
        <v>13.8</v>
      </c>
    </row>
    <row r="4514" spans="2:5">
      <c r="B4514" s="43" t="s">
        <v>14</v>
      </c>
      <c r="C4514" s="43" t="s">
        <v>15</v>
      </c>
      <c r="D4514" s="44">
        <v>45904</v>
      </c>
      <c r="E4514" s="45">
        <v>621</v>
      </c>
    </row>
    <row r="4515" spans="2:5">
      <c r="B4515" s="43" t="s">
        <v>182</v>
      </c>
      <c r="C4515" s="43" t="s">
        <v>183</v>
      </c>
      <c r="D4515" s="44">
        <v>45904</v>
      </c>
      <c r="E4515" s="45">
        <v>844</v>
      </c>
    </row>
    <row r="4516" spans="2:5">
      <c r="B4516" s="43" t="s">
        <v>56</v>
      </c>
      <c r="C4516" s="43" t="s">
        <v>57</v>
      </c>
      <c r="D4516" s="44">
        <v>45904</v>
      </c>
      <c r="E4516" s="45">
        <v>36.2</v>
      </c>
    </row>
    <row r="4517" spans="2:5">
      <c r="B4517" s="43" t="s">
        <v>118</v>
      </c>
      <c r="C4517" s="43" t="s">
        <v>119</v>
      </c>
      <c r="D4517" s="44">
        <v>45904</v>
      </c>
      <c r="E4517" s="45">
        <v>516.8</v>
      </c>
    </row>
    <row r="4518" spans="2:5">
      <c r="B4518" s="43" t="s">
        <v>188</v>
      </c>
      <c r="C4518" s="43" t="s">
        <v>189</v>
      </c>
      <c r="D4518" s="44">
        <v>45904</v>
      </c>
      <c r="E4518" s="45">
        <v>23.1</v>
      </c>
    </row>
    <row r="4519" spans="2:5">
      <c r="B4519" s="43" t="s">
        <v>18</v>
      </c>
      <c r="C4519" s="43" t="s">
        <v>19</v>
      </c>
      <c r="D4519" s="44">
        <v>45904</v>
      </c>
      <c r="E4519" s="45">
        <v>89</v>
      </c>
    </row>
    <row r="4520" spans="2:5">
      <c r="B4520" s="43" t="s">
        <v>78</v>
      </c>
      <c r="C4520" s="43" t="s">
        <v>79</v>
      </c>
      <c r="D4520" s="44">
        <v>45904</v>
      </c>
      <c r="E4520" s="45">
        <v>354</v>
      </c>
    </row>
    <row r="4521" spans="2:5">
      <c r="B4521" s="43" t="s">
        <v>22</v>
      </c>
      <c r="C4521" s="43" t="s">
        <v>23</v>
      </c>
      <c r="D4521" s="44">
        <v>45904</v>
      </c>
      <c r="E4521" s="45">
        <v>48</v>
      </c>
    </row>
    <row r="4522" spans="2:5">
      <c r="B4522" s="43" t="s">
        <v>140</v>
      </c>
      <c r="C4522" s="43" t="s">
        <v>141</v>
      </c>
      <c r="D4522" s="44">
        <v>45904</v>
      </c>
      <c r="E4522" s="45">
        <v>928</v>
      </c>
    </row>
    <row r="4523" spans="2:5">
      <c r="B4523" s="43" t="s">
        <v>24</v>
      </c>
      <c r="C4523" s="43" t="s">
        <v>25</v>
      </c>
      <c r="D4523" s="44">
        <v>45904</v>
      </c>
      <c r="E4523" s="45">
        <v>604.2</v>
      </c>
    </row>
    <row r="4524" spans="2:5">
      <c r="B4524" s="43" t="s">
        <v>26</v>
      </c>
      <c r="C4524" s="43" t="s">
        <v>27</v>
      </c>
      <c r="D4524" s="44">
        <v>45904</v>
      </c>
      <c r="E4524" s="45">
        <v>357.65</v>
      </c>
    </row>
    <row r="4525" spans="2:5">
      <c r="B4525" s="43" t="s">
        <v>62</v>
      </c>
      <c r="C4525" s="43" t="s">
        <v>63</v>
      </c>
      <c r="D4525" s="44">
        <v>45904</v>
      </c>
      <c r="E4525" s="45">
        <v>266.5</v>
      </c>
    </row>
    <row r="4526" spans="2:5">
      <c r="B4526" s="43" t="s">
        <v>64</v>
      </c>
      <c r="C4526" s="43" t="s">
        <v>65</v>
      </c>
      <c r="D4526" s="44">
        <v>45904</v>
      </c>
      <c r="E4526" s="45">
        <v>80</v>
      </c>
    </row>
    <row r="4527" spans="2:5">
      <c r="B4527" s="43" t="s">
        <v>198</v>
      </c>
      <c r="C4527" s="43" t="s">
        <v>199</v>
      </c>
      <c r="D4527" s="44">
        <v>45904</v>
      </c>
      <c r="E4527" s="45">
        <v>693</v>
      </c>
    </row>
    <row r="4528" spans="2:5">
      <c r="B4528" s="43" t="s">
        <v>172</v>
      </c>
      <c r="C4528" s="43" t="s">
        <v>173</v>
      </c>
      <c r="D4528" s="44">
        <v>45904</v>
      </c>
      <c r="E4528" s="45">
        <v>22.55</v>
      </c>
    </row>
    <row r="4529" spans="2:5">
      <c r="B4529" s="43" t="s">
        <v>68</v>
      </c>
      <c r="C4529" s="43" t="s">
        <v>69</v>
      </c>
      <c r="D4529" s="44">
        <v>45904</v>
      </c>
      <c r="E4529" s="45">
        <v>682.1</v>
      </c>
    </row>
    <row r="4530" spans="2:5">
      <c r="B4530" s="43" t="s">
        <v>94</v>
      </c>
      <c r="C4530" s="43" t="s">
        <v>95</v>
      </c>
      <c r="D4530" s="44">
        <v>45904</v>
      </c>
      <c r="E4530" s="45">
        <v>1031.8</v>
      </c>
    </row>
    <row r="4531" spans="2:5">
      <c r="B4531" s="43" t="s">
        <v>196</v>
      </c>
      <c r="C4531" s="43" t="s">
        <v>197</v>
      </c>
      <c r="D4531" s="44">
        <v>45904</v>
      </c>
      <c r="E4531" s="45">
        <v>2</v>
      </c>
    </row>
    <row r="4532" spans="2:5">
      <c r="B4532" s="43" t="s">
        <v>96</v>
      </c>
      <c r="C4532" s="43" t="s">
        <v>97</v>
      </c>
      <c r="D4532" s="44">
        <v>45904</v>
      </c>
      <c r="E4532" s="45">
        <v>219</v>
      </c>
    </row>
    <row r="4533" spans="2:5">
      <c r="B4533" s="43" t="s">
        <v>224</v>
      </c>
      <c r="C4533" s="43" t="s">
        <v>225</v>
      </c>
      <c r="D4533" s="44">
        <v>45904</v>
      </c>
      <c r="E4533" s="45">
        <v>1</v>
      </c>
    </row>
    <row r="4534" spans="2:5">
      <c r="B4534" s="43" t="s">
        <v>32</v>
      </c>
      <c r="C4534" s="43" t="s">
        <v>33</v>
      </c>
      <c r="D4534" s="44">
        <v>45904</v>
      </c>
      <c r="E4534" s="45">
        <v>18</v>
      </c>
    </row>
    <row r="4535" spans="2:5">
      <c r="B4535" s="43" t="s">
        <v>160</v>
      </c>
      <c r="C4535" s="43" t="s">
        <v>161</v>
      </c>
      <c r="D4535" s="44">
        <v>45904</v>
      </c>
      <c r="E4535" s="45">
        <v>1</v>
      </c>
    </row>
    <row r="4536" spans="2:5">
      <c r="B4536" s="43" t="s">
        <v>34</v>
      </c>
      <c r="C4536" s="43" t="s">
        <v>35</v>
      </c>
      <c r="D4536" s="44">
        <v>45904</v>
      </c>
      <c r="E4536" s="45">
        <v>7</v>
      </c>
    </row>
    <row r="4537" spans="2:5">
      <c r="B4537" s="43" t="s">
        <v>170</v>
      </c>
      <c r="C4537" s="43" t="s">
        <v>171</v>
      </c>
      <c r="D4537" s="44">
        <v>45904</v>
      </c>
      <c r="E4537" s="45">
        <v>3</v>
      </c>
    </row>
    <row r="4538" spans="2:5">
      <c r="B4538" s="43" t="s">
        <v>40</v>
      </c>
      <c r="C4538" s="43" t="s">
        <v>41</v>
      </c>
      <c r="D4538" s="44">
        <v>45905</v>
      </c>
      <c r="E4538" s="45">
        <v>1</v>
      </c>
    </row>
    <row r="4539" spans="2:5">
      <c r="B4539" s="43" t="s">
        <v>156</v>
      </c>
      <c r="C4539" s="43" t="s">
        <v>157</v>
      </c>
      <c r="D4539" s="44">
        <v>45905</v>
      </c>
      <c r="E4539" s="45">
        <v>7.8</v>
      </c>
    </row>
    <row r="4540" spans="2:5">
      <c r="B4540" s="43" t="s">
        <v>8</v>
      </c>
      <c r="C4540" s="43" t="s">
        <v>9</v>
      </c>
      <c r="D4540" s="44">
        <v>45905</v>
      </c>
      <c r="E4540" s="45">
        <v>34.8</v>
      </c>
    </row>
    <row r="4541" spans="2:5">
      <c r="B4541" s="43" t="s">
        <v>46</v>
      </c>
      <c r="C4541" s="43" t="s">
        <v>47</v>
      </c>
      <c r="D4541" s="44">
        <v>45905</v>
      </c>
      <c r="E4541" s="45">
        <v>746.6694</v>
      </c>
    </row>
    <row r="4542" spans="2:5">
      <c r="B4542" s="43" t="s">
        <v>10</v>
      </c>
      <c r="C4542" s="43" t="s">
        <v>11</v>
      </c>
      <c r="D4542" s="44">
        <v>45905</v>
      </c>
      <c r="E4542" s="45">
        <v>397.8</v>
      </c>
    </row>
    <row r="4543" spans="2:5">
      <c r="B4543" s="43" t="s">
        <v>74</v>
      </c>
      <c r="C4543" s="43" t="s">
        <v>75</v>
      </c>
      <c r="D4543" s="44">
        <v>45905</v>
      </c>
      <c r="E4543" s="45">
        <v>821.7</v>
      </c>
    </row>
    <row r="4544" spans="2:5">
      <c r="B4544" s="43" t="s">
        <v>12</v>
      </c>
      <c r="C4544" s="43" t="s">
        <v>13</v>
      </c>
      <c r="D4544" s="44">
        <v>45905</v>
      </c>
      <c r="E4544" s="45">
        <v>345</v>
      </c>
    </row>
    <row r="4545" spans="2:5">
      <c r="B4545" s="43" t="s">
        <v>178</v>
      </c>
      <c r="C4545" s="43" t="s">
        <v>179</v>
      </c>
      <c r="D4545" s="44">
        <v>45905</v>
      </c>
      <c r="E4545" s="45">
        <v>72</v>
      </c>
    </row>
    <row r="4546" spans="2:5">
      <c r="B4546" s="43" t="s">
        <v>14</v>
      </c>
      <c r="C4546" s="43" t="s">
        <v>15</v>
      </c>
      <c r="D4546" s="44">
        <v>45905</v>
      </c>
      <c r="E4546" s="45">
        <v>337.5</v>
      </c>
    </row>
    <row r="4547" spans="2:5">
      <c r="B4547" s="43" t="s">
        <v>134</v>
      </c>
      <c r="C4547" s="43" t="s">
        <v>135</v>
      </c>
      <c r="D4547" s="44">
        <v>45905</v>
      </c>
      <c r="E4547" s="45">
        <v>73.5</v>
      </c>
    </row>
    <row r="4548" spans="2:5">
      <c r="B4548" s="43" t="s">
        <v>50</v>
      </c>
      <c r="C4548" s="43" t="s">
        <v>51</v>
      </c>
      <c r="D4548" s="44">
        <v>45905</v>
      </c>
      <c r="E4548" s="45">
        <v>122.4</v>
      </c>
    </row>
    <row r="4549" spans="2:5">
      <c r="B4549" s="43" t="s">
        <v>56</v>
      </c>
      <c r="C4549" s="43" t="s">
        <v>57</v>
      </c>
      <c r="D4549" s="44">
        <v>45905</v>
      </c>
      <c r="E4549" s="45">
        <v>217.2</v>
      </c>
    </row>
    <row r="4550" spans="2:5">
      <c r="B4550" s="43" t="s">
        <v>126</v>
      </c>
      <c r="C4550" s="43" t="s">
        <v>127</v>
      </c>
      <c r="D4550" s="44">
        <v>45905</v>
      </c>
      <c r="E4550" s="45">
        <v>306.8</v>
      </c>
    </row>
    <row r="4551" spans="2:5">
      <c r="B4551" s="43" t="s">
        <v>200</v>
      </c>
      <c r="C4551" s="43" t="s">
        <v>201</v>
      </c>
      <c r="D4551" s="44">
        <v>45905</v>
      </c>
      <c r="E4551" s="45">
        <v>27.5</v>
      </c>
    </row>
    <row r="4552" spans="2:5">
      <c r="B4552" s="43" t="s">
        <v>120</v>
      </c>
      <c r="C4552" s="43" t="s">
        <v>121</v>
      </c>
      <c r="D4552" s="44">
        <v>45905</v>
      </c>
      <c r="E4552" s="45">
        <v>7.6</v>
      </c>
    </row>
    <row r="4553" spans="2:5">
      <c r="B4553" s="43" t="s">
        <v>140</v>
      </c>
      <c r="C4553" s="43" t="s">
        <v>141</v>
      </c>
      <c r="D4553" s="44">
        <v>45905</v>
      </c>
      <c r="E4553" s="45">
        <v>23.2</v>
      </c>
    </row>
    <row r="4554" spans="2:5">
      <c r="B4554" s="43" t="s">
        <v>80</v>
      </c>
      <c r="C4554" s="43" t="s">
        <v>81</v>
      </c>
      <c r="D4554" s="44">
        <v>45905</v>
      </c>
      <c r="E4554" s="45">
        <v>1004.5</v>
      </c>
    </row>
    <row r="4555" spans="2:5">
      <c r="B4555" s="43" t="s">
        <v>24</v>
      </c>
      <c r="C4555" s="43" t="s">
        <v>25</v>
      </c>
      <c r="D4555" s="44">
        <v>45905</v>
      </c>
      <c r="E4555" s="45">
        <v>3959.1</v>
      </c>
    </row>
    <row r="4556" spans="2:5">
      <c r="B4556" s="43" t="s">
        <v>26</v>
      </c>
      <c r="C4556" s="43" t="s">
        <v>27</v>
      </c>
      <c r="D4556" s="44">
        <v>45905</v>
      </c>
      <c r="E4556" s="45">
        <v>1508.35</v>
      </c>
    </row>
    <row r="4557" spans="2:5">
      <c r="B4557" s="43" t="s">
        <v>62</v>
      </c>
      <c r="C4557" s="43" t="s">
        <v>63</v>
      </c>
      <c r="D4557" s="44">
        <v>45905</v>
      </c>
      <c r="E4557" s="45">
        <v>123</v>
      </c>
    </row>
    <row r="4558" spans="2:5">
      <c r="B4558" s="43" t="s">
        <v>64</v>
      </c>
      <c r="C4558" s="43" t="s">
        <v>65</v>
      </c>
      <c r="D4558" s="44">
        <v>45905</v>
      </c>
      <c r="E4558" s="45">
        <v>1560</v>
      </c>
    </row>
    <row r="4559" spans="2:5">
      <c r="B4559" s="43" t="s">
        <v>198</v>
      </c>
      <c r="C4559" s="43" t="s">
        <v>199</v>
      </c>
      <c r="D4559" s="44">
        <v>45905</v>
      </c>
      <c r="E4559" s="45">
        <v>115.5</v>
      </c>
    </row>
    <row r="4560" spans="2:5">
      <c r="B4560" s="43" t="s">
        <v>172</v>
      </c>
      <c r="C4560" s="43" t="s">
        <v>173</v>
      </c>
      <c r="D4560" s="44">
        <v>45905</v>
      </c>
      <c r="E4560" s="45">
        <v>67.65</v>
      </c>
    </row>
    <row r="4561" spans="2:5">
      <c r="B4561" s="43" t="s">
        <v>66</v>
      </c>
      <c r="C4561" s="43" t="s">
        <v>67</v>
      </c>
      <c r="D4561" s="44">
        <v>45905</v>
      </c>
      <c r="E4561" s="45">
        <v>110.8</v>
      </c>
    </row>
    <row r="4562" spans="2:5">
      <c r="B4562" s="43" t="s">
        <v>106</v>
      </c>
      <c r="C4562" s="43" t="s">
        <v>107</v>
      </c>
      <c r="D4562" s="44">
        <v>45905</v>
      </c>
      <c r="E4562" s="45">
        <v>7.7</v>
      </c>
    </row>
    <row r="4563" spans="2:5">
      <c r="B4563" s="43" t="s">
        <v>142</v>
      </c>
      <c r="C4563" s="43" t="s">
        <v>143</v>
      </c>
      <c r="D4563" s="44">
        <v>45905</v>
      </c>
      <c r="E4563" s="45">
        <v>10</v>
      </c>
    </row>
    <row r="4564" spans="2:5">
      <c r="B4564" s="43" t="s">
        <v>96</v>
      </c>
      <c r="C4564" s="43" t="s">
        <v>97</v>
      </c>
      <c r="D4564" s="44">
        <v>45905</v>
      </c>
      <c r="E4564" s="45">
        <v>32</v>
      </c>
    </row>
    <row r="4565" spans="2:5">
      <c r="B4565" s="43" t="s">
        <v>224</v>
      </c>
      <c r="C4565" s="43" t="s">
        <v>225</v>
      </c>
      <c r="D4565" s="44">
        <v>45905</v>
      </c>
      <c r="E4565" s="45">
        <v>7</v>
      </c>
    </row>
    <row r="4566" spans="2:5">
      <c r="B4566" s="43" t="s">
        <v>32</v>
      </c>
      <c r="C4566" s="43" t="s">
        <v>33</v>
      </c>
      <c r="D4566" s="44">
        <v>45905</v>
      </c>
      <c r="E4566" s="45">
        <v>5</v>
      </c>
    </row>
    <row r="4567" spans="2:5">
      <c r="B4567" s="43" t="s">
        <v>36</v>
      </c>
      <c r="C4567" s="43" t="s">
        <v>37</v>
      </c>
      <c r="D4567" s="44">
        <v>45905</v>
      </c>
      <c r="E4567" s="45">
        <v>6</v>
      </c>
    </row>
    <row r="4568" spans="2:5">
      <c r="B4568" s="43" t="s">
        <v>104</v>
      </c>
      <c r="C4568" s="43" t="s">
        <v>105</v>
      </c>
      <c r="D4568" s="44">
        <v>45908</v>
      </c>
      <c r="E4568" s="45">
        <v>15</v>
      </c>
    </row>
    <row r="4569" spans="2:5">
      <c r="B4569" s="43" t="s">
        <v>40</v>
      </c>
      <c r="C4569" s="43" t="s">
        <v>41</v>
      </c>
      <c r="D4569" s="44">
        <v>45908</v>
      </c>
      <c r="E4569" s="45">
        <v>5</v>
      </c>
    </row>
    <row r="4570" spans="2:5">
      <c r="B4570" s="43" t="s">
        <v>4</v>
      </c>
      <c r="C4570" s="43" t="s">
        <v>5</v>
      </c>
      <c r="D4570" s="44">
        <v>45908</v>
      </c>
      <c r="E4570" s="45">
        <v>67</v>
      </c>
    </row>
    <row r="4571" spans="2:5">
      <c r="B4571" s="43" t="s">
        <v>156</v>
      </c>
      <c r="C4571" s="43" t="s">
        <v>157</v>
      </c>
      <c r="D4571" s="44">
        <v>45908</v>
      </c>
      <c r="E4571" s="45">
        <v>109.2</v>
      </c>
    </row>
    <row r="4572" spans="2:5">
      <c r="B4572" s="43" t="s">
        <v>8</v>
      </c>
      <c r="C4572" s="43" t="s">
        <v>9</v>
      </c>
      <c r="D4572" s="44">
        <v>45908</v>
      </c>
      <c r="E4572" s="45">
        <v>19.8986</v>
      </c>
    </row>
    <row r="4573" spans="2:5">
      <c r="B4573" s="43" t="s">
        <v>44</v>
      </c>
      <c r="C4573" s="43" t="s">
        <v>45</v>
      </c>
      <c r="D4573" s="44">
        <v>45908</v>
      </c>
      <c r="E4573" s="45">
        <v>42.5</v>
      </c>
    </row>
    <row r="4574" spans="2:5">
      <c r="B4574" s="43" t="s">
        <v>72</v>
      </c>
      <c r="C4574" s="43" t="s">
        <v>73</v>
      </c>
      <c r="D4574" s="44">
        <v>45908</v>
      </c>
      <c r="E4574" s="45">
        <v>20.4</v>
      </c>
    </row>
    <row r="4575" spans="2:5">
      <c r="B4575" s="43" t="s">
        <v>46</v>
      </c>
      <c r="C4575" s="43" t="s">
        <v>47</v>
      </c>
      <c r="D4575" s="44">
        <v>45908</v>
      </c>
      <c r="E4575" s="45">
        <v>734.5</v>
      </c>
    </row>
    <row r="4576" spans="2:5">
      <c r="B4576" s="43" t="s">
        <v>10</v>
      </c>
      <c r="C4576" s="43" t="s">
        <v>11</v>
      </c>
      <c r="D4576" s="44">
        <v>45908</v>
      </c>
      <c r="E4576" s="45">
        <v>154.7</v>
      </c>
    </row>
    <row r="4577" spans="2:5">
      <c r="B4577" s="43" t="s">
        <v>12</v>
      </c>
      <c r="C4577" s="43" t="s">
        <v>13</v>
      </c>
      <c r="D4577" s="44">
        <v>45908</v>
      </c>
      <c r="E4577" s="45">
        <v>1159.2</v>
      </c>
    </row>
    <row r="4578" spans="2:5">
      <c r="B4578" s="43" t="s">
        <v>178</v>
      </c>
      <c r="C4578" s="43" t="s">
        <v>179</v>
      </c>
      <c r="D4578" s="44">
        <v>45908</v>
      </c>
      <c r="E4578" s="45">
        <v>36</v>
      </c>
    </row>
    <row r="4579" spans="2:5">
      <c r="B4579" s="43" t="s">
        <v>48</v>
      </c>
      <c r="C4579" s="43" t="s">
        <v>49</v>
      </c>
      <c r="D4579" s="44">
        <v>45908</v>
      </c>
      <c r="E4579" s="45">
        <v>91.2</v>
      </c>
    </row>
    <row r="4580" spans="2:5">
      <c r="B4580" s="43" t="s">
        <v>14</v>
      </c>
      <c r="C4580" s="43" t="s">
        <v>15</v>
      </c>
      <c r="D4580" s="44">
        <v>45908</v>
      </c>
      <c r="E4580" s="45">
        <v>216</v>
      </c>
    </row>
    <row r="4581" spans="2:5">
      <c r="B4581" s="43" t="s">
        <v>176</v>
      </c>
      <c r="C4581" s="43" t="s">
        <v>177</v>
      </c>
      <c r="D4581" s="44">
        <v>45908</v>
      </c>
      <c r="E4581" s="45">
        <v>283.5</v>
      </c>
    </row>
    <row r="4582" spans="2:5">
      <c r="B4582" s="43" t="s">
        <v>76</v>
      </c>
      <c r="C4582" s="43" t="s">
        <v>77</v>
      </c>
      <c r="D4582" s="44">
        <v>45908</v>
      </c>
      <c r="E4582" s="45">
        <v>423.6</v>
      </c>
    </row>
    <row r="4583" spans="2:5">
      <c r="B4583" s="43" t="s">
        <v>118</v>
      </c>
      <c r="C4583" s="43" t="s">
        <v>119</v>
      </c>
      <c r="D4583" s="44">
        <v>45908</v>
      </c>
      <c r="E4583" s="45">
        <v>516.8</v>
      </c>
    </row>
    <row r="4584" spans="2:5">
      <c r="B4584" s="43" t="s">
        <v>152</v>
      </c>
      <c r="C4584" s="43" t="s">
        <v>153</v>
      </c>
      <c r="D4584" s="44">
        <v>45908</v>
      </c>
      <c r="E4584" s="45">
        <v>93</v>
      </c>
    </row>
    <row r="4585" spans="2:5">
      <c r="B4585" s="43" t="s">
        <v>200</v>
      </c>
      <c r="C4585" s="43" t="s">
        <v>201</v>
      </c>
      <c r="D4585" s="44">
        <v>45908</v>
      </c>
      <c r="E4585" s="45">
        <v>110</v>
      </c>
    </row>
    <row r="4586" spans="2:5">
      <c r="B4586" s="43" t="s">
        <v>78</v>
      </c>
      <c r="C4586" s="43" t="s">
        <v>79</v>
      </c>
      <c r="D4586" s="44">
        <v>45908</v>
      </c>
      <c r="E4586" s="45">
        <v>35.4</v>
      </c>
    </row>
    <row r="4587" spans="2:5">
      <c r="B4587" s="43" t="s">
        <v>20</v>
      </c>
      <c r="C4587" s="43" t="s">
        <v>21</v>
      </c>
      <c r="D4587" s="44">
        <v>45908</v>
      </c>
      <c r="E4587" s="45">
        <v>29.4</v>
      </c>
    </row>
    <row r="4588" spans="2:5">
      <c r="B4588" s="43" t="s">
        <v>22</v>
      </c>
      <c r="C4588" s="43" t="s">
        <v>23</v>
      </c>
      <c r="D4588" s="44">
        <v>45908</v>
      </c>
      <c r="E4588" s="45">
        <v>38.4</v>
      </c>
    </row>
    <row r="4589" spans="2:5">
      <c r="B4589" s="43" t="s">
        <v>24</v>
      </c>
      <c r="C4589" s="43" t="s">
        <v>25</v>
      </c>
      <c r="D4589" s="44">
        <v>45908</v>
      </c>
      <c r="E4589" s="45">
        <v>2051.1</v>
      </c>
    </row>
    <row r="4590" spans="2:5">
      <c r="B4590" s="43" t="s">
        <v>210</v>
      </c>
      <c r="C4590" s="43" t="s">
        <v>211</v>
      </c>
      <c r="D4590" s="44">
        <v>45908</v>
      </c>
      <c r="E4590" s="45">
        <v>123</v>
      </c>
    </row>
    <row r="4591" spans="2:5">
      <c r="B4591" s="43" t="s">
        <v>26</v>
      </c>
      <c r="C4591" s="43" t="s">
        <v>27</v>
      </c>
      <c r="D4591" s="44">
        <v>45908</v>
      </c>
      <c r="E4591" s="45">
        <v>1041.85</v>
      </c>
    </row>
    <row r="4592" spans="2:5">
      <c r="B4592" s="43" t="s">
        <v>28</v>
      </c>
      <c r="C4592" s="43" t="s">
        <v>29</v>
      </c>
      <c r="D4592" s="44">
        <v>45908</v>
      </c>
      <c r="E4592" s="45">
        <v>161.1</v>
      </c>
    </row>
    <row r="4593" spans="2:5">
      <c r="B4593" s="43" t="s">
        <v>62</v>
      </c>
      <c r="C4593" s="43" t="s">
        <v>63</v>
      </c>
      <c r="D4593" s="44">
        <v>45908</v>
      </c>
      <c r="E4593" s="45">
        <v>820</v>
      </c>
    </row>
    <row r="4594" spans="2:5">
      <c r="B4594" s="43" t="s">
        <v>90</v>
      </c>
      <c r="C4594" s="43" t="s">
        <v>91</v>
      </c>
      <c r="D4594" s="44">
        <v>45908</v>
      </c>
      <c r="E4594" s="45">
        <v>80.1</v>
      </c>
    </row>
    <row r="4595" spans="2:5">
      <c r="B4595" s="43" t="s">
        <v>64</v>
      </c>
      <c r="C4595" s="43" t="s">
        <v>65</v>
      </c>
      <c r="D4595" s="44">
        <v>45908</v>
      </c>
      <c r="E4595" s="45">
        <v>900</v>
      </c>
    </row>
    <row r="4596" spans="2:5">
      <c r="B4596" s="43" t="s">
        <v>172</v>
      </c>
      <c r="C4596" s="43" t="s">
        <v>173</v>
      </c>
      <c r="D4596" s="44">
        <v>45908</v>
      </c>
      <c r="E4596" s="45">
        <v>1172.6</v>
      </c>
    </row>
    <row r="4597" spans="2:5">
      <c r="B4597" s="43" t="s">
        <v>150</v>
      </c>
      <c r="C4597" s="43" t="s">
        <v>151</v>
      </c>
      <c r="D4597" s="44">
        <v>45908</v>
      </c>
      <c r="E4597" s="45">
        <v>189.35</v>
      </c>
    </row>
    <row r="4598" spans="2:5">
      <c r="B4598" s="43" t="s">
        <v>68</v>
      </c>
      <c r="C4598" s="43" t="s">
        <v>69</v>
      </c>
      <c r="D4598" s="44">
        <v>45908</v>
      </c>
      <c r="E4598" s="45">
        <v>502.6</v>
      </c>
    </row>
    <row r="4599" spans="2:5">
      <c r="B4599" s="43" t="s">
        <v>96</v>
      </c>
      <c r="C4599" s="43" t="s">
        <v>97</v>
      </c>
      <c r="D4599" s="44">
        <v>45908</v>
      </c>
      <c r="E4599" s="45">
        <v>46</v>
      </c>
    </row>
    <row r="4600" spans="2:5">
      <c r="B4600" s="43" t="s">
        <v>224</v>
      </c>
      <c r="C4600" s="43" t="s">
        <v>225</v>
      </c>
      <c r="D4600" s="44">
        <v>45908</v>
      </c>
      <c r="E4600" s="45">
        <v>4</v>
      </c>
    </row>
    <row r="4601" spans="2:5">
      <c r="B4601" s="43" t="s">
        <v>32</v>
      </c>
      <c r="C4601" s="43" t="s">
        <v>33</v>
      </c>
      <c r="D4601" s="44">
        <v>45908</v>
      </c>
      <c r="E4601" s="45">
        <v>10</v>
      </c>
    </row>
    <row r="4602" spans="2:5">
      <c r="B4602" s="43" t="s">
        <v>36</v>
      </c>
      <c r="C4602" s="43" t="s">
        <v>37</v>
      </c>
      <c r="D4602" s="44">
        <v>45908</v>
      </c>
      <c r="E4602" s="45">
        <v>3</v>
      </c>
    </row>
    <row r="4603" spans="2:5">
      <c r="B4603" s="43" t="s">
        <v>38</v>
      </c>
      <c r="C4603" s="43" t="s">
        <v>39</v>
      </c>
      <c r="D4603" s="44">
        <v>45908</v>
      </c>
      <c r="E4603" s="45">
        <v>104</v>
      </c>
    </row>
    <row r="4604" spans="2:5">
      <c r="B4604" s="43" t="s">
        <v>42</v>
      </c>
      <c r="C4604" s="43" t="s">
        <v>43</v>
      </c>
      <c r="D4604" s="44">
        <v>45909</v>
      </c>
      <c r="E4604" s="45">
        <v>60.5</v>
      </c>
    </row>
    <row r="4605" spans="2:5">
      <c r="B4605" s="43" t="s">
        <v>4</v>
      </c>
      <c r="C4605" s="43" t="s">
        <v>5</v>
      </c>
      <c r="D4605" s="44">
        <v>45909</v>
      </c>
      <c r="E4605" s="45">
        <v>67</v>
      </c>
    </row>
    <row r="4606" spans="2:5">
      <c r="B4606" s="43" t="s">
        <v>156</v>
      </c>
      <c r="C4606" s="43" t="s">
        <v>157</v>
      </c>
      <c r="D4606" s="44">
        <v>45909</v>
      </c>
      <c r="E4606" s="45">
        <v>179.4</v>
      </c>
    </row>
    <row r="4607" spans="2:5">
      <c r="B4607" s="43" t="s">
        <v>8</v>
      </c>
      <c r="C4607" s="43" t="s">
        <v>9</v>
      </c>
      <c r="D4607" s="44">
        <v>45909</v>
      </c>
      <c r="E4607" s="45">
        <v>26.1</v>
      </c>
    </row>
    <row r="4608" spans="2:5">
      <c r="B4608" s="43" t="s">
        <v>46</v>
      </c>
      <c r="C4608" s="43" t="s">
        <v>47</v>
      </c>
      <c r="D4608" s="44">
        <v>45909</v>
      </c>
      <c r="E4608" s="45">
        <v>158.2</v>
      </c>
    </row>
    <row r="4609" spans="2:5">
      <c r="B4609" s="43" t="s">
        <v>10</v>
      </c>
      <c r="C4609" s="43" t="s">
        <v>11</v>
      </c>
      <c r="D4609" s="44">
        <v>45909</v>
      </c>
      <c r="E4609" s="45">
        <v>331.5</v>
      </c>
    </row>
    <row r="4610" spans="2:5">
      <c r="B4610" s="43" t="s">
        <v>12</v>
      </c>
      <c r="C4610" s="43" t="s">
        <v>13</v>
      </c>
      <c r="D4610" s="44">
        <v>45909</v>
      </c>
      <c r="E4610" s="45">
        <v>165.6</v>
      </c>
    </row>
    <row r="4611" spans="2:5">
      <c r="B4611" s="43" t="s">
        <v>48</v>
      </c>
      <c r="C4611" s="43" t="s">
        <v>49</v>
      </c>
      <c r="D4611" s="44">
        <v>45909</v>
      </c>
      <c r="E4611" s="45">
        <v>182.4</v>
      </c>
    </row>
    <row r="4612" spans="2:5">
      <c r="B4612" s="43" t="s">
        <v>14</v>
      </c>
      <c r="C4612" s="43" t="s">
        <v>15</v>
      </c>
      <c r="D4612" s="44">
        <v>45909</v>
      </c>
      <c r="E4612" s="45">
        <v>405</v>
      </c>
    </row>
    <row r="4613" spans="2:5">
      <c r="B4613" s="43" t="s">
        <v>144</v>
      </c>
      <c r="C4613" s="43" t="s">
        <v>145</v>
      </c>
      <c r="D4613" s="44">
        <v>45909</v>
      </c>
      <c r="E4613" s="45">
        <v>81</v>
      </c>
    </row>
    <row r="4614" spans="2:5">
      <c r="B4614" s="43" t="s">
        <v>56</v>
      </c>
      <c r="C4614" s="43" t="s">
        <v>57</v>
      </c>
      <c r="D4614" s="44">
        <v>45909</v>
      </c>
      <c r="E4614" s="45">
        <v>362</v>
      </c>
    </row>
    <row r="4615" spans="2:5">
      <c r="B4615" s="43" t="s">
        <v>176</v>
      </c>
      <c r="C4615" s="43" t="s">
        <v>177</v>
      </c>
      <c r="D4615" s="44">
        <v>45909</v>
      </c>
      <c r="E4615" s="45">
        <v>81</v>
      </c>
    </row>
    <row r="4616" spans="2:5">
      <c r="B4616" s="43" t="s">
        <v>200</v>
      </c>
      <c r="C4616" s="43" t="s">
        <v>201</v>
      </c>
      <c r="D4616" s="44">
        <v>45909</v>
      </c>
      <c r="E4616" s="45">
        <v>27.5</v>
      </c>
    </row>
    <row r="4617" spans="2:5">
      <c r="B4617" s="43" t="s">
        <v>78</v>
      </c>
      <c r="C4617" s="43" t="s">
        <v>79</v>
      </c>
      <c r="D4617" s="44">
        <v>45909</v>
      </c>
      <c r="E4617" s="45">
        <v>53.1</v>
      </c>
    </row>
    <row r="4618" spans="2:5">
      <c r="B4618" s="43" t="s">
        <v>20</v>
      </c>
      <c r="C4618" s="43" t="s">
        <v>21</v>
      </c>
      <c r="D4618" s="44">
        <v>45909</v>
      </c>
      <c r="E4618" s="45">
        <v>66.15</v>
      </c>
    </row>
    <row r="4619" spans="2:5">
      <c r="B4619" s="43" t="s">
        <v>22</v>
      </c>
      <c r="C4619" s="43" t="s">
        <v>23</v>
      </c>
      <c r="D4619" s="44">
        <v>45909</v>
      </c>
      <c r="E4619" s="45">
        <v>19.2</v>
      </c>
    </row>
    <row r="4620" spans="2:5">
      <c r="B4620" s="43" t="s">
        <v>140</v>
      </c>
      <c r="C4620" s="43" t="s">
        <v>141</v>
      </c>
      <c r="D4620" s="44">
        <v>45909</v>
      </c>
      <c r="E4620" s="45">
        <v>92.8</v>
      </c>
    </row>
    <row r="4621" spans="2:5">
      <c r="B4621" s="43" t="s">
        <v>80</v>
      </c>
      <c r="C4621" s="43" t="s">
        <v>81</v>
      </c>
      <c r="D4621" s="44">
        <v>45909</v>
      </c>
      <c r="E4621" s="45">
        <v>186.55</v>
      </c>
    </row>
    <row r="4622" spans="2:5">
      <c r="B4622" s="43" t="s">
        <v>24</v>
      </c>
      <c r="C4622" s="43" t="s">
        <v>25</v>
      </c>
      <c r="D4622" s="44">
        <v>45909</v>
      </c>
      <c r="E4622" s="45">
        <v>2305.5</v>
      </c>
    </row>
    <row r="4623" spans="2:5">
      <c r="B4623" s="43" t="s">
        <v>26</v>
      </c>
      <c r="C4623" s="43" t="s">
        <v>27</v>
      </c>
      <c r="D4623" s="44">
        <v>45909</v>
      </c>
      <c r="E4623" s="45">
        <v>2534.65</v>
      </c>
    </row>
    <row r="4624" spans="2:5">
      <c r="B4624" s="43" t="s">
        <v>90</v>
      </c>
      <c r="C4624" s="43" t="s">
        <v>91</v>
      </c>
      <c r="D4624" s="44">
        <v>45909</v>
      </c>
      <c r="E4624" s="45">
        <v>80.1</v>
      </c>
    </row>
    <row r="4625" spans="2:5">
      <c r="B4625" s="43" t="s">
        <v>172</v>
      </c>
      <c r="C4625" s="43" t="s">
        <v>173</v>
      </c>
      <c r="D4625" s="44">
        <v>45909</v>
      </c>
      <c r="E4625" s="45">
        <v>315.7</v>
      </c>
    </row>
    <row r="4626" spans="2:5">
      <c r="B4626" s="43" t="s">
        <v>186</v>
      </c>
      <c r="C4626" s="43" t="s">
        <v>187</v>
      </c>
      <c r="D4626" s="44">
        <v>45909</v>
      </c>
      <c r="E4626" s="45">
        <v>284.9</v>
      </c>
    </row>
    <row r="4627" spans="2:5">
      <c r="B4627" s="43" t="s">
        <v>66</v>
      </c>
      <c r="C4627" s="43" t="s">
        <v>67</v>
      </c>
      <c r="D4627" s="44">
        <v>45909</v>
      </c>
      <c r="E4627" s="45">
        <v>83.1</v>
      </c>
    </row>
    <row r="4628" spans="2:5">
      <c r="B4628" s="43" t="s">
        <v>94</v>
      </c>
      <c r="C4628" s="43" t="s">
        <v>95</v>
      </c>
      <c r="D4628" s="44">
        <v>45909</v>
      </c>
      <c r="E4628" s="45">
        <v>703.39</v>
      </c>
    </row>
    <row r="4629" spans="2:5">
      <c r="B4629" s="43" t="s">
        <v>106</v>
      </c>
      <c r="C4629" s="43" t="s">
        <v>107</v>
      </c>
      <c r="D4629" s="44">
        <v>45909</v>
      </c>
      <c r="E4629" s="45">
        <v>7.7</v>
      </c>
    </row>
    <row r="4630" spans="2:5">
      <c r="B4630" s="43" t="s">
        <v>142</v>
      </c>
      <c r="C4630" s="43" t="s">
        <v>143</v>
      </c>
      <c r="D4630" s="44">
        <v>45909</v>
      </c>
      <c r="E4630" s="45">
        <v>1</v>
      </c>
    </row>
    <row r="4631" spans="2:5">
      <c r="B4631" s="43" t="s">
        <v>96</v>
      </c>
      <c r="C4631" s="43" t="s">
        <v>97</v>
      </c>
      <c r="D4631" s="44">
        <v>45909</v>
      </c>
      <c r="E4631" s="45">
        <v>131</v>
      </c>
    </row>
    <row r="4632" spans="2:5">
      <c r="B4632" s="43" t="s">
        <v>32</v>
      </c>
      <c r="C4632" s="43" t="s">
        <v>33</v>
      </c>
      <c r="D4632" s="44">
        <v>45909</v>
      </c>
      <c r="E4632" s="45">
        <v>1</v>
      </c>
    </row>
    <row r="4633" spans="2:5">
      <c r="B4633" s="43" t="s">
        <v>160</v>
      </c>
      <c r="C4633" s="43" t="s">
        <v>161</v>
      </c>
      <c r="D4633" s="44">
        <v>45909</v>
      </c>
      <c r="E4633" s="45">
        <v>3</v>
      </c>
    </row>
    <row r="4634" spans="2:5">
      <c r="B4634" s="43" t="s">
        <v>34</v>
      </c>
      <c r="C4634" s="43" t="s">
        <v>35</v>
      </c>
      <c r="D4634" s="44">
        <v>45909</v>
      </c>
      <c r="E4634" s="45">
        <v>4</v>
      </c>
    </row>
    <row r="4635" spans="2:5">
      <c r="B4635" s="43" t="s">
        <v>36</v>
      </c>
      <c r="C4635" s="43" t="s">
        <v>37</v>
      </c>
      <c r="D4635" s="44">
        <v>45909</v>
      </c>
      <c r="E4635" s="45">
        <v>8</v>
      </c>
    </row>
    <row r="4636" spans="2:5">
      <c r="B4636" s="43" t="s">
        <v>38</v>
      </c>
      <c r="C4636" s="43" t="s">
        <v>39</v>
      </c>
      <c r="D4636" s="44">
        <v>45909</v>
      </c>
      <c r="E4636" s="45">
        <v>22</v>
      </c>
    </row>
    <row r="4637" spans="2:5">
      <c r="B4637" s="43" t="s">
        <v>4</v>
      </c>
      <c r="C4637" s="43" t="s">
        <v>5</v>
      </c>
      <c r="D4637" s="44">
        <v>45910</v>
      </c>
      <c r="E4637" s="45">
        <v>40.2</v>
      </c>
    </row>
    <row r="4638" spans="2:5">
      <c r="B4638" s="43" t="s">
        <v>8</v>
      </c>
      <c r="C4638" s="43" t="s">
        <v>9</v>
      </c>
      <c r="D4638" s="44">
        <v>45910</v>
      </c>
      <c r="E4638" s="45">
        <v>17.4</v>
      </c>
    </row>
    <row r="4639" spans="2:5">
      <c r="B4639" s="43" t="s">
        <v>46</v>
      </c>
      <c r="C4639" s="43" t="s">
        <v>47</v>
      </c>
      <c r="D4639" s="44">
        <v>45910</v>
      </c>
      <c r="E4639" s="45">
        <v>542.4</v>
      </c>
    </row>
    <row r="4640" spans="2:5">
      <c r="B4640" s="43" t="s">
        <v>10</v>
      </c>
      <c r="C4640" s="43" t="s">
        <v>11</v>
      </c>
      <c r="D4640" s="44">
        <v>45910</v>
      </c>
      <c r="E4640" s="45">
        <v>11.05</v>
      </c>
    </row>
    <row r="4641" spans="2:5">
      <c r="B4641" s="43" t="s">
        <v>12</v>
      </c>
      <c r="C4641" s="43" t="s">
        <v>13</v>
      </c>
      <c r="D4641" s="44">
        <v>45910</v>
      </c>
      <c r="E4641" s="45">
        <v>786.6</v>
      </c>
    </row>
    <row r="4642" spans="2:5">
      <c r="B4642" s="43" t="s">
        <v>178</v>
      </c>
      <c r="C4642" s="43" t="s">
        <v>179</v>
      </c>
      <c r="D4642" s="44">
        <v>45910</v>
      </c>
      <c r="E4642" s="45">
        <v>270</v>
      </c>
    </row>
    <row r="4643" spans="2:5">
      <c r="B4643" s="43" t="s">
        <v>48</v>
      </c>
      <c r="C4643" s="43" t="s">
        <v>49</v>
      </c>
      <c r="D4643" s="44">
        <v>45910</v>
      </c>
      <c r="E4643" s="45">
        <v>182.2762</v>
      </c>
    </row>
    <row r="4644" spans="2:5">
      <c r="B4644" s="43" t="s">
        <v>14</v>
      </c>
      <c r="C4644" s="43" t="s">
        <v>15</v>
      </c>
      <c r="D4644" s="44">
        <v>45910</v>
      </c>
      <c r="E4644" s="45">
        <v>1255.5</v>
      </c>
    </row>
    <row r="4645" spans="2:5">
      <c r="B4645" s="43" t="s">
        <v>114</v>
      </c>
      <c r="C4645" s="43" t="s">
        <v>115</v>
      </c>
      <c r="D4645" s="44">
        <v>45910</v>
      </c>
      <c r="E4645" s="45">
        <v>199.5</v>
      </c>
    </row>
    <row r="4646" spans="2:5">
      <c r="B4646" s="43" t="s">
        <v>162</v>
      </c>
      <c r="C4646" s="43" t="s">
        <v>163</v>
      </c>
      <c r="D4646" s="44">
        <v>45910</v>
      </c>
      <c r="E4646" s="45">
        <v>404</v>
      </c>
    </row>
    <row r="4647" spans="2:5">
      <c r="B4647" s="43" t="s">
        <v>176</v>
      </c>
      <c r="C4647" s="43" t="s">
        <v>177</v>
      </c>
      <c r="D4647" s="44">
        <v>45910</v>
      </c>
      <c r="E4647" s="45">
        <v>243</v>
      </c>
    </row>
    <row r="4648" spans="2:5">
      <c r="B4648" s="43" t="s">
        <v>76</v>
      </c>
      <c r="C4648" s="43" t="s">
        <v>77</v>
      </c>
      <c r="D4648" s="44">
        <v>45910</v>
      </c>
      <c r="E4648" s="45">
        <v>247.1</v>
      </c>
    </row>
    <row r="4649" spans="2:5">
      <c r="B4649" s="43" t="s">
        <v>188</v>
      </c>
      <c r="C4649" s="43" t="s">
        <v>189</v>
      </c>
      <c r="D4649" s="44">
        <v>45910</v>
      </c>
      <c r="E4649" s="45">
        <v>23.1</v>
      </c>
    </row>
    <row r="4650" spans="2:5">
      <c r="B4650" s="43" t="s">
        <v>152</v>
      </c>
      <c r="C4650" s="43" t="s">
        <v>153</v>
      </c>
      <c r="D4650" s="44">
        <v>45910</v>
      </c>
      <c r="E4650" s="45">
        <v>93</v>
      </c>
    </row>
    <row r="4651" spans="2:5">
      <c r="B4651" s="43" t="s">
        <v>168</v>
      </c>
      <c r="C4651" s="43" t="s">
        <v>169</v>
      </c>
      <c r="D4651" s="44">
        <v>45910</v>
      </c>
      <c r="E4651" s="45">
        <v>301.5</v>
      </c>
    </row>
    <row r="4652" spans="2:5">
      <c r="B4652" s="43" t="s">
        <v>16</v>
      </c>
      <c r="C4652" s="43" t="s">
        <v>17</v>
      </c>
      <c r="D4652" s="44">
        <v>45910</v>
      </c>
      <c r="E4652" s="45">
        <v>1140</v>
      </c>
    </row>
    <row r="4653" spans="2:5">
      <c r="B4653" s="43" t="s">
        <v>18</v>
      </c>
      <c r="C4653" s="43" t="s">
        <v>19</v>
      </c>
      <c r="D4653" s="44">
        <v>45910</v>
      </c>
      <c r="E4653" s="45">
        <v>22.25</v>
      </c>
    </row>
    <row r="4654" spans="2:5">
      <c r="B4654" s="43" t="s">
        <v>22</v>
      </c>
      <c r="C4654" s="43" t="s">
        <v>23</v>
      </c>
      <c r="D4654" s="44">
        <v>45910</v>
      </c>
      <c r="E4654" s="45">
        <v>153.6</v>
      </c>
    </row>
    <row r="4655" spans="2:5">
      <c r="B4655" s="43" t="s">
        <v>140</v>
      </c>
      <c r="C4655" s="43" t="s">
        <v>141</v>
      </c>
      <c r="D4655" s="44">
        <v>45910</v>
      </c>
      <c r="E4655" s="45">
        <v>464</v>
      </c>
    </row>
    <row r="4656" spans="2:5">
      <c r="B4656" s="43" t="s">
        <v>80</v>
      </c>
      <c r="C4656" s="43" t="s">
        <v>81</v>
      </c>
      <c r="D4656" s="44">
        <v>45910</v>
      </c>
      <c r="E4656" s="45">
        <v>559.65</v>
      </c>
    </row>
    <row r="4657" spans="2:5">
      <c r="B4657" s="43" t="s">
        <v>24</v>
      </c>
      <c r="C4657" s="43" t="s">
        <v>25</v>
      </c>
      <c r="D4657" s="44">
        <v>45910</v>
      </c>
      <c r="E4657" s="45">
        <v>2877.9</v>
      </c>
    </row>
    <row r="4658" spans="2:5">
      <c r="B4658" s="43" t="s">
        <v>58</v>
      </c>
      <c r="C4658" s="43" t="s">
        <v>59</v>
      </c>
      <c r="D4658" s="44">
        <v>45910</v>
      </c>
      <c r="E4658" s="45">
        <v>354</v>
      </c>
    </row>
    <row r="4659" spans="2:5">
      <c r="B4659" s="43" t="s">
        <v>26</v>
      </c>
      <c r="C4659" s="43" t="s">
        <v>27</v>
      </c>
      <c r="D4659" s="44">
        <v>45910</v>
      </c>
      <c r="E4659" s="45">
        <v>2519.1</v>
      </c>
    </row>
    <row r="4660" spans="2:5">
      <c r="B4660" s="43" t="s">
        <v>28</v>
      </c>
      <c r="C4660" s="43" t="s">
        <v>29</v>
      </c>
      <c r="D4660" s="44">
        <v>45910</v>
      </c>
      <c r="E4660" s="45">
        <v>232.7</v>
      </c>
    </row>
    <row r="4661" spans="2:5">
      <c r="B4661" s="43" t="s">
        <v>122</v>
      </c>
      <c r="C4661" s="43" t="s">
        <v>123</v>
      </c>
      <c r="D4661" s="44">
        <v>45910</v>
      </c>
      <c r="E4661" s="45">
        <v>151</v>
      </c>
    </row>
    <row r="4662" spans="2:5">
      <c r="B4662" s="43" t="s">
        <v>62</v>
      </c>
      <c r="C4662" s="43" t="s">
        <v>63</v>
      </c>
      <c r="D4662" s="44">
        <v>45910</v>
      </c>
      <c r="E4662" s="45">
        <v>1906.5</v>
      </c>
    </row>
    <row r="4663" spans="2:5">
      <c r="B4663" s="43" t="s">
        <v>90</v>
      </c>
      <c r="C4663" s="43" t="s">
        <v>91</v>
      </c>
      <c r="D4663" s="44">
        <v>45910</v>
      </c>
      <c r="E4663" s="45">
        <v>400.5</v>
      </c>
    </row>
    <row r="4664" spans="2:5">
      <c r="B4664" s="43" t="s">
        <v>64</v>
      </c>
      <c r="C4664" s="43" t="s">
        <v>65</v>
      </c>
      <c r="D4664" s="44">
        <v>45910</v>
      </c>
      <c r="E4664" s="45">
        <v>40</v>
      </c>
    </row>
    <row r="4665" spans="2:5">
      <c r="B4665" s="43" t="s">
        <v>66</v>
      </c>
      <c r="C4665" s="43" t="s">
        <v>67</v>
      </c>
      <c r="D4665" s="44">
        <v>45910</v>
      </c>
      <c r="E4665" s="45">
        <v>221.6</v>
      </c>
    </row>
    <row r="4666" spans="2:5">
      <c r="B4666" s="43" t="s">
        <v>142</v>
      </c>
      <c r="C4666" s="43" t="s">
        <v>143</v>
      </c>
      <c r="D4666" s="44">
        <v>45910</v>
      </c>
      <c r="E4666" s="45">
        <v>14</v>
      </c>
    </row>
    <row r="4667" spans="2:5">
      <c r="B4667" s="43" t="s">
        <v>196</v>
      </c>
      <c r="C4667" s="43" t="s">
        <v>197</v>
      </c>
      <c r="D4667" s="44">
        <v>45910</v>
      </c>
      <c r="E4667" s="45">
        <v>1</v>
      </c>
    </row>
    <row r="4668" spans="2:5">
      <c r="B4668" s="43" t="s">
        <v>96</v>
      </c>
      <c r="C4668" s="43" t="s">
        <v>97</v>
      </c>
      <c r="D4668" s="44">
        <v>45910</v>
      </c>
      <c r="E4668" s="45">
        <v>12</v>
      </c>
    </row>
    <row r="4669" spans="2:5">
      <c r="B4669" s="43" t="s">
        <v>32</v>
      </c>
      <c r="C4669" s="43" t="s">
        <v>33</v>
      </c>
      <c r="D4669" s="44">
        <v>45910</v>
      </c>
      <c r="E4669" s="45">
        <v>7</v>
      </c>
    </row>
    <row r="4670" spans="2:5">
      <c r="B4670" s="43" t="s">
        <v>160</v>
      </c>
      <c r="C4670" s="43" t="s">
        <v>161</v>
      </c>
      <c r="D4670" s="44">
        <v>45910</v>
      </c>
      <c r="E4670" s="45">
        <v>1</v>
      </c>
    </row>
    <row r="4671" spans="2:5">
      <c r="B4671" s="43" t="s">
        <v>170</v>
      </c>
      <c r="C4671" s="43" t="s">
        <v>171</v>
      </c>
      <c r="D4671" s="44">
        <v>45910</v>
      </c>
      <c r="E4671" s="45">
        <v>8</v>
      </c>
    </row>
    <row r="4672" spans="2:5">
      <c r="B4672" s="43" t="s">
        <v>42</v>
      </c>
      <c r="C4672" s="43" t="s">
        <v>43</v>
      </c>
      <c r="D4672" s="44">
        <v>45911</v>
      </c>
      <c r="E4672" s="45">
        <v>272.25</v>
      </c>
    </row>
    <row r="4673" spans="2:5">
      <c r="B4673" s="43" t="s">
        <v>4</v>
      </c>
      <c r="C4673" s="43" t="s">
        <v>5</v>
      </c>
      <c r="D4673" s="44">
        <v>45911</v>
      </c>
      <c r="E4673" s="45">
        <v>187.6</v>
      </c>
    </row>
    <row r="4674" spans="2:5">
      <c r="B4674" s="43" t="s">
        <v>156</v>
      </c>
      <c r="C4674" s="43" t="s">
        <v>157</v>
      </c>
      <c r="D4674" s="44">
        <v>45911</v>
      </c>
      <c r="E4674" s="45">
        <v>592.8</v>
      </c>
    </row>
    <row r="4675" spans="2:5">
      <c r="B4675" s="43" t="s">
        <v>44</v>
      </c>
      <c r="C4675" s="43" t="s">
        <v>45</v>
      </c>
      <c r="D4675" s="44">
        <v>45911</v>
      </c>
      <c r="E4675" s="45">
        <v>8.5</v>
      </c>
    </row>
    <row r="4676" spans="2:5">
      <c r="B4676" s="43" t="s">
        <v>46</v>
      </c>
      <c r="C4676" s="43" t="s">
        <v>47</v>
      </c>
      <c r="D4676" s="44">
        <v>45911</v>
      </c>
      <c r="E4676" s="45">
        <v>768.4</v>
      </c>
    </row>
    <row r="4677" spans="2:5">
      <c r="B4677" s="43" t="s">
        <v>10</v>
      </c>
      <c r="C4677" s="43" t="s">
        <v>11</v>
      </c>
      <c r="D4677" s="44">
        <v>45911</v>
      </c>
      <c r="E4677" s="45">
        <v>221</v>
      </c>
    </row>
    <row r="4678" spans="2:5">
      <c r="B4678" s="43" t="s">
        <v>74</v>
      </c>
      <c r="C4678" s="43" t="s">
        <v>75</v>
      </c>
      <c r="D4678" s="44">
        <v>45911</v>
      </c>
      <c r="E4678" s="45">
        <v>647.4</v>
      </c>
    </row>
    <row r="4679" spans="2:5">
      <c r="B4679" s="43" t="s">
        <v>48</v>
      </c>
      <c r="C4679" s="43" t="s">
        <v>49</v>
      </c>
      <c r="D4679" s="44">
        <v>45911</v>
      </c>
      <c r="E4679" s="45">
        <v>121.8049</v>
      </c>
    </row>
    <row r="4680" spans="2:5">
      <c r="B4680" s="43" t="s">
        <v>14</v>
      </c>
      <c r="C4680" s="43" t="s">
        <v>15</v>
      </c>
      <c r="D4680" s="44">
        <v>45911</v>
      </c>
      <c r="E4680" s="45">
        <v>972</v>
      </c>
    </row>
    <row r="4681" spans="2:5">
      <c r="B4681" s="43" t="s">
        <v>54</v>
      </c>
      <c r="C4681" s="43" t="s">
        <v>55</v>
      </c>
      <c r="D4681" s="44">
        <v>45911</v>
      </c>
      <c r="E4681" s="45">
        <v>266</v>
      </c>
    </row>
    <row r="4682" spans="2:5">
      <c r="B4682" s="43" t="s">
        <v>56</v>
      </c>
      <c r="C4682" s="43" t="s">
        <v>57</v>
      </c>
      <c r="D4682" s="44">
        <v>45911</v>
      </c>
      <c r="E4682" s="45">
        <v>126.7</v>
      </c>
    </row>
    <row r="4683" spans="2:5">
      <c r="B4683" s="43" t="s">
        <v>168</v>
      </c>
      <c r="C4683" s="43" t="s">
        <v>169</v>
      </c>
      <c r="D4683" s="44">
        <v>45911</v>
      </c>
      <c r="E4683" s="45">
        <v>40</v>
      </c>
    </row>
    <row r="4684" spans="2:5">
      <c r="B4684" s="43" t="s">
        <v>22</v>
      </c>
      <c r="C4684" s="43" t="s">
        <v>23</v>
      </c>
      <c r="D4684" s="44">
        <v>45911</v>
      </c>
      <c r="E4684" s="45">
        <v>96</v>
      </c>
    </row>
    <row r="4685" spans="2:5">
      <c r="B4685" s="43" t="s">
        <v>80</v>
      </c>
      <c r="C4685" s="43" t="s">
        <v>81</v>
      </c>
      <c r="D4685" s="44">
        <v>45911</v>
      </c>
      <c r="E4685" s="45">
        <v>71.75</v>
      </c>
    </row>
    <row r="4686" spans="2:5">
      <c r="B4686" s="43" t="s">
        <v>24</v>
      </c>
      <c r="C4686" s="43" t="s">
        <v>25</v>
      </c>
      <c r="D4686" s="44">
        <v>45911</v>
      </c>
      <c r="E4686" s="45">
        <v>3418.5</v>
      </c>
    </row>
    <row r="4687" spans="2:5">
      <c r="B4687" s="43" t="s">
        <v>26</v>
      </c>
      <c r="C4687" s="43" t="s">
        <v>27</v>
      </c>
      <c r="D4687" s="44">
        <v>45911</v>
      </c>
      <c r="E4687" s="45">
        <v>573.294</v>
      </c>
    </row>
    <row r="4688" spans="2:5">
      <c r="B4688" s="43" t="s">
        <v>122</v>
      </c>
      <c r="C4688" s="43" t="s">
        <v>123</v>
      </c>
      <c r="D4688" s="44">
        <v>45911</v>
      </c>
      <c r="E4688" s="45">
        <v>211.4</v>
      </c>
    </row>
    <row r="4689" spans="2:5">
      <c r="B4689" s="43" t="s">
        <v>64</v>
      </c>
      <c r="C4689" s="43" t="s">
        <v>65</v>
      </c>
      <c r="D4689" s="44">
        <v>45911</v>
      </c>
      <c r="E4689" s="45">
        <v>360</v>
      </c>
    </row>
    <row r="4690" spans="2:5">
      <c r="B4690" s="43" t="s">
        <v>198</v>
      </c>
      <c r="C4690" s="43" t="s">
        <v>199</v>
      </c>
      <c r="D4690" s="44">
        <v>45911</v>
      </c>
      <c r="E4690" s="45">
        <v>277.2</v>
      </c>
    </row>
    <row r="4691" spans="2:5">
      <c r="B4691" s="43" t="s">
        <v>66</v>
      </c>
      <c r="C4691" s="43" t="s">
        <v>67</v>
      </c>
      <c r="D4691" s="44">
        <v>45911</v>
      </c>
      <c r="E4691" s="45">
        <v>415.5</v>
      </c>
    </row>
    <row r="4692" spans="2:5">
      <c r="B4692" s="43" t="s">
        <v>132</v>
      </c>
      <c r="C4692" s="43" t="s">
        <v>133</v>
      </c>
      <c r="D4692" s="44">
        <v>45911</v>
      </c>
      <c r="E4692" s="45">
        <v>432.6</v>
      </c>
    </row>
    <row r="4693" spans="2:5">
      <c r="B4693" s="43" t="s">
        <v>96</v>
      </c>
      <c r="C4693" s="43" t="s">
        <v>97</v>
      </c>
      <c r="D4693" s="44">
        <v>45911</v>
      </c>
      <c r="E4693" s="45">
        <v>62</v>
      </c>
    </row>
    <row r="4694" spans="2:5">
      <c r="B4694" s="43" t="s">
        <v>32</v>
      </c>
      <c r="C4694" s="43" t="s">
        <v>33</v>
      </c>
      <c r="D4694" s="44">
        <v>45911</v>
      </c>
      <c r="E4694" s="45">
        <v>5</v>
      </c>
    </row>
    <row r="4695" spans="2:5">
      <c r="B4695" s="43" t="s">
        <v>160</v>
      </c>
      <c r="C4695" s="43" t="s">
        <v>161</v>
      </c>
      <c r="D4695" s="44">
        <v>45911</v>
      </c>
      <c r="E4695" s="45">
        <v>2</v>
      </c>
    </row>
    <row r="4696" spans="2:5">
      <c r="B4696" s="43" t="s">
        <v>40</v>
      </c>
      <c r="C4696" s="43" t="s">
        <v>41</v>
      </c>
      <c r="D4696" s="44">
        <v>45912</v>
      </c>
      <c r="E4696" s="45">
        <v>18</v>
      </c>
    </row>
    <row r="4697" spans="2:5">
      <c r="B4697" s="43" t="s">
        <v>42</v>
      </c>
      <c r="C4697" s="43" t="s">
        <v>43</v>
      </c>
      <c r="D4697" s="44">
        <v>45912</v>
      </c>
      <c r="E4697" s="45">
        <v>187.55</v>
      </c>
    </row>
    <row r="4698" spans="2:5">
      <c r="B4698" s="43" t="s">
        <v>4</v>
      </c>
      <c r="C4698" s="43" t="s">
        <v>5</v>
      </c>
      <c r="D4698" s="44">
        <v>45912</v>
      </c>
      <c r="E4698" s="45">
        <v>107.2</v>
      </c>
    </row>
    <row r="4699" spans="2:5">
      <c r="B4699" s="43" t="s">
        <v>156</v>
      </c>
      <c r="C4699" s="43" t="s">
        <v>157</v>
      </c>
      <c r="D4699" s="44">
        <v>45912</v>
      </c>
      <c r="E4699" s="45">
        <v>466.8</v>
      </c>
    </row>
    <row r="4700" spans="2:5">
      <c r="B4700" s="43" t="s">
        <v>46</v>
      </c>
      <c r="C4700" s="43" t="s">
        <v>47</v>
      </c>
      <c r="D4700" s="44">
        <v>45912</v>
      </c>
      <c r="E4700" s="45">
        <v>327.7464</v>
      </c>
    </row>
    <row r="4701" spans="2:5">
      <c r="B4701" s="43" t="s">
        <v>10</v>
      </c>
      <c r="C4701" s="43" t="s">
        <v>11</v>
      </c>
      <c r="D4701" s="44">
        <v>45912</v>
      </c>
      <c r="E4701" s="45">
        <v>563.55</v>
      </c>
    </row>
    <row r="4702" spans="2:5">
      <c r="B4702" s="43" t="s">
        <v>74</v>
      </c>
      <c r="C4702" s="43" t="s">
        <v>75</v>
      </c>
      <c r="D4702" s="44">
        <v>45912</v>
      </c>
      <c r="E4702" s="45">
        <v>423.3</v>
      </c>
    </row>
    <row r="4703" spans="2:5">
      <c r="B4703" s="43" t="s">
        <v>12</v>
      </c>
      <c r="C4703" s="43" t="s">
        <v>13</v>
      </c>
      <c r="D4703" s="44">
        <v>45912</v>
      </c>
      <c r="E4703" s="45">
        <v>55.2</v>
      </c>
    </row>
    <row r="4704" spans="2:5">
      <c r="B4704" s="43" t="s">
        <v>14</v>
      </c>
      <c r="C4704" s="43" t="s">
        <v>15</v>
      </c>
      <c r="D4704" s="44">
        <v>45912</v>
      </c>
      <c r="E4704" s="45">
        <v>850.5</v>
      </c>
    </row>
    <row r="4705" spans="2:5">
      <c r="B4705" s="43" t="s">
        <v>76</v>
      </c>
      <c r="C4705" s="43" t="s">
        <v>77</v>
      </c>
      <c r="D4705" s="44">
        <v>45912</v>
      </c>
      <c r="E4705" s="45">
        <v>88.25</v>
      </c>
    </row>
    <row r="4706" spans="2:5">
      <c r="B4706" s="43" t="s">
        <v>190</v>
      </c>
      <c r="C4706" s="43" t="s">
        <v>191</v>
      </c>
      <c r="D4706" s="44">
        <v>45912</v>
      </c>
      <c r="E4706" s="45">
        <v>108</v>
      </c>
    </row>
    <row r="4707" spans="2:5">
      <c r="B4707" s="43" t="s">
        <v>78</v>
      </c>
      <c r="C4707" s="43" t="s">
        <v>79</v>
      </c>
      <c r="D4707" s="44">
        <v>45912</v>
      </c>
      <c r="E4707" s="45">
        <v>17.7</v>
      </c>
    </row>
    <row r="4708" spans="2:5">
      <c r="B4708" s="43" t="s">
        <v>20</v>
      </c>
      <c r="C4708" s="43" t="s">
        <v>21</v>
      </c>
      <c r="D4708" s="44">
        <v>45912</v>
      </c>
      <c r="E4708" s="45">
        <v>19.6</v>
      </c>
    </row>
    <row r="4709" spans="2:5">
      <c r="B4709" s="43" t="s">
        <v>22</v>
      </c>
      <c r="C4709" s="43" t="s">
        <v>23</v>
      </c>
      <c r="D4709" s="44">
        <v>45912</v>
      </c>
      <c r="E4709" s="45">
        <v>9.6</v>
      </c>
    </row>
    <row r="4710" spans="2:5">
      <c r="B4710" s="43" t="s">
        <v>80</v>
      </c>
      <c r="C4710" s="43" t="s">
        <v>81</v>
      </c>
      <c r="D4710" s="44">
        <v>45912</v>
      </c>
      <c r="E4710" s="45">
        <v>660.1</v>
      </c>
    </row>
    <row r="4711" spans="2:5">
      <c r="B4711" s="43" t="s">
        <v>24</v>
      </c>
      <c r="C4711" s="43" t="s">
        <v>25</v>
      </c>
      <c r="D4711" s="44">
        <v>45912</v>
      </c>
      <c r="E4711" s="45">
        <v>1717.2</v>
      </c>
    </row>
    <row r="4712" spans="2:5">
      <c r="B4712" s="43" t="s">
        <v>26</v>
      </c>
      <c r="C4712" s="43" t="s">
        <v>27</v>
      </c>
      <c r="D4712" s="44">
        <v>45912</v>
      </c>
      <c r="E4712" s="45">
        <v>1166.25</v>
      </c>
    </row>
    <row r="4713" spans="2:5">
      <c r="B4713" s="43" t="s">
        <v>110</v>
      </c>
      <c r="C4713" s="43" t="s">
        <v>111</v>
      </c>
      <c r="D4713" s="44">
        <v>45912</v>
      </c>
      <c r="E4713" s="45">
        <v>247.5</v>
      </c>
    </row>
    <row r="4714" spans="2:5">
      <c r="B4714" s="43" t="s">
        <v>194</v>
      </c>
      <c r="C4714" s="43" t="s">
        <v>195</v>
      </c>
      <c r="D4714" s="44">
        <v>45912</v>
      </c>
      <c r="E4714" s="45">
        <v>142.1</v>
      </c>
    </row>
    <row r="4715" spans="2:5">
      <c r="B4715" s="43" t="s">
        <v>64</v>
      </c>
      <c r="C4715" s="43" t="s">
        <v>65</v>
      </c>
      <c r="D4715" s="44">
        <v>45912</v>
      </c>
      <c r="E4715" s="45">
        <v>120</v>
      </c>
    </row>
    <row r="4716" spans="2:5">
      <c r="B4716" s="43" t="s">
        <v>172</v>
      </c>
      <c r="C4716" s="43" t="s">
        <v>173</v>
      </c>
      <c r="D4716" s="44">
        <v>45912</v>
      </c>
      <c r="E4716" s="45">
        <v>90.2</v>
      </c>
    </row>
    <row r="4717" spans="2:5">
      <c r="B4717" s="43" t="s">
        <v>150</v>
      </c>
      <c r="C4717" s="43" t="s">
        <v>151</v>
      </c>
      <c r="D4717" s="44">
        <v>45912</v>
      </c>
      <c r="E4717" s="45">
        <v>757.4</v>
      </c>
    </row>
    <row r="4718" spans="2:5">
      <c r="B4718" s="43" t="s">
        <v>106</v>
      </c>
      <c r="C4718" s="43" t="s">
        <v>107</v>
      </c>
      <c r="D4718" s="44">
        <v>45912</v>
      </c>
      <c r="E4718" s="45">
        <v>7.7</v>
      </c>
    </row>
    <row r="4719" spans="2:5">
      <c r="B4719" s="43" t="s">
        <v>142</v>
      </c>
      <c r="C4719" s="43" t="s">
        <v>143</v>
      </c>
      <c r="D4719" s="44">
        <v>45912</v>
      </c>
      <c r="E4719" s="45">
        <v>1</v>
      </c>
    </row>
    <row r="4720" spans="2:5">
      <c r="B4720" s="43" t="s">
        <v>196</v>
      </c>
      <c r="C4720" s="43" t="s">
        <v>197</v>
      </c>
      <c r="D4720" s="44">
        <v>45912</v>
      </c>
      <c r="E4720" s="45">
        <v>12</v>
      </c>
    </row>
    <row r="4721" spans="2:5">
      <c r="B4721" s="43" t="s">
        <v>96</v>
      </c>
      <c r="C4721" s="43" t="s">
        <v>97</v>
      </c>
      <c r="D4721" s="44">
        <v>45912</v>
      </c>
      <c r="E4721" s="45">
        <v>42</v>
      </c>
    </row>
    <row r="4722" spans="2:5">
      <c r="B4722" s="43" t="s">
        <v>32</v>
      </c>
      <c r="C4722" s="43" t="s">
        <v>33</v>
      </c>
      <c r="D4722" s="44">
        <v>45912</v>
      </c>
      <c r="E4722" s="45">
        <v>14</v>
      </c>
    </row>
    <row r="4723" spans="2:5">
      <c r="B4723" s="43" t="s">
        <v>160</v>
      </c>
      <c r="C4723" s="43" t="s">
        <v>161</v>
      </c>
      <c r="D4723" s="44">
        <v>45912</v>
      </c>
      <c r="E4723" s="45">
        <v>15</v>
      </c>
    </row>
    <row r="4724" spans="2:5">
      <c r="B4724" s="43" t="s">
        <v>36</v>
      </c>
      <c r="C4724" s="43" t="s">
        <v>37</v>
      </c>
      <c r="D4724" s="44">
        <v>45912</v>
      </c>
      <c r="E4724" s="45">
        <v>6</v>
      </c>
    </row>
    <row r="4725" spans="2:5">
      <c r="B4725" s="43" t="s">
        <v>38</v>
      </c>
      <c r="C4725" s="43" t="s">
        <v>39</v>
      </c>
      <c r="D4725" s="44">
        <v>45912</v>
      </c>
      <c r="E4725" s="45">
        <v>20</v>
      </c>
    </row>
    <row r="4726" spans="2:5">
      <c r="B4726" s="43" t="s">
        <v>104</v>
      </c>
      <c r="C4726" s="43" t="s">
        <v>105</v>
      </c>
      <c r="D4726" s="44">
        <v>45915</v>
      </c>
      <c r="E4726" s="45">
        <v>12</v>
      </c>
    </row>
    <row r="4727" spans="2:5">
      <c r="B4727" s="43" t="s">
        <v>156</v>
      </c>
      <c r="C4727" s="43" t="s">
        <v>157</v>
      </c>
      <c r="D4727" s="44">
        <v>45915</v>
      </c>
      <c r="E4727" s="45">
        <v>444.6</v>
      </c>
    </row>
    <row r="4728" spans="2:5">
      <c r="B4728" s="43" t="s">
        <v>46</v>
      </c>
      <c r="C4728" s="43" t="s">
        <v>47</v>
      </c>
      <c r="D4728" s="44">
        <v>45915</v>
      </c>
      <c r="E4728" s="45">
        <v>226</v>
      </c>
    </row>
    <row r="4729" spans="2:5">
      <c r="B4729" s="43" t="s">
        <v>10</v>
      </c>
      <c r="C4729" s="43" t="s">
        <v>11</v>
      </c>
      <c r="D4729" s="44">
        <v>45915</v>
      </c>
      <c r="E4729" s="45">
        <v>110.5</v>
      </c>
    </row>
    <row r="4730" spans="2:5">
      <c r="B4730" s="43" t="s">
        <v>12</v>
      </c>
      <c r="C4730" s="43" t="s">
        <v>13</v>
      </c>
      <c r="D4730" s="44">
        <v>45915</v>
      </c>
      <c r="E4730" s="45">
        <v>345</v>
      </c>
    </row>
    <row r="4731" spans="2:5">
      <c r="B4731" s="43" t="s">
        <v>14</v>
      </c>
      <c r="C4731" s="43" t="s">
        <v>15</v>
      </c>
      <c r="D4731" s="44">
        <v>45915</v>
      </c>
      <c r="E4731" s="45">
        <v>135</v>
      </c>
    </row>
    <row r="4732" spans="2:5">
      <c r="B4732" s="43" t="s">
        <v>56</v>
      </c>
      <c r="C4732" s="43" t="s">
        <v>57</v>
      </c>
      <c r="D4732" s="44">
        <v>45915</v>
      </c>
      <c r="E4732" s="45">
        <v>1954.8</v>
      </c>
    </row>
    <row r="4733" spans="2:5">
      <c r="B4733" s="43" t="s">
        <v>76</v>
      </c>
      <c r="C4733" s="43" t="s">
        <v>77</v>
      </c>
      <c r="D4733" s="44">
        <v>45915</v>
      </c>
      <c r="E4733" s="45">
        <v>317.7</v>
      </c>
    </row>
    <row r="4734" spans="2:5">
      <c r="B4734" s="43" t="s">
        <v>18</v>
      </c>
      <c r="C4734" s="43" t="s">
        <v>19</v>
      </c>
      <c r="D4734" s="44">
        <v>45915</v>
      </c>
      <c r="E4734" s="45">
        <v>89</v>
      </c>
    </row>
    <row r="4735" spans="2:5">
      <c r="B4735" s="43" t="s">
        <v>200</v>
      </c>
      <c r="C4735" s="43" t="s">
        <v>201</v>
      </c>
      <c r="D4735" s="44">
        <v>45915</v>
      </c>
      <c r="E4735" s="45">
        <v>165</v>
      </c>
    </row>
    <row r="4736" spans="2:5">
      <c r="B4736" s="43" t="s">
        <v>78</v>
      </c>
      <c r="C4736" s="43" t="s">
        <v>79</v>
      </c>
      <c r="D4736" s="44">
        <v>45915</v>
      </c>
      <c r="E4736" s="45">
        <v>35.4</v>
      </c>
    </row>
    <row r="4737" spans="2:5">
      <c r="B4737" s="43" t="s">
        <v>22</v>
      </c>
      <c r="C4737" s="43" t="s">
        <v>23</v>
      </c>
      <c r="D4737" s="44">
        <v>45915</v>
      </c>
      <c r="E4737" s="45">
        <v>19.2</v>
      </c>
    </row>
    <row r="4738" spans="2:5">
      <c r="B4738" s="43" t="s">
        <v>140</v>
      </c>
      <c r="C4738" s="43" t="s">
        <v>141</v>
      </c>
      <c r="D4738" s="44">
        <v>45915</v>
      </c>
      <c r="E4738" s="45">
        <v>1577.6</v>
      </c>
    </row>
    <row r="4739" spans="2:5">
      <c r="B4739" s="43" t="s">
        <v>24</v>
      </c>
      <c r="C4739" s="43" t="s">
        <v>25</v>
      </c>
      <c r="D4739" s="44">
        <v>45915</v>
      </c>
      <c r="E4739" s="45">
        <v>985.8</v>
      </c>
    </row>
    <row r="4740" spans="2:5">
      <c r="B4740" s="43" t="s">
        <v>58</v>
      </c>
      <c r="C4740" s="43" t="s">
        <v>59</v>
      </c>
      <c r="D4740" s="44">
        <v>45915</v>
      </c>
      <c r="E4740" s="45">
        <v>619.5</v>
      </c>
    </row>
    <row r="4741" spans="2:5">
      <c r="B4741" s="43" t="s">
        <v>210</v>
      </c>
      <c r="C4741" s="43" t="s">
        <v>211</v>
      </c>
      <c r="D4741" s="44">
        <v>45915</v>
      </c>
      <c r="E4741" s="45">
        <v>328</v>
      </c>
    </row>
    <row r="4742" spans="2:5">
      <c r="B4742" s="43" t="s">
        <v>26</v>
      </c>
      <c r="C4742" s="43" t="s">
        <v>27</v>
      </c>
      <c r="D4742" s="44">
        <v>45915</v>
      </c>
      <c r="E4742" s="45">
        <v>730.85</v>
      </c>
    </row>
    <row r="4743" spans="2:5">
      <c r="B4743" s="43" t="s">
        <v>60</v>
      </c>
      <c r="C4743" s="43" t="s">
        <v>61</v>
      </c>
      <c r="D4743" s="44">
        <v>45915</v>
      </c>
      <c r="E4743" s="45">
        <v>109.8</v>
      </c>
    </row>
    <row r="4744" spans="2:5">
      <c r="B4744" s="43" t="s">
        <v>28</v>
      </c>
      <c r="C4744" s="43" t="s">
        <v>29</v>
      </c>
      <c r="D4744" s="44">
        <v>45915</v>
      </c>
      <c r="E4744" s="45">
        <v>358</v>
      </c>
    </row>
    <row r="4745" spans="2:5">
      <c r="B4745" s="43" t="s">
        <v>62</v>
      </c>
      <c r="C4745" s="43" t="s">
        <v>63</v>
      </c>
      <c r="D4745" s="44">
        <v>45915</v>
      </c>
      <c r="E4745" s="45">
        <v>307.5</v>
      </c>
    </row>
    <row r="4746" spans="2:5">
      <c r="B4746" s="43" t="s">
        <v>64</v>
      </c>
      <c r="C4746" s="43" t="s">
        <v>65</v>
      </c>
      <c r="D4746" s="44">
        <v>45915</v>
      </c>
      <c r="E4746" s="45">
        <v>1360</v>
      </c>
    </row>
    <row r="4747" spans="2:5">
      <c r="B4747" s="43" t="s">
        <v>166</v>
      </c>
      <c r="C4747" s="43" t="s">
        <v>167</v>
      </c>
      <c r="D4747" s="44">
        <v>45915</v>
      </c>
      <c r="E4747" s="45">
        <v>77.4</v>
      </c>
    </row>
    <row r="4748" spans="2:5">
      <c r="B4748" s="43" t="s">
        <v>112</v>
      </c>
      <c r="C4748" s="43" t="s">
        <v>113</v>
      </c>
      <c r="D4748" s="44">
        <v>45915</v>
      </c>
      <c r="E4748" s="45">
        <v>30</v>
      </c>
    </row>
    <row r="4749" spans="2:5">
      <c r="B4749" s="43" t="s">
        <v>186</v>
      </c>
      <c r="C4749" s="43" t="s">
        <v>187</v>
      </c>
      <c r="D4749" s="44">
        <v>45915</v>
      </c>
      <c r="E4749" s="45">
        <v>447.7</v>
      </c>
    </row>
    <row r="4750" spans="2:5">
      <c r="B4750" s="43" t="s">
        <v>196</v>
      </c>
      <c r="C4750" s="43" t="s">
        <v>197</v>
      </c>
      <c r="D4750" s="44">
        <v>45915</v>
      </c>
      <c r="E4750" s="45">
        <v>2</v>
      </c>
    </row>
    <row r="4751" spans="2:5">
      <c r="B4751" s="43" t="s">
        <v>96</v>
      </c>
      <c r="C4751" s="43" t="s">
        <v>97</v>
      </c>
      <c r="D4751" s="44">
        <v>45915</v>
      </c>
      <c r="E4751" s="45">
        <v>44</v>
      </c>
    </row>
    <row r="4752" spans="2:5">
      <c r="B4752" s="43" t="s">
        <v>32</v>
      </c>
      <c r="C4752" s="43" t="s">
        <v>33</v>
      </c>
      <c r="D4752" s="44">
        <v>45915</v>
      </c>
      <c r="E4752" s="45">
        <v>2</v>
      </c>
    </row>
    <row r="4753" spans="2:5">
      <c r="B4753" s="43" t="s">
        <v>160</v>
      </c>
      <c r="C4753" s="43" t="s">
        <v>161</v>
      </c>
      <c r="D4753" s="44">
        <v>45915</v>
      </c>
      <c r="E4753" s="45">
        <v>3</v>
      </c>
    </row>
    <row r="4754" spans="2:5">
      <c r="B4754" s="43" t="s">
        <v>36</v>
      </c>
      <c r="C4754" s="43" t="s">
        <v>37</v>
      </c>
      <c r="D4754" s="44">
        <v>45915</v>
      </c>
      <c r="E4754" s="45">
        <v>5</v>
      </c>
    </row>
    <row r="4755" spans="2:5">
      <c r="B4755" s="43" t="s">
        <v>156</v>
      </c>
      <c r="C4755" s="43" t="s">
        <v>157</v>
      </c>
      <c r="D4755" s="44">
        <v>45916</v>
      </c>
      <c r="E4755" s="45">
        <v>62.4</v>
      </c>
    </row>
    <row r="4756" spans="2:5">
      <c r="B4756" s="43" t="s">
        <v>8</v>
      </c>
      <c r="C4756" s="43" t="s">
        <v>9</v>
      </c>
      <c r="D4756" s="44">
        <v>45916</v>
      </c>
      <c r="E4756" s="45">
        <v>43.5</v>
      </c>
    </row>
    <row r="4757" spans="2:5">
      <c r="B4757" s="43" t="s">
        <v>46</v>
      </c>
      <c r="C4757" s="43" t="s">
        <v>47</v>
      </c>
      <c r="D4757" s="44">
        <v>45916</v>
      </c>
      <c r="E4757" s="45">
        <v>395.5</v>
      </c>
    </row>
    <row r="4758" spans="2:5">
      <c r="B4758" s="43" t="s">
        <v>12</v>
      </c>
      <c r="C4758" s="43" t="s">
        <v>13</v>
      </c>
      <c r="D4758" s="44">
        <v>45916</v>
      </c>
      <c r="E4758" s="45">
        <v>676.2</v>
      </c>
    </row>
    <row r="4759" spans="2:5">
      <c r="B4759" s="43" t="s">
        <v>108</v>
      </c>
      <c r="C4759" s="43" t="s">
        <v>109</v>
      </c>
      <c r="D4759" s="44">
        <v>45916</v>
      </c>
      <c r="E4759" s="45">
        <v>31</v>
      </c>
    </row>
    <row r="4760" spans="2:5">
      <c r="B4760" s="43" t="s">
        <v>14</v>
      </c>
      <c r="C4760" s="43" t="s">
        <v>15</v>
      </c>
      <c r="D4760" s="44">
        <v>45916</v>
      </c>
      <c r="E4760" s="45">
        <v>243</v>
      </c>
    </row>
    <row r="4761" spans="2:5">
      <c r="B4761" s="43" t="s">
        <v>54</v>
      </c>
      <c r="C4761" s="43" t="s">
        <v>55</v>
      </c>
      <c r="D4761" s="44">
        <v>45916</v>
      </c>
      <c r="E4761" s="45">
        <v>585.2</v>
      </c>
    </row>
    <row r="4762" spans="2:5">
      <c r="B4762" s="43" t="s">
        <v>176</v>
      </c>
      <c r="C4762" s="43" t="s">
        <v>177</v>
      </c>
      <c r="D4762" s="44">
        <v>45916</v>
      </c>
      <c r="E4762" s="45">
        <v>202.5</v>
      </c>
    </row>
    <row r="4763" spans="2:5">
      <c r="B4763" s="43" t="s">
        <v>130</v>
      </c>
      <c r="C4763" s="43" t="s">
        <v>131</v>
      </c>
      <c r="D4763" s="44">
        <v>45916</v>
      </c>
      <c r="E4763" s="45">
        <v>155.1</v>
      </c>
    </row>
    <row r="4764" spans="2:5">
      <c r="B4764" s="43" t="s">
        <v>200</v>
      </c>
      <c r="C4764" s="43" t="s">
        <v>201</v>
      </c>
      <c r="D4764" s="44">
        <v>45916</v>
      </c>
      <c r="E4764" s="45">
        <v>55</v>
      </c>
    </row>
    <row r="4765" spans="2:5">
      <c r="B4765" s="43" t="s">
        <v>78</v>
      </c>
      <c r="C4765" s="43" t="s">
        <v>79</v>
      </c>
      <c r="D4765" s="44">
        <v>45916</v>
      </c>
      <c r="E4765" s="45">
        <v>79.65</v>
      </c>
    </row>
    <row r="4766" spans="2:5">
      <c r="B4766" s="43" t="s">
        <v>20</v>
      </c>
      <c r="C4766" s="43" t="s">
        <v>21</v>
      </c>
      <c r="D4766" s="44">
        <v>45916</v>
      </c>
      <c r="E4766" s="45">
        <v>9.8</v>
      </c>
    </row>
    <row r="4767" spans="2:5">
      <c r="B4767" s="43" t="s">
        <v>22</v>
      </c>
      <c r="C4767" s="43" t="s">
        <v>23</v>
      </c>
      <c r="D4767" s="44">
        <v>45916</v>
      </c>
      <c r="E4767" s="45">
        <v>48</v>
      </c>
    </row>
    <row r="4768" spans="2:5">
      <c r="B4768" s="43" t="s">
        <v>140</v>
      </c>
      <c r="C4768" s="43" t="s">
        <v>141</v>
      </c>
      <c r="D4768" s="44">
        <v>45916</v>
      </c>
      <c r="E4768" s="45">
        <v>116</v>
      </c>
    </row>
    <row r="4769" spans="2:5">
      <c r="B4769" s="43" t="s">
        <v>80</v>
      </c>
      <c r="C4769" s="43" t="s">
        <v>81</v>
      </c>
      <c r="D4769" s="44">
        <v>45916</v>
      </c>
      <c r="E4769" s="45">
        <v>57.4</v>
      </c>
    </row>
    <row r="4770" spans="2:5">
      <c r="B4770" s="43" t="s">
        <v>24</v>
      </c>
      <c r="C4770" s="43" t="s">
        <v>25</v>
      </c>
      <c r="D4770" s="44">
        <v>45916</v>
      </c>
      <c r="E4770" s="45">
        <v>1415.1</v>
      </c>
    </row>
    <row r="4771" spans="2:5">
      <c r="B4771" s="43" t="s">
        <v>58</v>
      </c>
      <c r="C4771" s="43" t="s">
        <v>59</v>
      </c>
      <c r="D4771" s="44">
        <v>45916</v>
      </c>
      <c r="E4771" s="45">
        <v>354</v>
      </c>
    </row>
    <row r="4772" spans="2:5">
      <c r="B4772" s="43" t="s">
        <v>26</v>
      </c>
      <c r="C4772" s="43" t="s">
        <v>27</v>
      </c>
      <c r="D4772" s="44">
        <v>45916</v>
      </c>
      <c r="E4772" s="45">
        <v>2441.35</v>
      </c>
    </row>
    <row r="4773" spans="2:5">
      <c r="B4773" s="43" t="s">
        <v>194</v>
      </c>
      <c r="C4773" s="43" t="s">
        <v>195</v>
      </c>
      <c r="D4773" s="44">
        <v>45916</v>
      </c>
      <c r="E4773" s="45">
        <v>345.1</v>
      </c>
    </row>
    <row r="4774" spans="2:5">
      <c r="B4774" s="43" t="s">
        <v>28</v>
      </c>
      <c r="C4774" s="43" t="s">
        <v>29</v>
      </c>
      <c r="D4774" s="44">
        <v>45916</v>
      </c>
      <c r="E4774" s="45">
        <v>286.4</v>
      </c>
    </row>
    <row r="4775" spans="2:5">
      <c r="B4775" s="43" t="s">
        <v>62</v>
      </c>
      <c r="C4775" s="43" t="s">
        <v>63</v>
      </c>
      <c r="D4775" s="44">
        <v>45916</v>
      </c>
      <c r="E4775" s="45">
        <v>2050</v>
      </c>
    </row>
    <row r="4776" spans="2:5">
      <c r="B4776" s="43" t="s">
        <v>64</v>
      </c>
      <c r="C4776" s="43" t="s">
        <v>65</v>
      </c>
      <c r="D4776" s="44">
        <v>45916</v>
      </c>
      <c r="E4776" s="45">
        <v>1520</v>
      </c>
    </row>
    <row r="4777" spans="2:5">
      <c r="B4777" s="43" t="s">
        <v>142</v>
      </c>
      <c r="C4777" s="43" t="s">
        <v>143</v>
      </c>
      <c r="D4777" s="44">
        <v>45916</v>
      </c>
      <c r="E4777" s="45">
        <v>61</v>
      </c>
    </row>
    <row r="4778" spans="2:5">
      <c r="B4778" s="43" t="s">
        <v>96</v>
      </c>
      <c r="C4778" s="43" t="s">
        <v>97</v>
      </c>
      <c r="D4778" s="44">
        <v>45916</v>
      </c>
      <c r="E4778" s="45">
        <v>322</v>
      </c>
    </row>
    <row r="4779" spans="2:5">
      <c r="B4779" s="43" t="s">
        <v>32</v>
      </c>
      <c r="C4779" s="43" t="s">
        <v>33</v>
      </c>
      <c r="D4779" s="44">
        <v>45916</v>
      </c>
      <c r="E4779" s="45">
        <v>61</v>
      </c>
    </row>
    <row r="4780" spans="2:5">
      <c r="B4780" s="43" t="s">
        <v>160</v>
      </c>
      <c r="C4780" s="43" t="s">
        <v>161</v>
      </c>
      <c r="D4780" s="44">
        <v>45916</v>
      </c>
      <c r="E4780" s="45">
        <v>9</v>
      </c>
    </row>
    <row r="4781" spans="2:5">
      <c r="B4781" s="43" t="s">
        <v>170</v>
      </c>
      <c r="C4781" s="43" t="s">
        <v>171</v>
      </c>
      <c r="D4781" s="44">
        <v>45916</v>
      </c>
      <c r="E4781" s="45">
        <v>11</v>
      </c>
    </row>
    <row r="4782" spans="2:5">
      <c r="B4782" s="43" t="s">
        <v>36</v>
      </c>
      <c r="C4782" s="43" t="s">
        <v>37</v>
      </c>
      <c r="D4782" s="44">
        <v>45916</v>
      </c>
      <c r="E4782" s="45">
        <v>5</v>
      </c>
    </row>
    <row r="4783" spans="2:5">
      <c r="B4783" s="43" t="s">
        <v>40</v>
      </c>
      <c r="C4783" s="43" t="s">
        <v>41</v>
      </c>
      <c r="D4783" s="44">
        <v>45917</v>
      </c>
      <c r="E4783" s="45">
        <v>10</v>
      </c>
    </row>
    <row r="4784" spans="2:5">
      <c r="B4784" s="43" t="s">
        <v>86</v>
      </c>
      <c r="C4784" s="43" t="s">
        <v>87</v>
      </c>
      <c r="D4784" s="44">
        <v>45917</v>
      </c>
      <c r="E4784" s="45">
        <v>4</v>
      </c>
    </row>
    <row r="4785" spans="2:5">
      <c r="B4785" s="43" t="s">
        <v>4</v>
      </c>
      <c r="C4785" s="43" t="s">
        <v>5</v>
      </c>
      <c r="D4785" s="44">
        <v>45917</v>
      </c>
      <c r="E4785" s="45">
        <v>134</v>
      </c>
    </row>
    <row r="4786" spans="2:5">
      <c r="B4786" s="43" t="s">
        <v>156</v>
      </c>
      <c r="C4786" s="43" t="s">
        <v>157</v>
      </c>
      <c r="D4786" s="44">
        <v>45917</v>
      </c>
      <c r="E4786" s="45">
        <v>46.8</v>
      </c>
    </row>
    <row r="4787" spans="2:5">
      <c r="B4787" s="43" t="s">
        <v>46</v>
      </c>
      <c r="C4787" s="43" t="s">
        <v>47</v>
      </c>
      <c r="D4787" s="44">
        <v>45917</v>
      </c>
      <c r="E4787" s="45">
        <v>994.4</v>
      </c>
    </row>
    <row r="4788" spans="2:5">
      <c r="B4788" s="43" t="s">
        <v>10</v>
      </c>
      <c r="C4788" s="43" t="s">
        <v>11</v>
      </c>
      <c r="D4788" s="44">
        <v>45917</v>
      </c>
      <c r="E4788" s="45">
        <v>110.5</v>
      </c>
    </row>
    <row r="4789" spans="2:5">
      <c r="B4789" s="43" t="s">
        <v>74</v>
      </c>
      <c r="C4789" s="43" t="s">
        <v>75</v>
      </c>
      <c r="D4789" s="44">
        <v>45917</v>
      </c>
      <c r="E4789" s="45">
        <v>24.9</v>
      </c>
    </row>
    <row r="4790" spans="2:5">
      <c r="B4790" s="43" t="s">
        <v>12</v>
      </c>
      <c r="C4790" s="43" t="s">
        <v>13</v>
      </c>
      <c r="D4790" s="44">
        <v>45917</v>
      </c>
      <c r="E4790" s="45">
        <v>1186.8</v>
      </c>
    </row>
    <row r="4791" spans="2:5">
      <c r="B4791" s="43" t="s">
        <v>14</v>
      </c>
      <c r="C4791" s="43" t="s">
        <v>15</v>
      </c>
      <c r="D4791" s="44">
        <v>45917</v>
      </c>
      <c r="E4791" s="45">
        <v>135</v>
      </c>
    </row>
    <row r="4792" spans="2:5">
      <c r="B4792" s="43" t="s">
        <v>50</v>
      </c>
      <c r="C4792" s="43" t="s">
        <v>51</v>
      </c>
      <c r="D4792" s="44">
        <v>45917</v>
      </c>
      <c r="E4792" s="45">
        <v>272</v>
      </c>
    </row>
    <row r="4793" spans="2:5">
      <c r="B4793" s="43" t="s">
        <v>114</v>
      </c>
      <c r="C4793" s="43" t="s">
        <v>115</v>
      </c>
      <c r="D4793" s="44">
        <v>45917</v>
      </c>
      <c r="E4793" s="45">
        <v>558.6</v>
      </c>
    </row>
    <row r="4794" spans="2:5">
      <c r="B4794" s="43" t="s">
        <v>54</v>
      </c>
      <c r="C4794" s="43" t="s">
        <v>55</v>
      </c>
      <c r="D4794" s="44">
        <v>45917</v>
      </c>
      <c r="E4794" s="45">
        <v>585.2</v>
      </c>
    </row>
    <row r="4795" spans="2:5">
      <c r="B4795" s="43" t="s">
        <v>56</v>
      </c>
      <c r="C4795" s="43" t="s">
        <v>57</v>
      </c>
      <c r="D4795" s="44">
        <v>45917</v>
      </c>
      <c r="E4795" s="45">
        <v>72.4</v>
      </c>
    </row>
    <row r="4796" spans="2:5">
      <c r="B4796" s="43" t="s">
        <v>162</v>
      </c>
      <c r="C4796" s="43" t="s">
        <v>163</v>
      </c>
      <c r="D4796" s="44">
        <v>45917</v>
      </c>
      <c r="E4796" s="45">
        <v>363.6</v>
      </c>
    </row>
    <row r="4797" spans="2:5">
      <c r="B4797" s="43" t="s">
        <v>78</v>
      </c>
      <c r="C4797" s="43" t="s">
        <v>79</v>
      </c>
      <c r="D4797" s="44">
        <v>45917</v>
      </c>
      <c r="E4797" s="45">
        <v>8.85</v>
      </c>
    </row>
    <row r="4798" spans="2:5">
      <c r="B4798" s="43" t="s">
        <v>22</v>
      </c>
      <c r="C4798" s="43" t="s">
        <v>23</v>
      </c>
      <c r="D4798" s="44">
        <v>45917</v>
      </c>
      <c r="E4798" s="45">
        <v>124.8</v>
      </c>
    </row>
    <row r="4799" spans="2:5">
      <c r="B4799" s="43" t="s">
        <v>80</v>
      </c>
      <c r="C4799" s="43" t="s">
        <v>81</v>
      </c>
      <c r="D4799" s="44">
        <v>45917</v>
      </c>
      <c r="E4799" s="45">
        <v>143.5</v>
      </c>
    </row>
    <row r="4800" spans="2:5">
      <c r="B4800" s="43" t="s">
        <v>24</v>
      </c>
      <c r="C4800" s="43" t="s">
        <v>25</v>
      </c>
      <c r="D4800" s="44">
        <v>45917</v>
      </c>
      <c r="E4800" s="45">
        <v>1733.1</v>
      </c>
    </row>
    <row r="4801" spans="2:5">
      <c r="B4801" s="43" t="s">
        <v>26</v>
      </c>
      <c r="C4801" s="43" t="s">
        <v>27</v>
      </c>
      <c r="D4801" s="44">
        <v>45917</v>
      </c>
      <c r="E4801" s="45">
        <v>1710.5</v>
      </c>
    </row>
    <row r="4802" spans="2:5">
      <c r="B4802" s="43" t="s">
        <v>60</v>
      </c>
      <c r="C4802" s="43" t="s">
        <v>61</v>
      </c>
      <c r="D4802" s="44">
        <v>45917</v>
      </c>
      <c r="E4802" s="45">
        <v>420.9</v>
      </c>
    </row>
    <row r="4803" spans="2:5">
      <c r="B4803" s="43" t="s">
        <v>122</v>
      </c>
      <c r="C4803" s="43" t="s">
        <v>123</v>
      </c>
      <c r="D4803" s="44">
        <v>45917</v>
      </c>
      <c r="E4803" s="45">
        <v>483.2</v>
      </c>
    </row>
    <row r="4804" spans="2:5">
      <c r="B4804" s="43" t="s">
        <v>82</v>
      </c>
      <c r="C4804" s="43" t="s">
        <v>83</v>
      </c>
      <c r="D4804" s="44">
        <v>45917</v>
      </c>
      <c r="E4804" s="45">
        <v>553.5</v>
      </c>
    </row>
    <row r="4805" spans="2:5">
      <c r="B4805" s="43" t="s">
        <v>62</v>
      </c>
      <c r="C4805" s="43" t="s">
        <v>63</v>
      </c>
      <c r="D4805" s="44">
        <v>45917</v>
      </c>
      <c r="E4805" s="45">
        <v>615</v>
      </c>
    </row>
    <row r="4806" spans="2:5">
      <c r="B4806" s="43" t="s">
        <v>64</v>
      </c>
      <c r="C4806" s="43" t="s">
        <v>65</v>
      </c>
      <c r="D4806" s="44">
        <v>45917</v>
      </c>
      <c r="E4806" s="45">
        <v>1440</v>
      </c>
    </row>
    <row r="4807" spans="2:5">
      <c r="B4807" s="43" t="s">
        <v>132</v>
      </c>
      <c r="C4807" s="43" t="s">
        <v>133</v>
      </c>
      <c r="D4807" s="44">
        <v>45917</v>
      </c>
      <c r="E4807" s="45">
        <v>185.4</v>
      </c>
    </row>
    <row r="4808" spans="2:5">
      <c r="B4808" s="43" t="s">
        <v>106</v>
      </c>
      <c r="C4808" s="43" t="s">
        <v>107</v>
      </c>
      <c r="D4808" s="44">
        <v>45917</v>
      </c>
      <c r="E4808" s="45">
        <v>30.8</v>
      </c>
    </row>
    <row r="4809" spans="2:5">
      <c r="B4809" s="43" t="s">
        <v>196</v>
      </c>
      <c r="C4809" s="43" t="s">
        <v>197</v>
      </c>
      <c r="D4809" s="44">
        <v>45917</v>
      </c>
      <c r="E4809" s="45">
        <v>3</v>
      </c>
    </row>
    <row r="4810" spans="2:5">
      <c r="B4810" s="43" t="s">
        <v>96</v>
      </c>
      <c r="C4810" s="43" t="s">
        <v>97</v>
      </c>
      <c r="D4810" s="44">
        <v>45917</v>
      </c>
      <c r="E4810" s="45">
        <v>3</v>
      </c>
    </row>
    <row r="4811" spans="2:5">
      <c r="B4811" s="43" t="s">
        <v>160</v>
      </c>
      <c r="C4811" s="43" t="s">
        <v>161</v>
      </c>
      <c r="D4811" s="44">
        <v>45917</v>
      </c>
      <c r="E4811" s="45">
        <v>1</v>
      </c>
    </row>
    <row r="4812" spans="2:5">
      <c r="B4812" s="43" t="s">
        <v>34</v>
      </c>
      <c r="C4812" s="43" t="s">
        <v>35</v>
      </c>
      <c r="D4812" s="44">
        <v>45917</v>
      </c>
      <c r="E4812" s="45">
        <v>1</v>
      </c>
    </row>
    <row r="4813" spans="2:5">
      <c r="B4813" s="43" t="s">
        <v>36</v>
      </c>
      <c r="C4813" s="43" t="s">
        <v>37</v>
      </c>
      <c r="D4813" s="44">
        <v>45917</v>
      </c>
      <c r="E4813" s="45">
        <v>3</v>
      </c>
    </row>
    <row r="4814" spans="2:5">
      <c r="B4814" s="43" t="s">
        <v>4</v>
      </c>
      <c r="C4814" s="43" t="s">
        <v>5</v>
      </c>
      <c r="D4814" s="44">
        <v>45918</v>
      </c>
      <c r="E4814" s="45">
        <v>221.1</v>
      </c>
    </row>
    <row r="4815" spans="2:5">
      <c r="B4815" s="43" t="s">
        <v>156</v>
      </c>
      <c r="C4815" s="43" t="s">
        <v>157</v>
      </c>
      <c r="D4815" s="44">
        <v>45918</v>
      </c>
      <c r="E4815" s="45">
        <v>78</v>
      </c>
    </row>
    <row r="4816" spans="2:5">
      <c r="B4816" s="43" t="s">
        <v>8</v>
      </c>
      <c r="C4816" s="43" t="s">
        <v>9</v>
      </c>
      <c r="D4816" s="44">
        <v>45918</v>
      </c>
      <c r="E4816" s="45">
        <v>26.1</v>
      </c>
    </row>
    <row r="4817" spans="2:5">
      <c r="B4817" s="43" t="s">
        <v>46</v>
      </c>
      <c r="C4817" s="43" t="s">
        <v>47</v>
      </c>
      <c r="D4817" s="44">
        <v>45918</v>
      </c>
      <c r="E4817" s="45">
        <v>757.1</v>
      </c>
    </row>
    <row r="4818" spans="2:5">
      <c r="B4818" s="43" t="s">
        <v>12</v>
      </c>
      <c r="C4818" s="43" t="s">
        <v>13</v>
      </c>
      <c r="D4818" s="44">
        <v>45918</v>
      </c>
      <c r="E4818" s="45">
        <v>828</v>
      </c>
    </row>
    <row r="4819" spans="2:5">
      <c r="B4819" s="43" t="s">
        <v>50</v>
      </c>
      <c r="C4819" s="43" t="s">
        <v>51</v>
      </c>
      <c r="D4819" s="44">
        <v>45918</v>
      </c>
      <c r="E4819" s="45">
        <v>435.2</v>
      </c>
    </row>
    <row r="4820" spans="2:5">
      <c r="B4820" s="43" t="s">
        <v>54</v>
      </c>
      <c r="C4820" s="43" t="s">
        <v>55</v>
      </c>
      <c r="D4820" s="44">
        <v>45918</v>
      </c>
      <c r="E4820" s="45">
        <v>478.8</v>
      </c>
    </row>
    <row r="4821" spans="2:5">
      <c r="B4821" s="43" t="s">
        <v>188</v>
      </c>
      <c r="C4821" s="43" t="s">
        <v>189</v>
      </c>
      <c r="D4821" s="44">
        <v>45918</v>
      </c>
      <c r="E4821" s="45">
        <v>184.8</v>
      </c>
    </row>
    <row r="4822" spans="2:5">
      <c r="B4822" s="43" t="s">
        <v>16</v>
      </c>
      <c r="C4822" s="43" t="s">
        <v>17</v>
      </c>
      <c r="D4822" s="44">
        <v>45918</v>
      </c>
      <c r="E4822" s="45">
        <v>342</v>
      </c>
    </row>
    <row r="4823" spans="2:5">
      <c r="B4823" s="43" t="s">
        <v>18</v>
      </c>
      <c r="C4823" s="43" t="s">
        <v>19</v>
      </c>
      <c r="D4823" s="44">
        <v>45918</v>
      </c>
      <c r="E4823" s="45">
        <v>44.5</v>
      </c>
    </row>
    <row r="4824" spans="2:5">
      <c r="B4824" s="43" t="s">
        <v>78</v>
      </c>
      <c r="C4824" s="43" t="s">
        <v>79</v>
      </c>
      <c r="D4824" s="44">
        <v>45918</v>
      </c>
      <c r="E4824" s="45">
        <v>17.7</v>
      </c>
    </row>
    <row r="4825" spans="2:5">
      <c r="B4825" s="43" t="s">
        <v>20</v>
      </c>
      <c r="C4825" s="43" t="s">
        <v>21</v>
      </c>
      <c r="D4825" s="44">
        <v>45918</v>
      </c>
      <c r="E4825" s="45">
        <v>9.8</v>
      </c>
    </row>
    <row r="4826" spans="2:5">
      <c r="B4826" s="43" t="s">
        <v>22</v>
      </c>
      <c r="C4826" s="43" t="s">
        <v>23</v>
      </c>
      <c r="D4826" s="44">
        <v>45918</v>
      </c>
      <c r="E4826" s="45">
        <v>19.2</v>
      </c>
    </row>
    <row r="4827" spans="2:5">
      <c r="B4827" s="43" t="s">
        <v>80</v>
      </c>
      <c r="C4827" s="43" t="s">
        <v>81</v>
      </c>
      <c r="D4827" s="44">
        <v>45918</v>
      </c>
      <c r="E4827" s="45">
        <v>574</v>
      </c>
    </row>
    <row r="4828" spans="2:5">
      <c r="B4828" s="43" t="s">
        <v>24</v>
      </c>
      <c r="C4828" s="43" t="s">
        <v>25</v>
      </c>
      <c r="D4828" s="44">
        <v>45918</v>
      </c>
      <c r="E4828" s="45">
        <v>1446.9</v>
      </c>
    </row>
    <row r="4829" spans="2:5">
      <c r="B4829" s="43" t="s">
        <v>26</v>
      </c>
      <c r="C4829" s="43" t="s">
        <v>27</v>
      </c>
      <c r="D4829" s="44">
        <v>45918</v>
      </c>
      <c r="E4829" s="45">
        <v>3638.7</v>
      </c>
    </row>
    <row r="4830" spans="2:5">
      <c r="B4830" s="43" t="s">
        <v>82</v>
      </c>
      <c r="C4830" s="43" t="s">
        <v>83</v>
      </c>
      <c r="D4830" s="44">
        <v>45918</v>
      </c>
      <c r="E4830" s="45">
        <v>36.9</v>
      </c>
    </row>
    <row r="4831" spans="2:5">
      <c r="B4831" s="43" t="s">
        <v>62</v>
      </c>
      <c r="C4831" s="43" t="s">
        <v>63</v>
      </c>
      <c r="D4831" s="44">
        <v>45918</v>
      </c>
      <c r="E4831" s="45">
        <v>799.5</v>
      </c>
    </row>
    <row r="4832" spans="2:5">
      <c r="B4832" s="43" t="s">
        <v>198</v>
      </c>
      <c r="C4832" s="43" t="s">
        <v>199</v>
      </c>
      <c r="D4832" s="44">
        <v>45918</v>
      </c>
      <c r="E4832" s="45">
        <v>92.4</v>
      </c>
    </row>
    <row r="4833" spans="2:5">
      <c r="B4833" s="43" t="s">
        <v>166</v>
      </c>
      <c r="C4833" s="43" t="s">
        <v>167</v>
      </c>
      <c r="D4833" s="44">
        <v>45918</v>
      </c>
      <c r="E4833" s="45">
        <v>851.4</v>
      </c>
    </row>
    <row r="4834" spans="2:5">
      <c r="B4834" s="43" t="s">
        <v>66</v>
      </c>
      <c r="C4834" s="43" t="s">
        <v>67</v>
      </c>
      <c r="D4834" s="44">
        <v>45918</v>
      </c>
      <c r="E4834" s="45">
        <v>166.2</v>
      </c>
    </row>
    <row r="4835" spans="2:5">
      <c r="B4835" s="43" t="s">
        <v>142</v>
      </c>
      <c r="C4835" s="43" t="s">
        <v>143</v>
      </c>
      <c r="D4835" s="44">
        <v>45918</v>
      </c>
      <c r="E4835" s="45">
        <v>1</v>
      </c>
    </row>
    <row r="4836" spans="2:5">
      <c r="B4836" s="43" t="s">
        <v>96</v>
      </c>
      <c r="C4836" s="43" t="s">
        <v>97</v>
      </c>
      <c r="D4836" s="44">
        <v>45918</v>
      </c>
      <c r="E4836" s="45">
        <v>23</v>
      </c>
    </row>
    <row r="4837" spans="2:5">
      <c r="B4837" s="43" t="s">
        <v>224</v>
      </c>
      <c r="C4837" s="43" t="s">
        <v>225</v>
      </c>
      <c r="D4837" s="44">
        <v>45918</v>
      </c>
      <c r="E4837" s="45">
        <v>1</v>
      </c>
    </row>
    <row r="4838" spans="2:5">
      <c r="B4838" s="43" t="s">
        <v>32</v>
      </c>
      <c r="C4838" s="43" t="s">
        <v>33</v>
      </c>
      <c r="D4838" s="44">
        <v>45918</v>
      </c>
      <c r="E4838" s="45">
        <v>2</v>
      </c>
    </row>
    <row r="4839" spans="2:5">
      <c r="B4839" s="43" t="s">
        <v>160</v>
      </c>
      <c r="C4839" s="43" t="s">
        <v>161</v>
      </c>
      <c r="D4839" s="44">
        <v>45918</v>
      </c>
      <c r="E4839" s="45">
        <v>6</v>
      </c>
    </row>
    <row r="4840" spans="2:5">
      <c r="B4840" s="43" t="s">
        <v>34</v>
      </c>
      <c r="C4840" s="43" t="s">
        <v>35</v>
      </c>
      <c r="D4840" s="44">
        <v>45918</v>
      </c>
      <c r="E4840" s="45">
        <v>2</v>
      </c>
    </row>
    <row r="4841" spans="2:5">
      <c r="B4841" s="43" t="s">
        <v>36</v>
      </c>
      <c r="C4841" s="43" t="s">
        <v>37</v>
      </c>
      <c r="D4841" s="44">
        <v>45918</v>
      </c>
      <c r="E4841" s="45">
        <v>21</v>
      </c>
    </row>
    <row r="4842" spans="2:5">
      <c r="B4842" s="43" t="s">
        <v>42</v>
      </c>
      <c r="C4842" s="43" t="s">
        <v>43</v>
      </c>
      <c r="D4842" s="44">
        <v>45919</v>
      </c>
      <c r="E4842" s="45">
        <v>520.3</v>
      </c>
    </row>
    <row r="4843" spans="2:5">
      <c r="B4843" s="43" t="s">
        <v>156</v>
      </c>
      <c r="C4843" s="43" t="s">
        <v>157</v>
      </c>
      <c r="D4843" s="44">
        <v>45919</v>
      </c>
      <c r="E4843" s="45">
        <v>60.9</v>
      </c>
    </row>
    <row r="4844" spans="2:5">
      <c r="B4844" s="43" t="s">
        <v>8</v>
      </c>
      <c r="C4844" s="43" t="s">
        <v>9</v>
      </c>
      <c r="D4844" s="44">
        <v>45919</v>
      </c>
      <c r="E4844" s="45">
        <v>8.7</v>
      </c>
    </row>
    <row r="4845" spans="2:5">
      <c r="B4845" s="43" t="s">
        <v>46</v>
      </c>
      <c r="C4845" s="43" t="s">
        <v>47</v>
      </c>
      <c r="D4845" s="44">
        <v>45919</v>
      </c>
      <c r="E4845" s="45">
        <v>424.8</v>
      </c>
    </row>
    <row r="4846" spans="2:5">
      <c r="B4846" s="43" t="s">
        <v>10</v>
      </c>
      <c r="C4846" s="43" t="s">
        <v>11</v>
      </c>
      <c r="D4846" s="44">
        <v>45919</v>
      </c>
      <c r="E4846" s="45">
        <v>176.8</v>
      </c>
    </row>
    <row r="4847" spans="2:5">
      <c r="B4847" s="43" t="s">
        <v>74</v>
      </c>
      <c r="C4847" s="43" t="s">
        <v>75</v>
      </c>
      <c r="D4847" s="44">
        <v>45919</v>
      </c>
      <c r="E4847" s="45">
        <v>697.2</v>
      </c>
    </row>
    <row r="4848" spans="2:5">
      <c r="B4848" s="43" t="s">
        <v>12</v>
      </c>
      <c r="C4848" s="43" t="s">
        <v>13</v>
      </c>
      <c r="D4848" s="44">
        <v>45919</v>
      </c>
      <c r="E4848" s="45">
        <v>455.4</v>
      </c>
    </row>
    <row r="4849" spans="2:5">
      <c r="B4849" s="43" t="s">
        <v>14</v>
      </c>
      <c r="C4849" s="43" t="s">
        <v>15</v>
      </c>
      <c r="D4849" s="44">
        <v>45919</v>
      </c>
      <c r="E4849" s="45">
        <v>216</v>
      </c>
    </row>
    <row r="4850" spans="2:5">
      <c r="B4850" s="43" t="s">
        <v>50</v>
      </c>
      <c r="C4850" s="43" t="s">
        <v>51</v>
      </c>
      <c r="D4850" s="44">
        <v>45919</v>
      </c>
      <c r="E4850" s="45">
        <v>340</v>
      </c>
    </row>
    <row r="4851" spans="2:5">
      <c r="B4851" s="43" t="s">
        <v>114</v>
      </c>
      <c r="C4851" s="43" t="s">
        <v>115</v>
      </c>
      <c r="D4851" s="44">
        <v>45919</v>
      </c>
      <c r="E4851" s="45">
        <v>478.8</v>
      </c>
    </row>
    <row r="4852" spans="2:5">
      <c r="B4852" s="43" t="s">
        <v>54</v>
      </c>
      <c r="C4852" s="43" t="s">
        <v>55</v>
      </c>
      <c r="D4852" s="44">
        <v>45919</v>
      </c>
      <c r="E4852" s="45">
        <v>79.8</v>
      </c>
    </row>
    <row r="4853" spans="2:5">
      <c r="B4853" s="43" t="s">
        <v>56</v>
      </c>
      <c r="C4853" s="43" t="s">
        <v>57</v>
      </c>
      <c r="D4853" s="44">
        <v>45919</v>
      </c>
      <c r="E4853" s="45">
        <v>72.4</v>
      </c>
    </row>
    <row r="4854" spans="2:5">
      <c r="B4854" s="43" t="s">
        <v>162</v>
      </c>
      <c r="C4854" s="43" t="s">
        <v>163</v>
      </c>
      <c r="D4854" s="44">
        <v>45919</v>
      </c>
      <c r="E4854" s="45">
        <v>505</v>
      </c>
    </row>
    <row r="4855" spans="2:5">
      <c r="B4855" s="43" t="s">
        <v>76</v>
      </c>
      <c r="C4855" s="43" t="s">
        <v>77</v>
      </c>
      <c r="D4855" s="44">
        <v>45919</v>
      </c>
      <c r="E4855" s="45">
        <v>511.85</v>
      </c>
    </row>
    <row r="4856" spans="2:5">
      <c r="B4856" s="43" t="s">
        <v>188</v>
      </c>
      <c r="C4856" s="43" t="s">
        <v>189</v>
      </c>
      <c r="D4856" s="44">
        <v>45919</v>
      </c>
      <c r="E4856" s="45">
        <v>23.1</v>
      </c>
    </row>
    <row r="4857" spans="2:5">
      <c r="B4857" s="43" t="s">
        <v>152</v>
      </c>
      <c r="C4857" s="43" t="s">
        <v>153</v>
      </c>
      <c r="D4857" s="44">
        <v>45919</v>
      </c>
      <c r="E4857" s="45">
        <v>46.5</v>
      </c>
    </row>
    <row r="4858" spans="2:5">
      <c r="B4858" s="43" t="s">
        <v>18</v>
      </c>
      <c r="C4858" s="43" t="s">
        <v>19</v>
      </c>
      <c r="D4858" s="44">
        <v>45919</v>
      </c>
      <c r="E4858" s="45">
        <v>44.5</v>
      </c>
    </row>
    <row r="4859" spans="2:5">
      <c r="B4859" s="43" t="s">
        <v>78</v>
      </c>
      <c r="C4859" s="43" t="s">
        <v>79</v>
      </c>
      <c r="D4859" s="44">
        <v>45919</v>
      </c>
      <c r="E4859" s="45">
        <v>185.85</v>
      </c>
    </row>
    <row r="4860" spans="2:5">
      <c r="B4860" s="43" t="s">
        <v>22</v>
      </c>
      <c r="C4860" s="43" t="s">
        <v>23</v>
      </c>
      <c r="D4860" s="44">
        <v>45919</v>
      </c>
      <c r="E4860" s="45">
        <v>86.4</v>
      </c>
    </row>
    <row r="4861" spans="2:5">
      <c r="B4861" s="43" t="s">
        <v>140</v>
      </c>
      <c r="C4861" s="43" t="s">
        <v>141</v>
      </c>
      <c r="D4861" s="44">
        <v>45919</v>
      </c>
      <c r="E4861" s="45">
        <v>69.6</v>
      </c>
    </row>
    <row r="4862" spans="2:5">
      <c r="B4862" s="43" t="s">
        <v>80</v>
      </c>
      <c r="C4862" s="43" t="s">
        <v>81</v>
      </c>
      <c r="D4862" s="44">
        <v>45919</v>
      </c>
      <c r="E4862" s="45">
        <v>1678.95</v>
      </c>
    </row>
    <row r="4863" spans="2:5">
      <c r="B4863" s="43" t="s">
        <v>24</v>
      </c>
      <c r="C4863" s="43" t="s">
        <v>25</v>
      </c>
      <c r="D4863" s="44">
        <v>45919</v>
      </c>
      <c r="E4863" s="45">
        <v>1415.1</v>
      </c>
    </row>
    <row r="4864" spans="2:5">
      <c r="B4864" s="43" t="s">
        <v>26</v>
      </c>
      <c r="C4864" s="43" t="s">
        <v>27</v>
      </c>
      <c r="D4864" s="44">
        <v>45919</v>
      </c>
      <c r="E4864" s="45">
        <v>1446.15</v>
      </c>
    </row>
    <row r="4865" spans="2:5">
      <c r="B4865" s="43" t="s">
        <v>28</v>
      </c>
      <c r="C4865" s="43" t="s">
        <v>29</v>
      </c>
      <c r="D4865" s="44">
        <v>45919</v>
      </c>
      <c r="E4865" s="45">
        <v>214.8</v>
      </c>
    </row>
    <row r="4866" spans="2:5">
      <c r="B4866" s="43" t="s">
        <v>62</v>
      </c>
      <c r="C4866" s="43" t="s">
        <v>63</v>
      </c>
      <c r="D4866" s="44">
        <v>45919</v>
      </c>
      <c r="E4866" s="45">
        <v>246</v>
      </c>
    </row>
    <row r="4867" spans="2:5">
      <c r="B4867" s="43" t="s">
        <v>64</v>
      </c>
      <c r="C4867" s="43" t="s">
        <v>65</v>
      </c>
      <c r="D4867" s="44">
        <v>45919</v>
      </c>
      <c r="E4867" s="45">
        <v>720</v>
      </c>
    </row>
    <row r="4868" spans="2:5">
      <c r="B4868" s="43" t="s">
        <v>172</v>
      </c>
      <c r="C4868" s="43" t="s">
        <v>173</v>
      </c>
      <c r="D4868" s="44">
        <v>45919</v>
      </c>
      <c r="E4868" s="45">
        <v>90.2</v>
      </c>
    </row>
    <row r="4869" spans="2:5">
      <c r="B4869" s="43" t="s">
        <v>132</v>
      </c>
      <c r="C4869" s="43" t="s">
        <v>133</v>
      </c>
      <c r="D4869" s="44">
        <v>45919</v>
      </c>
      <c r="E4869" s="45">
        <v>370.8</v>
      </c>
    </row>
    <row r="4870" spans="2:5">
      <c r="B4870" s="43" t="s">
        <v>150</v>
      </c>
      <c r="C4870" s="43" t="s">
        <v>151</v>
      </c>
      <c r="D4870" s="44">
        <v>45919</v>
      </c>
      <c r="E4870" s="45">
        <v>27.05</v>
      </c>
    </row>
    <row r="4871" spans="2:5">
      <c r="B4871" s="43" t="s">
        <v>96</v>
      </c>
      <c r="C4871" s="43" t="s">
        <v>97</v>
      </c>
      <c r="D4871" s="44">
        <v>45919</v>
      </c>
      <c r="E4871" s="45">
        <v>43</v>
      </c>
    </row>
    <row r="4872" spans="2:5">
      <c r="B4872" s="43" t="s">
        <v>32</v>
      </c>
      <c r="C4872" s="43" t="s">
        <v>33</v>
      </c>
      <c r="D4872" s="44">
        <v>45919</v>
      </c>
      <c r="E4872" s="45">
        <v>11</v>
      </c>
    </row>
    <row r="4873" spans="2:5">
      <c r="B4873" s="43" t="s">
        <v>160</v>
      </c>
      <c r="C4873" s="43" t="s">
        <v>161</v>
      </c>
      <c r="D4873" s="44">
        <v>45919</v>
      </c>
      <c r="E4873" s="45">
        <v>3</v>
      </c>
    </row>
    <row r="4874" spans="2:5">
      <c r="B4874" s="43" t="s">
        <v>170</v>
      </c>
      <c r="C4874" s="43" t="s">
        <v>171</v>
      </c>
      <c r="D4874" s="44">
        <v>45919</v>
      </c>
      <c r="E4874" s="45">
        <v>2</v>
      </c>
    </row>
    <row r="4875" spans="2:5">
      <c r="B4875" s="43" t="s">
        <v>36</v>
      </c>
      <c r="C4875" s="43" t="s">
        <v>37</v>
      </c>
      <c r="D4875" s="44">
        <v>45919</v>
      </c>
      <c r="E4875" s="45">
        <v>3</v>
      </c>
    </row>
    <row r="4876" spans="2:5">
      <c r="B4876" s="43" t="s">
        <v>4</v>
      </c>
      <c r="C4876" s="43" t="s">
        <v>5</v>
      </c>
      <c r="D4876" s="44">
        <v>45922</v>
      </c>
      <c r="E4876" s="45">
        <v>26.8</v>
      </c>
    </row>
    <row r="4877" spans="2:5">
      <c r="B4877" s="43" t="s">
        <v>46</v>
      </c>
      <c r="C4877" s="43" t="s">
        <v>47</v>
      </c>
      <c r="D4877" s="44">
        <v>45922</v>
      </c>
      <c r="E4877" s="45">
        <v>452</v>
      </c>
    </row>
    <row r="4878" spans="2:5">
      <c r="B4878" s="43" t="s">
        <v>10</v>
      </c>
      <c r="C4878" s="43" t="s">
        <v>11</v>
      </c>
      <c r="D4878" s="44">
        <v>45922</v>
      </c>
      <c r="E4878" s="45">
        <v>33.15</v>
      </c>
    </row>
    <row r="4879" spans="2:5">
      <c r="B4879" s="43" t="s">
        <v>12</v>
      </c>
      <c r="C4879" s="43" t="s">
        <v>13</v>
      </c>
      <c r="D4879" s="44">
        <v>45922</v>
      </c>
      <c r="E4879" s="45">
        <v>469.2</v>
      </c>
    </row>
    <row r="4880" spans="2:5">
      <c r="B4880" s="43" t="s">
        <v>108</v>
      </c>
      <c r="C4880" s="43" t="s">
        <v>109</v>
      </c>
      <c r="D4880" s="44">
        <v>45922</v>
      </c>
      <c r="E4880" s="45">
        <v>46.5</v>
      </c>
    </row>
    <row r="4881" spans="2:5">
      <c r="B4881" s="43" t="s">
        <v>14</v>
      </c>
      <c r="C4881" s="43" t="s">
        <v>15</v>
      </c>
      <c r="D4881" s="44">
        <v>45922</v>
      </c>
      <c r="E4881" s="45">
        <v>40.5</v>
      </c>
    </row>
    <row r="4882" spans="2:5">
      <c r="B4882" s="43" t="s">
        <v>114</v>
      </c>
      <c r="C4882" s="43" t="s">
        <v>115</v>
      </c>
      <c r="D4882" s="44">
        <v>45922</v>
      </c>
      <c r="E4882" s="45">
        <v>252.7</v>
      </c>
    </row>
    <row r="4883" spans="2:5">
      <c r="B4883" s="43" t="s">
        <v>56</v>
      </c>
      <c r="C4883" s="43" t="s">
        <v>57</v>
      </c>
      <c r="D4883" s="44">
        <v>45922</v>
      </c>
      <c r="E4883" s="45">
        <v>362</v>
      </c>
    </row>
    <row r="4884" spans="2:5">
      <c r="B4884" s="43" t="s">
        <v>76</v>
      </c>
      <c r="C4884" s="43" t="s">
        <v>77</v>
      </c>
      <c r="D4884" s="44">
        <v>45922</v>
      </c>
      <c r="E4884" s="45">
        <v>282.4</v>
      </c>
    </row>
    <row r="4885" spans="2:5">
      <c r="B4885" s="43" t="s">
        <v>180</v>
      </c>
      <c r="C4885" s="43" t="s">
        <v>181</v>
      </c>
      <c r="D4885" s="44">
        <v>45922</v>
      </c>
      <c r="E4885" s="45">
        <v>604.8</v>
      </c>
    </row>
    <row r="4886" spans="2:5">
      <c r="B4886" s="43" t="s">
        <v>78</v>
      </c>
      <c r="C4886" s="43" t="s">
        <v>79</v>
      </c>
      <c r="D4886" s="44">
        <v>45922</v>
      </c>
      <c r="E4886" s="45">
        <v>17.7</v>
      </c>
    </row>
    <row r="4887" spans="2:5">
      <c r="B4887" s="43" t="s">
        <v>140</v>
      </c>
      <c r="C4887" s="43" t="s">
        <v>141</v>
      </c>
      <c r="D4887" s="44">
        <v>45922</v>
      </c>
      <c r="E4887" s="45">
        <v>371.2</v>
      </c>
    </row>
    <row r="4888" spans="2:5">
      <c r="B4888" s="43" t="s">
        <v>24</v>
      </c>
      <c r="C4888" s="43" t="s">
        <v>25</v>
      </c>
      <c r="D4888" s="44">
        <v>45922</v>
      </c>
      <c r="E4888" s="45">
        <v>731.4</v>
      </c>
    </row>
    <row r="4889" spans="2:5">
      <c r="B4889" s="43" t="s">
        <v>26</v>
      </c>
      <c r="C4889" s="43" t="s">
        <v>27</v>
      </c>
      <c r="D4889" s="44">
        <v>45922</v>
      </c>
      <c r="E4889" s="45">
        <v>3685.35</v>
      </c>
    </row>
    <row r="4890" spans="2:5">
      <c r="B4890" s="43" t="s">
        <v>110</v>
      </c>
      <c r="C4890" s="43" t="s">
        <v>111</v>
      </c>
      <c r="D4890" s="44">
        <v>45922</v>
      </c>
      <c r="E4890" s="45">
        <v>528</v>
      </c>
    </row>
    <row r="4891" spans="2:5">
      <c r="B4891" s="43" t="s">
        <v>28</v>
      </c>
      <c r="C4891" s="43" t="s">
        <v>29</v>
      </c>
      <c r="D4891" s="44">
        <v>45922</v>
      </c>
      <c r="E4891" s="45">
        <v>340.1</v>
      </c>
    </row>
    <row r="4892" spans="2:5">
      <c r="B4892" s="43" t="s">
        <v>122</v>
      </c>
      <c r="C4892" s="43" t="s">
        <v>123</v>
      </c>
      <c r="D4892" s="44">
        <v>45922</v>
      </c>
      <c r="E4892" s="45">
        <v>30.2</v>
      </c>
    </row>
    <row r="4893" spans="2:5">
      <c r="B4893" s="43" t="s">
        <v>62</v>
      </c>
      <c r="C4893" s="43" t="s">
        <v>63</v>
      </c>
      <c r="D4893" s="44">
        <v>45922</v>
      </c>
      <c r="E4893" s="45">
        <v>41</v>
      </c>
    </row>
    <row r="4894" spans="2:5">
      <c r="B4894" s="43" t="s">
        <v>148</v>
      </c>
      <c r="C4894" s="43" t="s">
        <v>149</v>
      </c>
      <c r="D4894" s="44">
        <v>45922</v>
      </c>
      <c r="E4894" s="45">
        <v>1145</v>
      </c>
    </row>
    <row r="4895" spans="2:5">
      <c r="B4895" s="43" t="s">
        <v>64</v>
      </c>
      <c r="C4895" s="43" t="s">
        <v>65</v>
      </c>
      <c r="D4895" s="44">
        <v>45922</v>
      </c>
      <c r="E4895" s="45">
        <v>800</v>
      </c>
    </row>
    <row r="4896" spans="2:5">
      <c r="B4896" s="43" t="s">
        <v>174</v>
      </c>
      <c r="C4896" s="43" t="s">
        <v>175</v>
      </c>
      <c r="D4896" s="44">
        <v>45922</v>
      </c>
      <c r="E4896" s="45">
        <v>212.4</v>
      </c>
    </row>
    <row r="4897" spans="2:5">
      <c r="B4897" s="43" t="s">
        <v>94</v>
      </c>
      <c r="C4897" s="43" t="s">
        <v>95</v>
      </c>
      <c r="D4897" s="44">
        <v>45922</v>
      </c>
      <c r="E4897" s="45">
        <v>187.6</v>
      </c>
    </row>
    <row r="4898" spans="2:5">
      <c r="B4898" s="43" t="s">
        <v>196</v>
      </c>
      <c r="C4898" s="43" t="s">
        <v>197</v>
      </c>
      <c r="D4898" s="44">
        <v>45922</v>
      </c>
      <c r="E4898" s="45">
        <v>7</v>
      </c>
    </row>
    <row r="4899" spans="2:5">
      <c r="B4899" s="43" t="s">
        <v>96</v>
      </c>
      <c r="C4899" s="43" t="s">
        <v>97</v>
      </c>
      <c r="D4899" s="44">
        <v>45922</v>
      </c>
      <c r="E4899" s="45">
        <v>14</v>
      </c>
    </row>
    <row r="4900" spans="2:5">
      <c r="B4900" s="43" t="s">
        <v>32</v>
      </c>
      <c r="C4900" s="43" t="s">
        <v>33</v>
      </c>
      <c r="D4900" s="44">
        <v>45922</v>
      </c>
      <c r="E4900" s="45">
        <v>2</v>
      </c>
    </row>
    <row r="4901" spans="2:5">
      <c r="B4901" s="43" t="s">
        <v>160</v>
      </c>
      <c r="C4901" s="43" t="s">
        <v>161</v>
      </c>
      <c r="D4901" s="44">
        <v>45922</v>
      </c>
      <c r="E4901" s="45">
        <v>3</v>
      </c>
    </row>
    <row r="4902" spans="2:5">
      <c r="B4902" s="43" t="s">
        <v>34</v>
      </c>
      <c r="C4902" s="43" t="s">
        <v>35</v>
      </c>
      <c r="D4902" s="44">
        <v>45922</v>
      </c>
      <c r="E4902" s="45">
        <v>3</v>
      </c>
    </row>
    <row r="4903" spans="2:5">
      <c r="B4903" s="43" t="s">
        <v>36</v>
      </c>
      <c r="C4903" s="43" t="s">
        <v>37</v>
      </c>
      <c r="D4903" s="44">
        <v>45922</v>
      </c>
      <c r="E4903" s="45">
        <v>9</v>
      </c>
    </row>
    <row r="4904" spans="2:5">
      <c r="B4904" s="43" t="s">
        <v>156</v>
      </c>
      <c r="C4904" s="43" t="s">
        <v>157</v>
      </c>
      <c r="D4904" s="44">
        <v>45923</v>
      </c>
      <c r="E4904" s="45">
        <v>15.6</v>
      </c>
    </row>
    <row r="4905" spans="2:5">
      <c r="B4905" s="43" t="s">
        <v>8</v>
      </c>
      <c r="C4905" s="43" t="s">
        <v>9</v>
      </c>
      <c r="D4905" s="44">
        <v>45923</v>
      </c>
      <c r="E4905" s="45">
        <v>17.4</v>
      </c>
    </row>
    <row r="4906" spans="2:5">
      <c r="B4906" s="43" t="s">
        <v>44</v>
      </c>
      <c r="C4906" s="43" t="s">
        <v>45</v>
      </c>
      <c r="D4906" s="44">
        <v>45923</v>
      </c>
      <c r="E4906" s="45">
        <v>8.5</v>
      </c>
    </row>
    <row r="4907" spans="2:5">
      <c r="B4907" s="43" t="s">
        <v>46</v>
      </c>
      <c r="C4907" s="43" t="s">
        <v>47</v>
      </c>
      <c r="D4907" s="44">
        <v>45923</v>
      </c>
      <c r="E4907" s="45">
        <v>56.5</v>
      </c>
    </row>
    <row r="4908" spans="2:5">
      <c r="B4908" s="43" t="s">
        <v>12</v>
      </c>
      <c r="C4908" s="43" t="s">
        <v>13</v>
      </c>
      <c r="D4908" s="44">
        <v>45923</v>
      </c>
      <c r="E4908" s="45">
        <v>207</v>
      </c>
    </row>
    <row r="4909" spans="2:5">
      <c r="B4909" s="43" t="s">
        <v>178</v>
      </c>
      <c r="C4909" s="43" t="s">
        <v>179</v>
      </c>
      <c r="D4909" s="44">
        <v>45923</v>
      </c>
      <c r="E4909" s="45">
        <v>36</v>
      </c>
    </row>
    <row r="4910" spans="2:5">
      <c r="B4910" s="43" t="s">
        <v>48</v>
      </c>
      <c r="C4910" s="43" t="s">
        <v>49</v>
      </c>
      <c r="D4910" s="44">
        <v>45923</v>
      </c>
      <c r="E4910" s="45">
        <v>60.8</v>
      </c>
    </row>
    <row r="4911" spans="2:5">
      <c r="B4911" s="43" t="s">
        <v>50</v>
      </c>
      <c r="C4911" s="43" t="s">
        <v>51</v>
      </c>
      <c r="D4911" s="44">
        <v>45923</v>
      </c>
      <c r="E4911" s="45">
        <v>1169.6</v>
      </c>
    </row>
    <row r="4912" spans="2:5">
      <c r="B4912" s="43" t="s">
        <v>114</v>
      </c>
      <c r="C4912" s="43" t="s">
        <v>115</v>
      </c>
      <c r="D4912" s="44">
        <v>45923</v>
      </c>
      <c r="E4912" s="45">
        <v>212.8</v>
      </c>
    </row>
    <row r="4913" spans="2:5">
      <c r="B4913" s="43" t="s">
        <v>136</v>
      </c>
      <c r="C4913" s="43" t="s">
        <v>137</v>
      </c>
      <c r="D4913" s="44">
        <v>45923</v>
      </c>
      <c r="E4913" s="45">
        <v>146</v>
      </c>
    </row>
    <row r="4914" spans="2:5">
      <c r="B4914" s="43" t="s">
        <v>202</v>
      </c>
      <c r="C4914" s="43" t="s">
        <v>203</v>
      </c>
      <c r="D4914" s="44">
        <v>45923</v>
      </c>
      <c r="E4914" s="45">
        <v>597.3</v>
      </c>
    </row>
    <row r="4915" spans="2:5">
      <c r="B4915" s="43" t="s">
        <v>116</v>
      </c>
      <c r="C4915" s="43" t="s">
        <v>117</v>
      </c>
      <c r="D4915" s="44">
        <v>45923</v>
      </c>
      <c r="E4915" s="45">
        <v>65.2</v>
      </c>
    </row>
    <row r="4916" spans="2:5">
      <c r="B4916" s="43" t="s">
        <v>56</v>
      </c>
      <c r="C4916" s="43" t="s">
        <v>57</v>
      </c>
      <c r="D4916" s="44">
        <v>45923</v>
      </c>
      <c r="E4916" s="45">
        <v>289.6</v>
      </c>
    </row>
    <row r="4917" spans="2:5">
      <c r="B4917" s="43" t="s">
        <v>162</v>
      </c>
      <c r="C4917" s="43" t="s">
        <v>163</v>
      </c>
      <c r="D4917" s="44">
        <v>45923</v>
      </c>
      <c r="E4917" s="45">
        <v>60.6</v>
      </c>
    </row>
    <row r="4918" spans="2:5">
      <c r="B4918" s="43" t="s">
        <v>76</v>
      </c>
      <c r="C4918" s="43" t="s">
        <v>77</v>
      </c>
      <c r="D4918" s="44">
        <v>45923</v>
      </c>
      <c r="E4918" s="45">
        <v>211.8</v>
      </c>
    </row>
    <row r="4919" spans="2:5">
      <c r="B4919" s="43" t="s">
        <v>118</v>
      </c>
      <c r="C4919" s="43" t="s">
        <v>119</v>
      </c>
      <c r="D4919" s="44">
        <v>45923</v>
      </c>
      <c r="E4919" s="45">
        <v>486.4</v>
      </c>
    </row>
    <row r="4920" spans="2:5">
      <c r="B4920" s="43" t="s">
        <v>180</v>
      </c>
      <c r="C4920" s="43" t="s">
        <v>181</v>
      </c>
      <c r="D4920" s="44">
        <v>45923</v>
      </c>
      <c r="E4920" s="45">
        <v>1075.2</v>
      </c>
    </row>
    <row r="4921" spans="2:5">
      <c r="B4921" s="43" t="s">
        <v>78</v>
      </c>
      <c r="C4921" s="43" t="s">
        <v>79</v>
      </c>
      <c r="D4921" s="44">
        <v>45923</v>
      </c>
      <c r="E4921" s="45">
        <v>194.7</v>
      </c>
    </row>
    <row r="4922" spans="2:5">
      <c r="B4922" s="43" t="s">
        <v>20</v>
      </c>
      <c r="C4922" s="43" t="s">
        <v>21</v>
      </c>
      <c r="D4922" s="44">
        <v>45923</v>
      </c>
      <c r="E4922" s="45">
        <v>68.6</v>
      </c>
    </row>
    <row r="4923" spans="2:5">
      <c r="B4923" s="43" t="s">
        <v>140</v>
      </c>
      <c r="C4923" s="43" t="s">
        <v>141</v>
      </c>
      <c r="D4923" s="44">
        <v>45923</v>
      </c>
      <c r="E4923" s="45">
        <v>185.6</v>
      </c>
    </row>
    <row r="4924" spans="2:5">
      <c r="B4924" s="43" t="s">
        <v>80</v>
      </c>
      <c r="C4924" s="43" t="s">
        <v>81</v>
      </c>
      <c r="D4924" s="44">
        <v>45923</v>
      </c>
      <c r="E4924" s="45">
        <v>143.5</v>
      </c>
    </row>
    <row r="4925" spans="2:5">
      <c r="B4925" s="43" t="s">
        <v>24</v>
      </c>
      <c r="C4925" s="43" t="s">
        <v>25</v>
      </c>
      <c r="D4925" s="44">
        <v>45923</v>
      </c>
      <c r="E4925" s="45">
        <v>2496.3</v>
      </c>
    </row>
    <row r="4926" spans="2:5">
      <c r="B4926" s="43" t="s">
        <v>58</v>
      </c>
      <c r="C4926" s="43" t="s">
        <v>59</v>
      </c>
      <c r="D4926" s="44">
        <v>45923</v>
      </c>
      <c r="E4926" s="45">
        <v>495.6</v>
      </c>
    </row>
    <row r="4927" spans="2:5">
      <c r="B4927" s="43" t="s">
        <v>26</v>
      </c>
      <c r="C4927" s="43" t="s">
        <v>27</v>
      </c>
      <c r="D4927" s="44">
        <v>45923</v>
      </c>
      <c r="E4927" s="45">
        <v>622</v>
      </c>
    </row>
    <row r="4928" spans="2:5">
      <c r="B4928" s="43" t="s">
        <v>110</v>
      </c>
      <c r="C4928" s="43" t="s">
        <v>111</v>
      </c>
      <c r="D4928" s="44">
        <v>45923</v>
      </c>
      <c r="E4928" s="45">
        <v>99</v>
      </c>
    </row>
    <row r="4929" spans="2:5">
      <c r="B4929" s="43" t="s">
        <v>28</v>
      </c>
      <c r="C4929" s="43" t="s">
        <v>29</v>
      </c>
      <c r="D4929" s="44">
        <v>45923</v>
      </c>
      <c r="E4929" s="45">
        <v>17.9</v>
      </c>
    </row>
    <row r="4930" spans="2:5">
      <c r="B4930" s="43" t="s">
        <v>122</v>
      </c>
      <c r="C4930" s="43" t="s">
        <v>123</v>
      </c>
      <c r="D4930" s="44">
        <v>45923</v>
      </c>
      <c r="E4930" s="45">
        <v>724.8</v>
      </c>
    </row>
    <row r="4931" spans="2:5">
      <c r="B4931" s="43" t="s">
        <v>62</v>
      </c>
      <c r="C4931" s="43" t="s">
        <v>63</v>
      </c>
      <c r="D4931" s="44">
        <v>45923</v>
      </c>
      <c r="E4931" s="45">
        <v>820</v>
      </c>
    </row>
    <row r="4932" spans="2:5">
      <c r="B4932" s="43" t="s">
        <v>148</v>
      </c>
      <c r="C4932" s="43" t="s">
        <v>149</v>
      </c>
      <c r="D4932" s="44">
        <v>45923</v>
      </c>
      <c r="E4932" s="45">
        <v>229</v>
      </c>
    </row>
    <row r="4933" spans="2:5">
      <c r="B4933" s="43" t="s">
        <v>64</v>
      </c>
      <c r="C4933" s="43" t="s">
        <v>65</v>
      </c>
      <c r="D4933" s="44">
        <v>45923</v>
      </c>
      <c r="E4933" s="45">
        <v>200</v>
      </c>
    </row>
    <row r="4934" spans="2:5">
      <c r="B4934" s="43" t="s">
        <v>164</v>
      </c>
      <c r="C4934" s="43" t="s">
        <v>165</v>
      </c>
      <c r="D4934" s="44">
        <v>45923</v>
      </c>
      <c r="E4934" s="45">
        <v>1152.6</v>
      </c>
    </row>
    <row r="4935" spans="2:5">
      <c r="B4935" s="43" t="s">
        <v>166</v>
      </c>
      <c r="C4935" s="43" t="s">
        <v>167</v>
      </c>
      <c r="D4935" s="44">
        <v>45923</v>
      </c>
      <c r="E4935" s="45">
        <v>258</v>
      </c>
    </row>
    <row r="4936" spans="2:5">
      <c r="B4936" s="43" t="s">
        <v>66</v>
      </c>
      <c r="C4936" s="43" t="s">
        <v>67</v>
      </c>
      <c r="D4936" s="44">
        <v>45923</v>
      </c>
      <c r="E4936" s="45">
        <v>27.7</v>
      </c>
    </row>
    <row r="4937" spans="2:5">
      <c r="B4937" s="43" t="s">
        <v>92</v>
      </c>
      <c r="C4937" s="43" t="s">
        <v>93</v>
      </c>
      <c r="D4937" s="44">
        <v>45923</v>
      </c>
      <c r="E4937" s="45">
        <v>722</v>
      </c>
    </row>
    <row r="4938" spans="2:5">
      <c r="B4938" s="43" t="s">
        <v>142</v>
      </c>
      <c r="C4938" s="43" t="s">
        <v>143</v>
      </c>
      <c r="D4938" s="44">
        <v>45923</v>
      </c>
      <c r="E4938" s="45">
        <v>5</v>
      </c>
    </row>
    <row r="4939" spans="2:5">
      <c r="B4939" s="43" t="s">
        <v>196</v>
      </c>
      <c r="C4939" s="43" t="s">
        <v>197</v>
      </c>
      <c r="D4939" s="44">
        <v>45923</v>
      </c>
      <c r="E4939" s="45">
        <v>2</v>
      </c>
    </row>
    <row r="4940" spans="2:5">
      <c r="B4940" s="43" t="s">
        <v>96</v>
      </c>
      <c r="C4940" s="43" t="s">
        <v>97</v>
      </c>
      <c r="D4940" s="44">
        <v>45923</v>
      </c>
      <c r="E4940" s="45">
        <v>64</v>
      </c>
    </row>
    <row r="4941" spans="2:5">
      <c r="B4941" s="43" t="s">
        <v>32</v>
      </c>
      <c r="C4941" s="43" t="s">
        <v>33</v>
      </c>
      <c r="D4941" s="44">
        <v>45923</v>
      </c>
      <c r="E4941" s="45">
        <v>33</v>
      </c>
    </row>
    <row r="4942" spans="2:5">
      <c r="B4942" s="43" t="s">
        <v>34</v>
      </c>
      <c r="C4942" s="43" t="s">
        <v>35</v>
      </c>
      <c r="D4942" s="44">
        <v>45923</v>
      </c>
      <c r="E4942" s="45">
        <v>8</v>
      </c>
    </row>
    <row r="4943" spans="2:5">
      <c r="B4943" s="43" t="s">
        <v>38</v>
      </c>
      <c r="C4943" s="43" t="s">
        <v>39</v>
      </c>
      <c r="D4943" s="44">
        <v>45923</v>
      </c>
      <c r="E4943" s="45">
        <v>80</v>
      </c>
    </row>
    <row r="4944" spans="2:5">
      <c r="B4944" s="43" t="s">
        <v>86</v>
      </c>
      <c r="C4944" s="43" t="s">
        <v>87</v>
      </c>
      <c r="D4944" s="44">
        <v>45924</v>
      </c>
      <c r="E4944" s="45">
        <v>17</v>
      </c>
    </row>
    <row r="4945" spans="2:5">
      <c r="B4945" s="43" t="s">
        <v>42</v>
      </c>
      <c r="C4945" s="43" t="s">
        <v>43</v>
      </c>
      <c r="D4945" s="44">
        <v>45924</v>
      </c>
      <c r="E4945" s="45">
        <v>133.1</v>
      </c>
    </row>
    <row r="4946" spans="2:5">
      <c r="B4946" s="43" t="s">
        <v>44</v>
      </c>
      <c r="C4946" s="43" t="s">
        <v>45</v>
      </c>
      <c r="D4946" s="44">
        <v>45924</v>
      </c>
      <c r="E4946" s="45">
        <v>25.5</v>
      </c>
    </row>
    <row r="4947" spans="2:5">
      <c r="B4947" s="43" t="s">
        <v>46</v>
      </c>
      <c r="C4947" s="43" t="s">
        <v>47</v>
      </c>
      <c r="D4947" s="44">
        <v>45924</v>
      </c>
      <c r="E4947" s="45">
        <v>248.6</v>
      </c>
    </row>
    <row r="4948" spans="2:5">
      <c r="B4948" s="43" t="s">
        <v>10</v>
      </c>
      <c r="C4948" s="43" t="s">
        <v>11</v>
      </c>
      <c r="D4948" s="44">
        <v>45924</v>
      </c>
      <c r="E4948" s="45">
        <v>342.55</v>
      </c>
    </row>
    <row r="4949" spans="2:5">
      <c r="B4949" s="43" t="s">
        <v>12</v>
      </c>
      <c r="C4949" s="43" t="s">
        <v>13</v>
      </c>
      <c r="D4949" s="44">
        <v>45924</v>
      </c>
      <c r="E4949" s="45">
        <v>358.8</v>
      </c>
    </row>
    <row r="4950" spans="2:5">
      <c r="B4950" s="43" t="s">
        <v>14</v>
      </c>
      <c r="C4950" s="43" t="s">
        <v>15</v>
      </c>
      <c r="D4950" s="44">
        <v>45924</v>
      </c>
      <c r="E4950" s="45">
        <v>621</v>
      </c>
    </row>
    <row r="4951" spans="2:5">
      <c r="B4951" s="43" t="s">
        <v>50</v>
      </c>
      <c r="C4951" s="43" t="s">
        <v>51</v>
      </c>
      <c r="D4951" s="44">
        <v>45924</v>
      </c>
      <c r="E4951" s="45">
        <v>95.2</v>
      </c>
    </row>
    <row r="4952" spans="2:5">
      <c r="B4952" s="43" t="s">
        <v>56</v>
      </c>
      <c r="C4952" s="43" t="s">
        <v>57</v>
      </c>
      <c r="D4952" s="44">
        <v>45924</v>
      </c>
      <c r="E4952" s="45">
        <v>90.5</v>
      </c>
    </row>
    <row r="4953" spans="2:5">
      <c r="B4953" s="43" t="s">
        <v>176</v>
      </c>
      <c r="C4953" s="43" t="s">
        <v>177</v>
      </c>
      <c r="D4953" s="44">
        <v>45924</v>
      </c>
      <c r="E4953" s="45">
        <v>81</v>
      </c>
    </row>
    <row r="4954" spans="2:5">
      <c r="B4954" s="43" t="s">
        <v>188</v>
      </c>
      <c r="C4954" s="43" t="s">
        <v>189</v>
      </c>
      <c r="D4954" s="44">
        <v>45924</v>
      </c>
      <c r="E4954" s="45">
        <v>23.1</v>
      </c>
    </row>
    <row r="4955" spans="2:5">
      <c r="B4955" s="43" t="s">
        <v>18</v>
      </c>
      <c r="C4955" s="43" t="s">
        <v>19</v>
      </c>
      <c r="D4955" s="44">
        <v>45924</v>
      </c>
      <c r="E4955" s="45">
        <v>44.5</v>
      </c>
    </row>
    <row r="4956" spans="2:5">
      <c r="B4956" s="43" t="s">
        <v>78</v>
      </c>
      <c r="C4956" s="43" t="s">
        <v>79</v>
      </c>
      <c r="D4956" s="44">
        <v>45924</v>
      </c>
      <c r="E4956" s="45">
        <v>44.25</v>
      </c>
    </row>
    <row r="4957" spans="2:5">
      <c r="B4957" s="43" t="s">
        <v>22</v>
      </c>
      <c r="C4957" s="43" t="s">
        <v>23</v>
      </c>
      <c r="D4957" s="44">
        <v>45924</v>
      </c>
      <c r="E4957" s="45">
        <v>2438.4</v>
      </c>
    </row>
    <row r="4958" spans="2:5">
      <c r="B4958" s="43" t="s">
        <v>24</v>
      </c>
      <c r="C4958" s="43" t="s">
        <v>25</v>
      </c>
      <c r="D4958" s="44">
        <v>45924</v>
      </c>
      <c r="E4958" s="45">
        <v>1510.5</v>
      </c>
    </row>
    <row r="4959" spans="2:5">
      <c r="B4959" s="43" t="s">
        <v>26</v>
      </c>
      <c r="C4959" s="43" t="s">
        <v>27</v>
      </c>
      <c r="D4959" s="44">
        <v>45924</v>
      </c>
      <c r="E4959" s="45">
        <v>870.8</v>
      </c>
    </row>
    <row r="4960" spans="2:5">
      <c r="B4960" s="43" t="s">
        <v>60</v>
      </c>
      <c r="C4960" s="43" t="s">
        <v>61</v>
      </c>
      <c r="D4960" s="44">
        <v>45924</v>
      </c>
      <c r="E4960" s="45">
        <v>1666.8</v>
      </c>
    </row>
    <row r="4961" spans="2:5">
      <c r="B4961" s="43" t="s">
        <v>28</v>
      </c>
      <c r="C4961" s="43" t="s">
        <v>29</v>
      </c>
      <c r="D4961" s="44">
        <v>45924</v>
      </c>
      <c r="E4961" s="45">
        <v>71.6</v>
      </c>
    </row>
    <row r="4962" spans="2:5">
      <c r="B4962" s="43" t="s">
        <v>62</v>
      </c>
      <c r="C4962" s="43" t="s">
        <v>63</v>
      </c>
      <c r="D4962" s="44">
        <v>45924</v>
      </c>
      <c r="E4962" s="45">
        <v>307.5</v>
      </c>
    </row>
    <row r="4963" spans="2:5">
      <c r="B4963" s="43" t="s">
        <v>90</v>
      </c>
      <c r="C4963" s="43" t="s">
        <v>91</v>
      </c>
      <c r="D4963" s="44">
        <v>45924</v>
      </c>
      <c r="E4963" s="45">
        <v>106.8</v>
      </c>
    </row>
    <row r="4964" spans="2:5">
      <c r="B4964" s="43" t="s">
        <v>64</v>
      </c>
      <c r="C4964" s="43" t="s">
        <v>65</v>
      </c>
      <c r="D4964" s="44">
        <v>45924</v>
      </c>
      <c r="E4964" s="45">
        <v>1460</v>
      </c>
    </row>
    <row r="4965" spans="2:5">
      <c r="B4965" s="43" t="s">
        <v>66</v>
      </c>
      <c r="C4965" s="43" t="s">
        <v>67</v>
      </c>
      <c r="D4965" s="44">
        <v>45924</v>
      </c>
      <c r="E4965" s="45">
        <v>249.3</v>
      </c>
    </row>
    <row r="4966" spans="2:5">
      <c r="B4966" s="43" t="s">
        <v>68</v>
      </c>
      <c r="C4966" s="43" t="s">
        <v>69</v>
      </c>
      <c r="D4966" s="44">
        <v>45924</v>
      </c>
      <c r="E4966" s="45">
        <v>71.8</v>
      </c>
    </row>
    <row r="4967" spans="2:5">
      <c r="B4967" s="43" t="s">
        <v>96</v>
      </c>
      <c r="C4967" s="43" t="s">
        <v>97</v>
      </c>
      <c r="D4967" s="44">
        <v>45924</v>
      </c>
      <c r="E4967" s="45">
        <v>182</v>
      </c>
    </row>
    <row r="4968" spans="2:5">
      <c r="B4968" s="43" t="s">
        <v>224</v>
      </c>
      <c r="C4968" s="43" t="s">
        <v>225</v>
      </c>
      <c r="D4968" s="44">
        <v>45924</v>
      </c>
      <c r="E4968" s="45">
        <v>5</v>
      </c>
    </row>
    <row r="4969" spans="2:5">
      <c r="B4969" s="43" t="s">
        <v>32</v>
      </c>
      <c r="C4969" s="43" t="s">
        <v>33</v>
      </c>
      <c r="D4969" s="44">
        <v>45924</v>
      </c>
      <c r="E4969" s="45">
        <v>21</v>
      </c>
    </row>
    <row r="4970" spans="2:5">
      <c r="B4970" s="43" t="s">
        <v>160</v>
      </c>
      <c r="C4970" s="43" t="s">
        <v>161</v>
      </c>
      <c r="D4970" s="44">
        <v>45924</v>
      </c>
      <c r="E4970" s="45">
        <v>12</v>
      </c>
    </row>
    <row r="4971" spans="2:5">
      <c r="B4971" s="43" t="s">
        <v>36</v>
      </c>
      <c r="C4971" s="43" t="s">
        <v>37</v>
      </c>
      <c r="D4971" s="44">
        <v>45924</v>
      </c>
      <c r="E4971" s="45">
        <v>15</v>
      </c>
    </row>
    <row r="4972" spans="2:5">
      <c r="B4972" s="43" t="s">
        <v>38</v>
      </c>
      <c r="C4972" s="43" t="s">
        <v>39</v>
      </c>
      <c r="D4972" s="44">
        <v>45924</v>
      </c>
      <c r="E4972" s="45">
        <v>1</v>
      </c>
    </row>
    <row r="4973" spans="2:5">
      <c r="B4973" s="43" t="s">
        <v>8</v>
      </c>
      <c r="C4973" s="43" t="s">
        <v>9</v>
      </c>
      <c r="D4973" s="44">
        <v>45925</v>
      </c>
      <c r="E4973" s="45">
        <v>17.4</v>
      </c>
    </row>
    <row r="4974" spans="2:5">
      <c r="B4974" s="43" t="s">
        <v>46</v>
      </c>
      <c r="C4974" s="43" t="s">
        <v>47</v>
      </c>
      <c r="D4974" s="44">
        <v>45925</v>
      </c>
      <c r="E4974" s="45">
        <v>101.7</v>
      </c>
    </row>
    <row r="4975" spans="2:5">
      <c r="B4975" s="43" t="s">
        <v>10</v>
      </c>
      <c r="C4975" s="43" t="s">
        <v>11</v>
      </c>
      <c r="D4975" s="44">
        <v>45925</v>
      </c>
      <c r="E4975" s="45">
        <v>331.5</v>
      </c>
    </row>
    <row r="4976" spans="2:5">
      <c r="B4976" s="43" t="s">
        <v>12</v>
      </c>
      <c r="C4976" s="43" t="s">
        <v>13</v>
      </c>
      <c r="D4976" s="44">
        <v>45925</v>
      </c>
      <c r="E4976" s="45">
        <v>124.2</v>
      </c>
    </row>
    <row r="4977" spans="2:5">
      <c r="B4977" s="43" t="s">
        <v>178</v>
      </c>
      <c r="C4977" s="43" t="s">
        <v>179</v>
      </c>
      <c r="D4977" s="44">
        <v>45925</v>
      </c>
      <c r="E4977" s="45">
        <v>18</v>
      </c>
    </row>
    <row r="4978" spans="2:5">
      <c r="B4978" s="43" t="s">
        <v>14</v>
      </c>
      <c r="C4978" s="43" t="s">
        <v>15</v>
      </c>
      <c r="D4978" s="44">
        <v>45925</v>
      </c>
      <c r="E4978" s="45">
        <v>405</v>
      </c>
    </row>
    <row r="4979" spans="2:5">
      <c r="B4979" s="43" t="s">
        <v>50</v>
      </c>
      <c r="C4979" s="43" t="s">
        <v>51</v>
      </c>
      <c r="D4979" s="44">
        <v>45925</v>
      </c>
      <c r="E4979" s="45">
        <v>435.2</v>
      </c>
    </row>
    <row r="4980" spans="2:5">
      <c r="B4980" s="43" t="s">
        <v>56</v>
      </c>
      <c r="C4980" s="43" t="s">
        <v>57</v>
      </c>
      <c r="D4980" s="44">
        <v>45925</v>
      </c>
      <c r="E4980" s="45">
        <v>579.2</v>
      </c>
    </row>
    <row r="4981" spans="2:5">
      <c r="B4981" s="43" t="s">
        <v>76</v>
      </c>
      <c r="C4981" s="43" t="s">
        <v>77</v>
      </c>
      <c r="D4981" s="44">
        <v>45925</v>
      </c>
      <c r="E4981" s="45">
        <v>353</v>
      </c>
    </row>
    <row r="4982" spans="2:5">
      <c r="B4982" s="43" t="s">
        <v>16</v>
      </c>
      <c r="C4982" s="43" t="s">
        <v>17</v>
      </c>
      <c r="D4982" s="44">
        <v>45925</v>
      </c>
      <c r="E4982" s="45">
        <v>22.8</v>
      </c>
    </row>
    <row r="4983" spans="2:5">
      <c r="B4983" s="43" t="s">
        <v>200</v>
      </c>
      <c r="C4983" s="43" t="s">
        <v>201</v>
      </c>
      <c r="D4983" s="44">
        <v>45925</v>
      </c>
      <c r="E4983" s="45">
        <v>55</v>
      </c>
    </row>
    <row r="4984" spans="2:5">
      <c r="B4984" s="43" t="s">
        <v>22</v>
      </c>
      <c r="C4984" s="43" t="s">
        <v>23</v>
      </c>
      <c r="D4984" s="44">
        <v>45925</v>
      </c>
      <c r="E4984" s="45">
        <v>38.4</v>
      </c>
    </row>
    <row r="4985" spans="2:5">
      <c r="B4985" s="43" t="s">
        <v>24</v>
      </c>
      <c r="C4985" s="43" t="s">
        <v>25</v>
      </c>
      <c r="D4985" s="44">
        <v>45925</v>
      </c>
      <c r="E4985" s="45">
        <v>2480.4</v>
      </c>
    </row>
    <row r="4986" spans="2:5">
      <c r="B4986" s="43" t="s">
        <v>26</v>
      </c>
      <c r="C4986" s="43" t="s">
        <v>27</v>
      </c>
      <c r="D4986" s="44">
        <v>45925</v>
      </c>
      <c r="E4986" s="45">
        <v>2037.05</v>
      </c>
    </row>
    <row r="4987" spans="2:5">
      <c r="B4987" s="43" t="s">
        <v>28</v>
      </c>
      <c r="C4987" s="43" t="s">
        <v>29</v>
      </c>
      <c r="D4987" s="44">
        <v>45925</v>
      </c>
      <c r="E4987" s="45">
        <v>17.9</v>
      </c>
    </row>
    <row r="4988" spans="2:5">
      <c r="B4988" s="43" t="s">
        <v>62</v>
      </c>
      <c r="C4988" s="43" t="s">
        <v>63</v>
      </c>
      <c r="D4988" s="44">
        <v>45925</v>
      </c>
      <c r="E4988" s="45">
        <v>656</v>
      </c>
    </row>
    <row r="4989" spans="2:5">
      <c r="B4989" s="43" t="s">
        <v>64</v>
      </c>
      <c r="C4989" s="43" t="s">
        <v>65</v>
      </c>
      <c r="D4989" s="44">
        <v>45925</v>
      </c>
      <c r="E4989" s="45">
        <v>60</v>
      </c>
    </row>
    <row r="4990" spans="2:5">
      <c r="B4990" s="43" t="s">
        <v>172</v>
      </c>
      <c r="C4990" s="43" t="s">
        <v>173</v>
      </c>
      <c r="D4990" s="44">
        <v>45925</v>
      </c>
      <c r="E4990" s="45">
        <v>112.75</v>
      </c>
    </row>
    <row r="4991" spans="2:5">
      <c r="B4991" s="43" t="s">
        <v>142</v>
      </c>
      <c r="C4991" s="43" t="s">
        <v>143</v>
      </c>
      <c r="D4991" s="44">
        <v>45925</v>
      </c>
      <c r="E4991" s="45">
        <v>30</v>
      </c>
    </row>
    <row r="4992" spans="2:5">
      <c r="B4992" s="43" t="s">
        <v>96</v>
      </c>
      <c r="C4992" s="43" t="s">
        <v>97</v>
      </c>
      <c r="D4992" s="44">
        <v>45925</v>
      </c>
      <c r="E4992" s="45">
        <v>12</v>
      </c>
    </row>
    <row r="4993" spans="2:5">
      <c r="B4993" s="43" t="s">
        <v>32</v>
      </c>
      <c r="C4993" s="43" t="s">
        <v>33</v>
      </c>
      <c r="D4993" s="44">
        <v>45925</v>
      </c>
      <c r="E4993" s="45">
        <v>6</v>
      </c>
    </row>
    <row r="4994" spans="2:5">
      <c r="B4994" s="43" t="s">
        <v>160</v>
      </c>
      <c r="C4994" s="43" t="s">
        <v>161</v>
      </c>
      <c r="D4994" s="44">
        <v>45925</v>
      </c>
      <c r="E4994" s="45">
        <v>2</v>
      </c>
    </row>
    <row r="4995" spans="2:5">
      <c r="B4995" s="43" t="s">
        <v>36</v>
      </c>
      <c r="C4995" s="43" t="s">
        <v>37</v>
      </c>
      <c r="D4995" s="44">
        <v>45925</v>
      </c>
      <c r="E4995" s="45">
        <v>11</v>
      </c>
    </row>
    <row r="4996" spans="2:5">
      <c r="B4996" s="43" t="s">
        <v>38</v>
      </c>
      <c r="C4996" s="43" t="s">
        <v>39</v>
      </c>
      <c r="D4996" s="44">
        <v>45925</v>
      </c>
      <c r="E4996" s="45">
        <v>52</v>
      </c>
    </row>
    <row r="4997" spans="2:5">
      <c r="B4997" s="43" t="s">
        <v>42</v>
      </c>
      <c r="C4997" s="43" t="s">
        <v>43</v>
      </c>
      <c r="D4997" s="44">
        <v>45926</v>
      </c>
      <c r="E4997" s="45">
        <v>60.5</v>
      </c>
    </row>
    <row r="4998" spans="2:5">
      <c r="B4998" s="43" t="s">
        <v>4</v>
      </c>
      <c r="C4998" s="43" t="s">
        <v>5</v>
      </c>
      <c r="D4998" s="44">
        <v>45926</v>
      </c>
      <c r="E4998" s="45">
        <v>134</v>
      </c>
    </row>
    <row r="4999" spans="2:5">
      <c r="B4999" s="43" t="s">
        <v>156</v>
      </c>
      <c r="C4999" s="43" t="s">
        <v>157</v>
      </c>
      <c r="D4999" s="44">
        <v>45926</v>
      </c>
      <c r="E4999" s="45">
        <v>23.4</v>
      </c>
    </row>
    <row r="5000" spans="2:5">
      <c r="B5000" s="43" t="s">
        <v>44</v>
      </c>
      <c r="C5000" s="43" t="s">
        <v>45</v>
      </c>
      <c r="D5000" s="44">
        <v>45926</v>
      </c>
      <c r="E5000" s="45">
        <v>17</v>
      </c>
    </row>
    <row r="5001" spans="2:5">
      <c r="B5001" s="43" t="s">
        <v>46</v>
      </c>
      <c r="C5001" s="43" t="s">
        <v>47</v>
      </c>
      <c r="D5001" s="44">
        <v>45926</v>
      </c>
      <c r="E5001" s="45">
        <v>135.6</v>
      </c>
    </row>
    <row r="5002" spans="2:5">
      <c r="B5002" s="43" t="s">
        <v>10</v>
      </c>
      <c r="C5002" s="43" t="s">
        <v>11</v>
      </c>
      <c r="D5002" s="44">
        <v>45926</v>
      </c>
      <c r="E5002" s="45">
        <v>22.1</v>
      </c>
    </row>
    <row r="5003" spans="2:5">
      <c r="B5003" s="43" t="s">
        <v>12</v>
      </c>
      <c r="C5003" s="43" t="s">
        <v>13</v>
      </c>
      <c r="D5003" s="44">
        <v>45926</v>
      </c>
      <c r="E5003" s="45">
        <v>427.8</v>
      </c>
    </row>
    <row r="5004" spans="2:5">
      <c r="B5004" s="43" t="s">
        <v>108</v>
      </c>
      <c r="C5004" s="43" t="s">
        <v>109</v>
      </c>
      <c r="D5004" s="44">
        <v>45926</v>
      </c>
      <c r="E5004" s="45">
        <v>60.6</v>
      </c>
    </row>
    <row r="5005" spans="2:5">
      <c r="B5005" s="43" t="s">
        <v>178</v>
      </c>
      <c r="C5005" s="43" t="s">
        <v>179</v>
      </c>
      <c r="D5005" s="44">
        <v>45926</v>
      </c>
      <c r="E5005" s="45">
        <v>72</v>
      </c>
    </row>
    <row r="5006" spans="2:5">
      <c r="B5006" s="43" t="s">
        <v>14</v>
      </c>
      <c r="C5006" s="43" t="s">
        <v>15</v>
      </c>
      <c r="D5006" s="44">
        <v>45926</v>
      </c>
      <c r="E5006" s="45">
        <v>310.5</v>
      </c>
    </row>
    <row r="5007" spans="2:5">
      <c r="B5007" s="43" t="s">
        <v>50</v>
      </c>
      <c r="C5007" s="43" t="s">
        <v>51</v>
      </c>
      <c r="D5007" s="44">
        <v>45926</v>
      </c>
      <c r="E5007" s="45">
        <v>244.8</v>
      </c>
    </row>
    <row r="5008" spans="2:5">
      <c r="B5008" s="43" t="s">
        <v>52</v>
      </c>
      <c r="C5008" s="43" t="s">
        <v>53</v>
      </c>
      <c r="D5008" s="44">
        <v>45926</v>
      </c>
      <c r="E5008" s="45">
        <v>308.1</v>
      </c>
    </row>
    <row r="5009" spans="2:5">
      <c r="B5009" s="43" t="s">
        <v>76</v>
      </c>
      <c r="C5009" s="43" t="s">
        <v>77</v>
      </c>
      <c r="D5009" s="44">
        <v>45926</v>
      </c>
      <c r="E5009" s="45">
        <v>194.15</v>
      </c>
    </row>
    <row r="5010" spans="2:5">
      <c r="B5010" s="43" t="s">
        <v>190</v>
      </c>
      <c r="C5010" s="43" t="s">
        <v>191</v>
      </c>
      <c r="D5010" s="44">
        <v>45926</v>
      </c>
      <c r="E5010" s="45">
        <v>81</v>
      </c>
    </row>
    <row r="5011" spans="2:5">
      <c r="B5011" s="43" t="s">
        <v>168</v>
      </c>
      <c r="C5011" s="43" t="s">
        <v>169</v>
      </c>
      <c r="D5011" s="44">
        <v>45926</v>
      </c>
      <c r="E5011" s="45">
        <v>100.5</v>
      </c>
    </row>
    <row r="5012" spans="2:5">
      <c r="B5012" s="43" t="s">
        <v>78</v>
      </c>
      <c r="C5012" s="43" t="s">
        <v>79</v>
      </c>
      <c r="D5012" s="44">
        <v>45926</v>
      </c>
      <c r="E5012" s="45">
        <v>26.55</v>
      </c>
    </row>
    <row r="5013" spans="2:5">
      <c r="B5013" s="43" t="s">
        <v>20</v>
      </c>
      <c r="C5013" s="43" t="s">
        <v>21</v>
      </c>
      <c r="D5013" s="44">
        <v>45926</v>
      </c>
      <c r="E5013" s="45">
        <v>205.8</v>
      </c>
    </row>
    <row r="5014" spans="2:5">
      <c r="B5014" s="43" t="s">
        <v>22</v>
      </c>
      <c r="C5014" s="43" t="s">
        <v>23</v>
      </c>
      <c r="D5014" s="44">
        <v>45926</v>
      </c>
      <c r="E5014" s="45">
        <v>28.8</v>
      </c>
    </row>
    <row r="5015" spans="2:5">
      <c r="B5015" s="43" t="s">
        <v>80</v>
      </c>
      <c r="C5015" s="43" t="s">
        <v>81</v>
      </c>
      <c r="D5015" s="44">
        <v>45926</v>
      </c>
      <c r="E5015" s="45">
        <v>114.8</v>
      </c>
    </row>
    <row r="5016" spans="2:5">
      <c r="B5016" s="43" t="s">
        <v>24</v>
      </c>
      <c r="C5016" s="43" t="s">
        <v>25</v>
      </c>
      <c r="D5016" s="44">
        <v>45926</v>
      </c>
      <c r="E5016" s="45">
        <v>1669.5</v>
      </c>
    </row>
    <row r="5017" spans="2:5">
      <c r="B5017" s="43" t="s">
        <v>26</v>
      </c>
      <c r="C5017" s="43" t="s">
        <v>27</v>
      </c>
      <c r="D5017" s="44">
        <v>45926</v>
      </c>
      <c r="E5017" s="45">
        <v>901.9</v>
      </c>
    </row>
    <row r="5018" spans="2:5">
      <c r="B5018" s="43" t="s">
        <v>122</v>
      </c>
      <c r="C5018" s="43" t="s">
        <v>123</v>
      </c>
      <c r="D5018" s="44">
        <v>45926</v>
      </c>
      <c r="E5018" s="45">
        <v>60.4</v>
      </c>
    </row>
    <row r="5019" spans="2:5">
      <c r="B5019" s="43" t="s">
        <v>62</v>
      </c>
      <c r="C5019" s="43" t="s">
        <v>63</v>
      </c>
      <c r="D5019" s="44">
        <v>45926</v>
      </c>
      <c r="E5019" s="45">
        <v>1148</v>
      </c>
    </row>
    <row r="5020" spans="2:5">
      <c r="B5020" s="43" t="s">
        <v>64</v>
      </c>
      <c r="C5020" s="43" t="s">
        <v>65</v>
      </c>
      <c r="D5020" s="44">
        <v>45926</v>
      </c>
      <c r="E5020" s="45">
        <v>1320</v>
      </c>
    </row>
    <row r="5021" spans="2:5">
      <c r="B5021" s="43" t="s">
        <v>92</v>
      </c>
      <c r="C5021" s="43" t="s">
        <v>93</v>
      </c>
      <c r="D5021" s="44">
        <v>45926</v>
      </c>
      <c r="E5021" s="45">
        <v>866.4</v>
      </c>
    </row>
    <row r="5022" spans="2:5">
      <c r="B5022" s="43" t="s">
        <v>68</v>
      </c>
      <c r="C5022" s="43" t="s">
        <v>69</v>
      </c>
      <c r="D5022" s="44">
        <v>45926</v>
      </c>
      <c r="E5022" s="45">
        <v>71.8</v>
      </c>
    </row>
    <row r="5023" spans="2:5">
      <c r="B5023" s="43" t="s">
        <v>96</v>
      </c>
      <c r="C5023" s="43" t="s">
        <v>97</v>
      </c>
      <c r="D5023" s="44">
        <v>45926</v>
      </c>
      <c r="E5023" s="45">
        <v>16</v>
      </c>
    </row>
    <row r="5024" spans="2:5">
      <c r="B5024" s="43" t="s">
        <v>224</v>
      </c>
      <c r="C5024" s="43" t="s">
        <v>225</v>
      </c>
      <c r="D5024" s="44">
        <v>45926</v>
      </c>
      <c r="E5024" s="45">
        <v>1</v>
      </c>
    </row>
    <row r="5025" spans="2:5">
      <c r="B5025" s="43" t="s">
        <v>32</v>
      </c>
      <c r="C5025" s="43" t="s">
        <v>33</v>
      </c>
      <c r="D5025" s="44">
        <v>45926</v>
      </c>
      <c r="E5025" s="45">
        <v>21</v>
      </c>
    </row>
    <row r="5026" spans="2:5">
      <c r="B5026" s="43" t="s">
        <v>34</v>
      </c>
      <c r="C5026" s="43" t="s">
        <v>35</v>
      </c>
      <c r="D5026" s="44">
        <v>45926</v>
      </c>
      <c r="E5026" s="45">
        <v>5</v>
      </c>
    </row>
    <row r="5027" spans="2:5">
      <c r="B5027" s="43" t="s">
        <v>36</v>
      </c>
      <c r="C5027" s="43" t="s">
        <v>37</v>
      </c>
      <c r="D5027" s="44">
        <v>45926</v>
      </c>
      <c r="E5027" s="45">
        <v>2</v>
      </c>
    </row>
    <row r="5028" spans="2:5">
      <c r="B5028" s="43" t="s">
        <v>100</v>
      </c>
      <c r="C5028" s="43" t="s">
        <v>101</v>
      </c>
      <c r="D5028" s="44">
        <v>45929</v>
      </c>
      <c r="E5028" s="45">
        <v>8</v>
      </c>
    </row>
    <row r="5029" spans="2:5">
      <c r="B5029" s="43" t="s">
        <v>8</v>
      </c>
      <c r="C5029" s="43" t="s">
        <v>9</v>
      </c>
      <c r="D5029" s="44">
        <v>45929</v>
      </c>
      <c r="E5029" s="45">
        <v>8.7</v>
      </c>
    </row>
    <row r="5030" spans="2:5">
      <c r="B5030" s="43" t="s">
        <v>46</v>
      </c>
      <c r="C5030" s="43" t="s">
        <v>47</v>
      </c>
      <c r="D5030" s="44">
        <v>45929</v>
      </c>
      <c r="E5030" s="45">
        <v>1639.5</v>
      </c>
    </row>
    <row r="5031" spans="2:5">
      <c r="B5031" s="43" t="s">
        <v>74</v>
      </c>
      <c r="C5031" s="43" t="s">
        <v>75</v>
      </c>
      <c r="D5031" s="44">
        <v>45929</v>
      </c>
      <c r="E5031" s="45">
        <v>1245</v>
      </c>
    </row>
    <row r="5032" spans="2:5">
      <c r="B5032" s="43" t="s">
        <v>12</v>
      </c>
      <c r="C5032" s="43" t="s">
        <v>13</v>
      </c>
      <c r="D5032" s="44">
        <v>45929</v>
      </c>
      <c r="E5032" s="45">
        <v>441.6</v>
      </c>
    </row>
    <row r="5033" spans="2:5">
      <c r="B5033" s="43" t="s">
        <v>108</v>
      </c>
      <c r="C5033" s="43" t="s">
        <v>109</v>
      </c>
      <c r="D5033" s="44">
        <v>45929</v>
      </c>
      <c r="E5033" s="45">
        <v>465</v>
      </c>
    </row>
    <row r="5034" spans="2:5">
      <c r="B5034" s="43" t="s">
        <v>14</v>
      </c>
      <c r="C5034" s="43" t="s">
        <v>15</v>
      </c>
      <c r="D5034" s="44">
        <v>45929</v>
      </c>
      <c r="E5034" s="45">
        <v>27</v>
      </c>
    </row>
    <row r="5035" spans="2:5">
      <c r="B5035" s="43" t="s">
        <v>50</v>
      </c>
      <c r="C5035" s="43" t="s">
        <v>51</v>
      </c>
      <c r="D5035" s="44">
        <v>45929</v>
      </c>
      <c r="E5035" s="45">
        <v>612</v>
      </c>
    </row>
    <row r="5036" spans="2:5">
      <c r="B5036" s="43" t="s">
        <v>144</v>
      </c>
      <c r="C5036" s="43" t="s">
        <v>145</v>
      </c>
      <c r="D5036" s="44">
        <v>45929</v>
      </c>
      <c r="E5036" s="45">
        <v>243</v>
      </c>
    </row>
    <row r="5037" spans="2:5">
      <c r="B5037" s="43" t="s">
        <v>56</v>
      </c>
      <c r="C5037" s="43" t="s">
        <v>57</v>
      </c>
      <c r="D5037" s="44">
        <v>45929</v>
      </c>
      <c r="E5037" s="45">
        <v>72.4</v>
      </c>
    </row>
    <row r="5038" spans="2:5">
      <c r="B5038" s="43" t="s">
        <v>76</v>
      </c>
      <c r="C5038" s="43" t="s">
        <v>77</v>
      </c>
      <c r="D5038" s="44">
        <v>45929</v>
      </c>
      <c r="E5038" s="45">
        <v>52.95</v>
      </c>
    </row>
    <row r="5039" spans="2:5">
      <c r="B5039" s="43" t="s">
        <v>200</v>
      </c>
      <c r="C5039" s="43" t="s">
        <v>201</v>
      </c>
      <c r="D5039" s="44">
        <v>45929</v>
      </c>
      <c r="E5039" s="45">
        <v>55</v>
      </c>
    </row>
    <row r="5040" spans="2:5">
      <c r="B5040" s="43" t="s">
        <v>78</v>
      </c>
      <c r="C5040" s="43" t="s">
        <v>79</v>
      </c>
      <c r="D5040" s="44">
        <v>45929</v>
      </c>
      <c r="E5040" s="45">
        <v>8.85</v>
      </c>
    </row>
    <row r="5041" spans="2:5">
      <c r="B5041" s="43" t="s">
        <v>20</v>
      </c>
      <c r="C5041" s="43" t="s">
        <v>21</v>
      </c>
      <c r="D5041" s="44">
        <v>45929</v>
      </c>
      <c r="E5041" s="45">
        <v>196</v>
      </c>
    </row>
    <row r="5042" spans="2:5">
      <c r="B5042" s="43" t="s">
        <v>22</v>
      </c>
      <c r="C5042" s="43" t="s">
        <v>23</v>
      </c>
      <c r="D5042" s="44">
        <v>45929</v>
      </c>
      <c r="E5042" s="45">
        <v>9.6</v>
      </c>
    </row>
    <row r="5043" spans="2:5">
      <c r="B5043" s="43" t="s">
        <v>80</v>
      </c>
      <c r="C5043" s="43" t="s">
        <v>81</v>
      </c>
      <c r="D5043" s="44">
        <v>45929</v>
      </c>
      <c r="E5043" s="45">
        <v>717.5</v>
      </c>
    </row>
    <row r="5044" spans="2:5">
      <c r="B5044" s="43" t="s">
        <v>24</v>
      </c>
      <c r="C5044" s="43" t="s">
        <v>25</v>
      </c>
      <c r="D5044" s="44">
        <v>45929</v>
      </c>
      <c r="E5044" s="45">
        <v>1097.1</v>
      </c>
    </row>
    <row r="5045" spans="2:5">
      <c r="B5045" s="43" t="s">
        <v>26</v>
      </c>
      <c r="C5045" s="43" t="s">
        <v>27</v>
      </c>
      <c r="D5045" s="44">
        <v>45929</v>
      </c>
      <c r="E5045" s="45">
        <v>1492.8</v>
      </c>
    </row>
    <row r="5046" spans="2:5">
      <c r="B5046" s="43" t="s">
        <v>110</v>
      </c>
      <c r="C5046" s="43" t="s">
        <v>111</v>
      </c>
      <c r="D5046" s="44">
        <v>45929</v>
      </c>
      <c r="E5046" s="45">
        <v>165</v>
      </c>
    </row>
    <row r="5047" spans="2:5">
      <c r="B5047" s="43" t="s">
        <v>28</v>
      </c>
      <c r="C5047" s="43" t="s">
        <v>29</v>
      </c>
      <c r="D5047" s="44">
        <v>45929</v>
      </c>
      <c r="E5047" s="45">
        <v>268.5</v>
      </c>
    </row>
    <row r="5048" spans="2:5">
      <c r="B5048" s="43" t="s">
        <v>62</v>
      </c>
      <c r="C5048" s="43" t="s">
        <v>63</v>
      </c>
      <c r="D5048" s="44">
        <v>45929</v>
      </c>
      <c r="E5048" s="45">
        <v>82</v>
      </c>
    </row>
    <row r="5049" spans="2:5">
      <c r="B5049" s="43" t="s">
        <v>148</v>
      </c>
      <c r="C5049" s="43" t="s">
        <v>149</v>
      </c>
      <c r="D5049" s="44">
        <v>45929</v>
      </c>
      <c r="E5049" s="45">
        <v>1145</v>
      </c>
    </row>
    <row r="5050" spans="2:5">
      <c r="B5050" s="43" t="s">
        <v>64</v>
      </c>
      <c r="C5050" s="43" t="s">
        <v>65</v>
      </c>
      <c r="D5050" s="44">
        <v>45929</v>
      </c>
      <c r="E5050" s="45">
        <v>1040</v>
      </c>
    </row>
    <row r="5051" spans="2:5">
      <c r="B5051" s="43" t="s">
        <v>186</v>
      </c>
      <c r="C5051" s="43" t="s">
        <v>187</v>
      </c>
      <c r="D5051" s="44">
        <v>45929</v>
      </c>
      <c r="E5051" s="45">
        <v>488.4</v>
      </c>
    </row>
    <row r="5052" spans="2:5">
      <c r="B5052" s="43" t="s">
        <v>68</v>
      </c>
      <c r="C5052" s="43" t="s">
        <v>69</v>
      </c>
      <c r="D5052" s="44">
        <v>45929</v>
      </c>
      <c r="E5052" s="45">
        <v>71.8</v>
      </c>
    </row>
    <row r="5053" spans="2:5">
      <c r="B5053" s="43" t="s">
        <v>142</v>
      </c>
      <c r="C5053" s="43" t="s">
        <v>143</v>
      </c>
      <c r="D5053" s="44">
        <v>45929</v>
      </c>
      <c r="E5053" s="45">
        <v>1</v>
      </c>
    </row>
    <row r="5054" spans="2:5">
      <c r="B5054" s="43" t="s">
        <v>96</v>
      </c>
      <c r="C5054" s="43" t="s">
        <v>97</v>
      </c>
      <c r="D5054" s="44">
        <v>45929</v>
      </c>
      <c r="E5054" s="45">
        <v>11</v>
      </c>
    </row>
    <row r="5055" spans="2:5">
      <c r="B5055" s="43" t="s">
        <v>160</v>
      </c>
      <c r="C5055" s="43" t="s">
        <v>161</v>
      </c>
      <c r="D5055" s="44">
        <v>45929</v>
      </c>
      <c r="E5055" s="45">
        <v>6</v>
      </c>
    </row>
    <row r="5056" spans="2:5">
      <c r="B5056" s="43" t="s">
        <v>232</v>
      </c>
      <c r="C5056" s="43" t="s">
        <v>233</v>
      </c>
      <c r="D5056" s="44">
        <v>45929</v>
      </c>
      <c r="E5056" s="45">
        <v>10</v>
      </c>
    </row>
    <row r="5057" spans="2:5">
      <c r="B5057" s="43" t="s">
        <v>36</v>
      </c>
      <c r="C5057" s="43" t="s">
        <v>37</v>
      </c>
      <c r="D5057" s="44">
        <v>45929</v>
      </c>
      <c r="E5057" s="45">
        <v>9</v>
      </c>
    </row>
    <row r="5058" spans="2:5">
      <c r="B5058" s="43" t="s">
        <v>38</v>
      </c>
      <c r="C5058" s="43" t="s">
        <v>39</v>
      </c>
      <c r="D5058" s="44">
        <v>45929</v>
      </c>
      <c r="E5058" s="45">
        <v>8</v>
      </c>
    </row>
    <row r="5059" spans="2:5">
      <c r="B5059" s="43" t="s">
        <v>104</v>
      </c>
      <c r="C5059" s="43" t="s">
        <v>105</v>
      </c>
      <c r="D5059" s="44">
        <v>45930</v>
      </c>
      <c r="E5059" s="45">
        <v>13</v>
      </c>
    </row>
    <row r="5060" spans="2:5">
      <c r="B5060" s="43" t="s">
        <v>42</v>
      </c>
      <c r="C5060" s="43" t="s">
        <v>43</v>
      </c>
      <c r="D5060" s="44">
        <v>45930</v>
      </c>
      <c r="E5060" s="45">
        <v>459.8</v>
      </c>
    </row>
    <row r="5061" spans="2:5">
      <c r="B5061" s="43" t="s">
        <v>4</v>
      </c>
      <c r="C5061" s="43" t="s">
        <v>5</v>
      </c>
      <c r="D5061" s="44">
        <v>45930</v>
      </c>
      <c r="E5061" s="45">
        <v>53.6</v>
      </c>
    </row>
    <row r="5062" spans="2:5">
      <c r="B5062" s="43" t="s">
        <v>156</v>
      </c>
      <c r="C5062" s="43" t="s">
        <v>157</v>
      </c>
      <c r="D5062" s="44">
        <v>45930</v>
      </c>
      <c r="E5062" s="45">
        <v>647.4</v>
      </c>
    </row>
    <row r="5063" spans="2:5">
      <c r="B5063" s="43" t="s">
        <v>8</v>
      </c>
      <c r="C5063" s="43" t="s">
        <v>9</v>
      </c>
      <c r="D5063" s="44">
        <v>45930</v>
      </c>
      <c r="E5063" s="45">
        <v>461.1</v>
      </c>
    </row>
    <row r="5064" spans="2:5">
      <c r="B5064" s="43" t="s">
        <v>46</v>
      </c>
      <c r="C5064" s="43" t="s">
        <v>47</v>
      </c>
      <c r="D5064" s="44">
        <v>45930</v>
      </c>
      <c r="E5064" s="45">
        <v>1021.7</v>
      </c>
    </row>
    <row r="5065" spans="2:5">
      <c r="B5065" s="43" t="s">
        <v>10</v>
      </c>
      <c r="C5065" s="43" t="s">
        <v>11</v>
      </c>
      <c r="D5065" s="44">
        <v>45930</v>
      </c>
      <c r="E5065" s="45">
        <v>22.1</v>
      </c>
    </row>
    <row r="5066" spans="2:5">
      <c r="B5066" s="43" t="s">
        <v>74</v>
      </c>
      <c r="C5066" s="43" t="s">
        <v>75</v>
      </c>
      <c r="D5066" s="44">
        <v>45930</v>
      </c>
      <c r="E5066" s="45">
        <v>1431.75</v>
      </c>
    </row>
    <row r="5067" spans="2:5">
      <c r="B5067" s="43" t="s">
        <v>12</v>
      </c>
      <c r="C5067" s="43" t="s">
        <v>13</v>
      </c>
      <c r="D5067" s="44">
        <v>45930</v>
      </c>
      <c r="E5067" s="45">
        <v>1324.8</v>
      </c>
    </row>
    <row r="5068" spans="2:5">
      <c r="B5068" s="43" t="s">
        <v>14</v>
      </c>
      <c r="C5068" s="43" t="s">
        <v>15</v>
      </c>
      <c r="D5068" s="44">
        <v>45930</v>
      </c>
      <c r="E5068" s="45">
        <v>40.5</v>
      </c>
    </row>
    <row r="5069" spans="2:5">
      <c r="B5069" s="43" t="s">
        <v>50</v>
      </c>
      <c r="C5069" s="43" t="s">
        <v>51</v>
      </c>
      <c r="D5069" s="44">
        <v>45930</v>
      </c>
      <c r="E5069" s="45">
        <v>2108</v>
      </c>
    </row>
    <row r="5070" spans="2:5">
      <c r="B5070" s="43" t="s">
        <v>52</v>
      </c>
      <c r="C5070" s="43" t="s">
        <v>53</v>
      </c>
      <c r="D5070" s="44">
        <v>45930</v>
      </c>
      <c r="E5070" s="45">
        <v>379.2</v>
      </c>
    </row>
    <row r="5071" spans="2:5">
      <c r="B5071" s="43" t="s">
        <v>144</v>
      </c>
      <c r="C5071" s="43" t="s">
        <v>145</v>
      </c>
      <c r="D5071" s="44">
        <v>45930</v>
      </c>
      <c r="E5071" s="45">
        <v>680.4</v>
      </c>
    </row>
    <row r="5072" spans="2:5">
      <c r="B5072" s="43" t="s">
        <v>202</v>
      </c>
      <c r="C5072" s="43" t="s">
        <v>203</v>
      </c>
      <c r="D5072" s="44">
        <v>45930</v>
      </c>
      <c r="E5072" s="45">
        <v>1086</v>
      </c>
    </row>
    <row r="5073" spans="2:5">
      <c r="B5073" s="43" t="s">
        <v>56</v>
      </c>
      <c r="C5073" s="43" t="s">
        <v>57</v>
      </c>
      <c r="D5073" s="44">
        <v>45930</v>
      </c>
      <c r="E5073" s="45">
        <v>18.1</v>
      </c>
    </row>
    <row r="5074" spans="2:5">
      <c r="B5074" s="43" t="s">
        <v>76</v>
      </c>
      <c r="C5074" s="43" t="s">
        <v>77</v>
      </c>
      <c r="D5074" s="44">
        <v>45930</v>
      </c>
      <c r="E5074" s="45">
        <v>123.55</v>
      </c>
    </row>
    <row r="5075" spans="2:5">
      <c r="B5075" s="43" t="s">
        <v>152</v>
      </c>
      <c r="C5075" s="43" t="s">
        <v>153</v>
      </c>
      <c r="D5075" s="44">
        <v>45930</v>
      </c>
      <c r="E5075" s="45">
        <v>46.5</v>
      </c>
    </row>
    <row r="5076" spans="2:5">
      <c r="B5076" s="43" t="s">
        <v>16</v>
      </c>
      <c r="C5076" s="43" t="s">
        <v>17</v>
      </c>
      <c r="D5076" s="44">
        <v>45930</v>
      </c>
      <c r="E5076" s="45">
        <v>22.8</v>
      </c>
    </row>
    <row r="5077" spans="2:5">
      <c r="B5077" s="43" t="s">
        <v>128</v>
      </c>
      <c r="C5077" s="43" t="s">
        <v>129</v>
      </c>
      <c r="D5077" s="44">
        <v>45930</v>
      </c>
      <c r="E5077" s="45">
        <v>29.8</v>
      </c>
    </row>
    <row r="5078" spans="2:5">
      <c r="B5078" s="43" t="s">
        <v>78</v>
      </c>
      <c r="C5078" s="43" t="s">
        <v>79</v>
      </c>
      <c r="D5078" s="44">
        <v>45930</v>
      </c>
      <c r="E5078" s="45">
        <v>8.85</v>
      </c>
    </row>
    <row r="5079" spans="2:5">
      <c r="B5079" s="43" t="s">
        <v>20</v>
      </c>
      <c r="C5079" s="43" t="s">
        <v>21</v>
      </c>
      <c r="D5079" s="44">
        <v>45930</v>
      </c>
      <c r="E5079" s="45">
        <v>646.8</v>
      </c>
    </row>
    <row r="5080" spans="2:5">
      <c r="B5080" s="43" t="s">
        <v>80</v>
      </c>
      <c r="C5080" s="43" t="s">
        <v>81</v>
      </c>
      <c r="D5080" s="44">
        <v>45930</v>
      </c>
      <c r="E5080" s="45">
        <v>1463.7</v>
      </c>
    </row>
    <row r="5081" spans="2:5">
      <c r="B5081" s="43" t="s">
        <v>24</v>
      </c>
      <c r="C5081" s="43" t="s">
        <v>25</v>
      </c>
      <c r="D5081" s="44">
        <v>45930</v>
      </c>
      <c r="E5081" s="45">
        <v>5453.7</v>
      </c>
    </row>
    <row r="5082" spans="2:5">
      <c r="B5082" s="43" t="s">
        <v>58</v>
      </c>
      <c r="C5082" s="43" t="s">
        <v>59</v>
      </c>
      <c r="D5082" s="44">
        <v>45930</v>
      </c>
      <c r="E5082" s="45">
        <v>106.2</v>
      </c>
    </row>
    <row r="5083" spans="2:5">
      <c r="B5083" s="43" t="s">
        <v>210</v>
      </c>
      <c r="C5083" s="43" t="s">
        <v>211</v>
      </c>
      <c r="D5083" s="44">
        <v>45930</v>
      </c>
      <c r="E5083" s="45">
        <v>307.5</v>
      </c>
    </row>
    <row r="5084" spans="2:5">
      <c r="B5084" s="43" t="s">
        <v>26</v>
      </c>
      <c r="C5084" s="43" t="s">
        <v>27</v>
      </c>
      <c r="D5084" s="44">
        <v>45930</v>
      </c>
      <c r="E5084" s="45">
        <v>2674.6</v>
      </c>
    </row>
    <row r="5085" spans="2:5">
      <c r="B5085" s="43" t="s">
        <v>110</v>
      </c>
      <c r="C5085" s="43" t="s">
        <v>111</v>
      </c>
      <c r="D5085" s="44">
        <v>45930</v>
      </c>
      <c r="E5085" s="45">
        <v>165</v>
      </c>
    </row>
    <row r="5086" spans="2:5">
      <c r="B5086" s="43" t="s">
        <v>62</v>
      </c>
      <c r="C5086" s="43" t="s">
        <v>63</v>
      </c>
      <c r="D5086" s="44">
        <v>45930</v>
      </c>
      <c r="E5086" s="45">
        <v>349.5</v>
      </c>
    </row>
    <row r="5087" spans="2:5">
      <c r="B5087" s="43" t="s">
        <v>64</v>
      </c>
      <c r="C5087" s="43" t="s">
        <v>65</v>
      </c>
      <c r="D5087" s="44">
        <v>45930</v>
      </c>
      <c r="E5087" s="45">
        <v>1660</v>
      </c>
    </row>
    <row r="5088" spans="2:5">
      <c r="B5088" s="43" t="s">
        <v>198</v>
      </c>
      <c r="C5088" s="43" t="s">
        <v>199</v>
      </c>
      <c r="D5088" s="44">
        <v>45930</v>
      </c>
      <c r="E5088" s="45">
        <v>46.2</v>
      </c>
    </row>
    <row r="5089" spans="2:5">
      <c r="B5089" s="43" t="s">
        <v>166</v>
      </c>
      <c r="C5089" s="43" t="s">
        <v>167</v>
      </c>
      <c r="D5089" s="44">
        <v>45930</v>
      </c>
      <c r="E5089" s="45">
        <v>25.8</v>
      </c>
    </row>
    <row r="5090" spans="2:5">
      <c r="B5090" s="43" t="s">
        <v>172</v>
      </c>
      <c r="C5090" s="43" t="s">
        <v>173</v>
      </c>
      <c r="D5090" s="44">
        <v>45930</v>
      </c>
      <c r="E5090" s="45">
        <v>360.8</v>
      </c>
    </row>
    <row r="5091" spans="2:5">
      <c r="B5091" s="43" t="s">
        <v>66</v>
      </c>
      <c r="C5091" s="43" t="s">
        <v>67</v>
      </c>
      <c r="D5091" s="44">
        <v>45930</v>
      </c>
      <c r="E5091" s="45">
        <v>2714.6</v>
      </c>
    </row>
    <row r="5092" spans="2:5">
      <c r="B5092" s="43" t="s">
        <v>106</v>
      </c>
      <c r="C5092" s="43" t="s">
        <v>107</v>
      </c>
      <c r="D5092" s="44">
        <v>45930</v>
      </c>
      <c r="E5092" s="45">
        <v>69.3</v>
      </c>
    </row>
    <row r="5093" spans="2:5">
      <c r="B5093" s="43" t="s">
        <v>96</v>
      </c>
      <c r="C5093" s="43" t="s">
        <v>97</v>
      </c>
      <c r="D5093" s="44">
        <v>45930</v>
      </c>
      <c r="E5093" s="45">
        <v>31</v>
      </c>
    </row>
    <row r="5094" spans="2:5">
      <c r="B5094" s="43" t="s">
        <v>32</v>
      </c>
      <c r="C5094" s="43" t="s">
        <v>33</v>
      </c>
      <c r="D5094" s="44">
        <v>45930</v>
      </c>
      <c r="E5094" s="45">
        <v>10</v>
      </c>
    </row>
    <row r="5095" spans="2:5">
      <c r="B5095" s="43" t="s">
        <v>34</v>
      </c>
      <c r="C5095" s="43" t="s">
        <v>35</v>
      </c>
      <c r="D5095" s="44">
        <v>45930</v>
      </c>
      <c r="E5095" s="45">
        <v>1</v>
      </c>
    </row>
    <row r="5096" spans="2:5">
      <c r="B5096" s="43" t="s">
        <v>232</v>
      </c>
      <c r="C5096" s="43" t="s">
        <v>233</v>
      </c>
      <c r="D5096" s="44">
        <v>45930</v>
      </c>
      <c r="E5096" s="45">
        <v>52</v>
      </c>
    </row>
    <row r="5097" spans="2:5">
      <c r="B5097" s="43" t="s">
        <v>36</v>
      </c>
      <c r="C5097" s="43" t="s">
        <v>37</v>
      </c>
      <c r="D5097" s="44">
        <v>45930</v>
      </c>
      <c r="E5097" s="45">
        <v>44</v>
      </c>
    </row>
    <row r="5098" spans="2:5">
      <c r="B5098" s="43" t="s">
        <v>8</v>
      </c>
      <c r="C5098" s="43" t="s">
        <v>9</v>
      </c>
      <c r="D5098" s="44">
        <v>45931</v>
      </c>
      <c r="E5098" s="45">
        <v>121.8</v>
      </c>
    </row>
    <row r="5099" spans="2:5">
      <c r="B5099" s="43" t="s">
        <v>46</v>
      </c>
      <c r="C5099" s="43" t="s">
        <v>47</v>
      </c>
      <c r="D5099" s="44">
        <v>45931</v>
      </c>
      <c r="E5099" s="45">
        <v>45.2</v>
      </c>
    </row>
    <row r="5100" spans="2:5">
      <c r="B5100" s="43" t="s">
        <v>12</v>
      </c>
      <c r="C5100" s="43" t="s">
        <v>13</v>
      </c>
      <c r="D5100" s="44">
        <v>45931</v>
      </c>
      <c r="E5100" s="45">
        <v>41.4</v>
      </c>
    </row>
    <row r="5101" spans="2:5">
      <c r="B5101" s="43" t="s">
        <v>48</v>
      </c>
      <c r="C5101" s="43" t="s">
        <v>49</v>
      </c>
      <c r="D5101" s="44">
        <v>45931</v>
      </c>
      <c r="E5101" s="45">
        <v>63</v>
      </c>
    </row>
    <row r="5102" spans="2:5">
      <c r="B5102" s="43" t="s">
        <v>114</v>
      </c>
      <c r="C5102" s="43" t="s">
        <v>115</v>
      </c>
      <c r="D5102" s="44">
        <v>45931</v>
      </c>
      <c r="E5102" s="45">
        <v>26.6</v>
      </c>
    </row>
    <row r="5103" spans="2:5">
      <c r="B5103" s="43" t="s">
        <v>56</v>
      </c>
      <c r="C5103" s="43" t="s">
        <v>57</v>
      </c>
      <c r="D5103" s="44">
        <v>45931</v>
      </c>
      <c r="E5103" s="45">
        <v>36.2</v>
      </c>
    </row>
    <row r="5104" spans="2:5">
      <c r="B5104" s="43" t="s">
        <v>176</v>
      </c>
      <c r="C5104" s="43" t="s">
        <v>177</v>
      </c>
      <c r="D5104" s="44">
        <v>45931</v>
      </c>
      <c r="E5104" s="45">
        <v>81</v>
      </c>
    </row>
    <row r="5105" spans="2:5">
      <c r="B5105" s="43" t="s">
        <v>76</v>
      </c>
      <c r="C5105" s="43" t="s">
        <v>77</v>
      </c>
      <c r="D5105" s="44">
        <v>45931</v>
      </c>
      <c r="E5105" s="45">
        <v>211.8</v>
      </c>
    </row>
    <row r="5106" spans="2:5">
      <c r="B5106" s="43" t="s">
        <v>16</v>
      </c>
      <c r="C5106" s="43" t="s">
        <v>17</v>
      </c>
      <c r="D5106" s="44">
        <v>45931</v>
      </c>
      <c r="E5106" s="45">
        <v>91.2</v>
      </c>
    </row>
    <row r="5107" spans="2:5">
      <c r="B5107" s="43" t="s">
        <v>20</v>
      </c>
      <c r="C5107" s="43" t="s">
        <v>21</v>
      </c>
      <c r="D5107" s="44">
        <v>45931</v>
      </c>
      <c r="E5107" s="45">
        <v>19.6</v>
      </c>
    </row>
    <row r="5108" spans="2:5">
      <c r="B5108" s="43" t="s">
        <v>22</v>
      </c>
      <c r="C5108" s="43" t="s">
        <v>23</v>
      </c>
      <c r="D5108" s="44">
        <v>45931</v>
      </c>
      <c r="E5108" s="45">
        <v>76.8</v>
      </c>
    </row>
    <row r="5109" spans="2:5">
      <c r="B5109" s="43" t="s">
        <v>80</v>
      </c>
      <c r="C5109" s="43" t="s">
        <v>81</v>
      </c>
      <c r="D5109" s="44">
        <v>45931</v>
      </c>
      <c r="E5109" s="45">
        <v>258.3</v>
      </c>
    </row>
    <row r="5110" spans="2:5">
      <c r="B5110" s="43" t="s">
        <v>24</v>
      </c>
      <c r="C5110" s="43" t="s">
        <v>25</v>
      </c>
      <c r="D5110" s="44">
        <v>45931</v>
      </c>
      <c r="E5110" s="45">
        <v>1446.9</v>
      </c>
    </row>
    <row r="5111" spans="2:5">
      <c r="B5111" s="43" t="s">
        <v>26</v>
      </c>
      <c r="C5111" s="43" t="s">
        <v>27</v>
      </c>
      <c r="D5111" s="44">
        <v>45931</v>
      </c>
      <c r="E5111" s="45">
        <v>746.4</v>
      </c>
    </row>
    <row r="5112" spans="2:5">
      <c r="B5112" s="43" t="s">
        <v>62</v>
      </c>
      <c r="C5112" s="43" t="s">
        <v>63</v>
      </c>
      <c r="D5112" s="44">
        <v>45931</v>
      </c>
      <c r="E5112" s="45">
        <v>102.5</v>
      </c>
    </row>
    <row r="5113" spans="2:5">
      <c r="B5113" s="43" t="s">
        <v>64</v>
      </c>
      <c r="C5113" s="43" t="s">
        <v>65</v>
      </c>
      <c r="D5113" s="44">
        <v>45931</v>
      </c>
      <c r="E5113" s="45">
        <v>200</v>
      </c>
    </row>
    <row r="5114" spans="2:5">
      <c r="B5114" s="43" t="s">
        <v>66</v>
      </c>
      <c r="C5114" s="43" t="s">
        <v>67</v>
      </c>
      <c r="D5114" s="44">
        <v>45931</v>
      </c>
      <c r="E5114" s="45">
        <v>83.1</v>
      </c>
    </row>
    <row r="5115" spans="2:5">
      <c r="B5115" s="43" t="s">
        <v>150</v>
      </c>
      <c r="C5115" s="43" t="s">
        <v>151</v>
      </c>
      <c r="D5115" s="44">
        <v>45931</v>
      </c>
      <c r="E5115" s="45">
        <v>27.05</v>
      </c>
    </row>
    <row r="5116" spans="2:5">
      <c r="B5116" s="43" t="s">
        <v>174</v>
      </c>
      <c r="C5116" s="43" t="s">
        <v>175</v>
      </c>
      <c r="D5116" s="44">
        <v>45931</v>
      </c>
      <c r="E5116" s="45">
        <v>159.3</v>
      </c>
    </row>
    <row r="5117" spans="2:5">
      <c r="B5117" s="43" t="s">
        <v>96</v>
      </c>
      <c r="C5117" s="43" t="s">
        <v>97</v>
      </c>
      <c r="D5117" s="44">
        <v>45931</v>
      </c>
      <c r="E5117" s="45">
        <v>7</v>
      </c>
    </row>
    <row r="5118" spans="2:5">
      <c r="B5118" s="43" t="s">
        <v>32</v>
      </c>
      <c r="C5118" s="43" t="s">
        <v>33</v>
      </c>
      <c r="D5118" s="44">
        <v>45931</v>
      </c>
      <c r="E5118" s="45">
        <v>2</v>
      </c>
    </row>
    <row r="5119" spans="2:5">
      <c r="B5119" s="43" t="s">
        <v>232</v>
      </c>
      <c r="C5119" s="43" t="s">
        <v>233</v>
      </c>
      <c r="D5119" s="44">
        <v>45931</v>
      </c>
      <c r="E5119" s="45">
        <v>20</v>
      </c>
    </row>
    <row r="5120" spans="2:5">
      <c r="B5120" s="43" t="s">
        <v>170</v>
      </c>
      <c r="C5120" s="43" t="s">
        <v>171</v>
      </c>
      <c r="D5120" s="44">
        <v>45931</v>
      </c>
      <c r="E5120" s="45">
        <v>4</v>
      </c>
    </row>
    <row r="5121" spans="2:5">
      <c r="B5121" s="43" t="s">
        <v>36</v>
      </c>
      <c r="C5121" s="43" t="s">
        <v>37</v>
      </c>
      <c r="D5121" s="44">
        <v>45931</v>
      </c>
      <c r="E5121" s="45">
        <v>1</v>
      </c>
    </row>
    <row r="5122" spans="2:5">
      <c r="B5122" s="43" t="s">
        <v>154</v>
      </c>
      <c r="C5122" s="43" t="s">
        <v>155</v>
      </c>
      <c r="D5122" s="44">
        <v>45932</v>
      </c>
      <c r="E5122" s="45">
        <v>1</v>
      </c>
    </row>
    <row r="5123" spans="2:5">
      <c r="B5123" s="43" t="s">
        <v>86</v>
      </c>
      <c r="C5123" s="43" t="s">
        <v>87</v>
      </c>
      <c r="D5123" s="44">
        <v>45932</v>
      </c>
      <c r="E5123" s="45">
        <v>2</v>
      </c>
    </row>
    <row r="5124" spans="2:5">
      <c r="B5124" s="43" t="s">
        <v>42</v>
      </c>
      <c r="C5124" s="43" t="s">
        <v>43</v>
      </c>
      <c r="D5124" s="44">
        <v>45932</v>
      </c>
      <c r="E5124" s="45">
        <v>72.6</v>
      </c>
    </row>
    <row r="5125" spans="2:5">
      <c r="B5125" s="43" t="s">
        <v>4</v>
      </c>
      <c r="C5125" s="43" t="s">
        <v>5</v>
      </c>
      <c r="D5125" s="44">
        <v>45932</v>
      </c>
      <c r="E5125" s="45">
        <v>134</v>
      </c>
    </row>
    <row r="5126" spans="2:5">
      <c r="B5126" s="43" t="s">
        <v>156</v>
      </c>
      <c r="C5126" s="43" t="s">
        <v>157</v>
      </c>
      <c r="D5126" s="44">
        <v>45932</v>
      </c>
      <c r="E5126" s="45">
        <v>132.6</v>
      </c>
    </row>
    <row r="5127" spans="2:5">
      <c r="B5127" s="43" t="s">
        <v>8</v>
      </c>
      <c r="C5127" s="43" t="s">
        <v>9</v>
      </c>
      <c r="D5127" s="44">
        <v>45932</v>
      </c>
      <c r="E5127" s="45">
        <v>34.8</v>
      </c>
    </row>
    <row r="5128" spans="2:5">
      <c r="B5128" s="43" t="s">
        <v>72</v>
      </c>
      <c r="C5128" s="43" t="s">
        <v>73</v>
      </c>
      <c r="D5128" s="44">
        <v>45932</v>
      </c>
      <c r="E5128" s="45">
        <v>10.2</v>
      </c>
    </row>
    <row r="5129" spans="2:5">
      <c r="B5129" s="43" t="s">
        <v>46</v>
      </c>
      <c r="C5129" s="43" t="s">
        <v>47</v>
      </c>
      <c r="D5129" s="44">
        <v>45932</v>
      </c>
      <c r="E5129" s="45">
        <v>960.5</v>
      </c>
    </row>
    <row r="5130" spans="2:5">
      <c r="B5130" s="43" t="s">
        <v>10</v>
      </c>
      <c r="C5130" s="43" t="s">
        <v>11</v>
      </c>
      <c r="D5130" s="44">
        <v>45932</v>
      </c>
      <c r="E5130" s="45">
        <v>143.65</v>
      </c>
    </row>
    <row r="5131" spans="2:5">
      <c r="B5131" s="43" t="s">
        <v>12</v>
      </c>
      <c r="C5131" s="43" t="s">
        <v>13</v>
      </c>
      <c r="D5131" s="44">
        <v>45932</v>
      </c>
      <c r="E5131" s="45">
        <v>1131.6</v>
      </c>
    </row>
    <row r="5132" spans="2:5">
      <c r="B5132" s="43" t="s">
        <v>14</v>
      </c>
      <c r="C5132" s="43" t="s">
        <v>15</v>
      </c>
      <c r="D5132" s="44">
        <v>45932</v>
      </c>
      <c r="E5132" s="45">
        <v>256.5</v>
      </c>
    </row>
    <row r="5133" spans="2:5">
      <c r="B5133" s="43" t="s">
        <v>50</v>
      </c>
      <c r="C5133" s="43" t="s">
        <v>51</v>
      </c>
      <c r="D5133" s="44">
        <v>45932</v>
      </c>
      <c r="E5133" s="45">
        <v>68</v>
      </c>
    </row>
    <row r="5134" spans="2:5">
      <c r="B5134" s="43" t="s">
        <v>56</v>
      </c>
      <c r="C5134" s="43" t="s">
        <v>57</v>
      </c>
      <c r="D5134" s="44">
        <v>45932</v>
      </c>
      <c r="E5134" s="45">
        <v>181</v>
      </c>
    </row>
    <row r="5135" spans="2:5">
      <c r="B5135" s="43" t="s">
        <v>162</v>
      </c>
      <c r="C5135" s="43" t="s">
        <v>163</v>
      </c>
      <c r="D5135" s="44">
        <v>45932</v>
      </c>
      <c r="E5135" s="45">
        <v>80.8</v>
      </c>
    </row>
    <row r="5136" spans="2:5">
      <c r="B5136" s="43" t="s">
        <v>152</v>
      </c>
      <c r="C5136" s="43" t="s">
        <v>153</v>
      </c>
      <c r="D5136" s="44">
        <v>45932</v>
      </c>
      <c r="E5136" s="45">
        <v>46.5</v>
      </c>
    </row>
    <row r="5137" spans="2:5">
      <c r="B5137" s="43" t="s">
        <v>20</v>
      </c>
      <c r="C5137" s="43" t="s">
        <v>21</v>
      </c>
      <c r="D5137" s="44">
        <v>45932</v>
      </c>
      <c r="E5137" s="45">
        <v>196</v>
      </c>
    </row>
    <row r="5138" spans="2:5">
      <c r="B5138" s="43" t="s">
        <v>22</v>
      </c>
      <c r="C5138" s="43" t="s">
        <v>23</v>
      </c>
      <c r="D5138" s="44">
        <v>45932</v>
      </c>
      <c r="E5138" s="45">
        <v>518.4</v>
      </c>
    </row>
    <row r="5139" spans="2:5">
      <c r="B5139" s="43" t="s">
        <v>80</v>
      </c>
      <c r="C5139" s="43" t="s">
        <v>81</v>
      </c>
      <c r="D5139" s="44">
        <v>45932</v>
      </c>
      <c r="E5139" s="45">
        <v>215.25</v>
      </c>
    </row>
    <row r="5140" spans="2:5">
      <c r="B5140" s="43" t="s">
        <v>24</v>
      </c>
      <c r="C5140" s="43" t="s">
        <v>25</v>
      </c>
      <c r="D5140" s="44">
        <v>45932</v>
      </c>
      <c r="E5140" s="45">
        <v>2575.8</v>
      </c>
    </row>
    <row r="5141" spans="2:5">
      <c r="B5141" s="43" t="s">
        <v>210</v>
      </c>
      <c r="C5141" s="43" t="s">
        <v>211</v>
      </c>
      <c r="D5141" s="44">
        <v>45932</v>
      </c>
      <c r="E5141" s="45">
        <v>102.5</v>
      </c>
    </row>
    <row r="5142" spans="2:5">
      <c r="B5142" s="43" t="s">
        <v>26</v>
      </c>
      <c r="C5142" s="43" t="s">
        <v>27</v>
      </c>
      <c r="D5142" s="44">
        <v>45932</v>
      </c>
      <c r="E5142" s="45">
        <v>4167.4</v>
      </c>
    </row>
    <row r="5143" spans="2:5">
      <c r="B5143" s="43" t="s">
        <v>28</v>
      </c>
      <c r="C5143" s="43" t="s">
        <v>29</v>
      </c>
      <c r="D5143" s="44">
        <v>45932</v>
      </c>
      <c r="E5143" s="45">
        <v>35.8</v>
      </c>
    </row>
    <row r="5144" spans="2:5">
      <c r="B5144" s="43" t="s">
        <v>62</v>
      </c>
      <c r="C5144" s="43" t="s">
        <v>63</v>
      </c>
      <c r="D5144" s="44">
        <v>45932</v>
      </c>
      <c r="E5144" s="45">
        <v>205</v>
      </c>
    </row>
    <row r="5145" spans="2:5">
      <c r="B5145" s="43" t="s">
        <v>64</v>
      </c>
      <c r="C5145" s="43" t="s">
        <v>65</v>
      </c>
      <c r="D5145" s="44">
        <v>45932</v>
      </c>
      <c r="E5145" s="45">
        <v>380</v>
      </c>
    </row>
    <row r="5146" spans="2:5">
      <c r="B5146" s="43" t="s">
        <v>172</v>
      </c>
      <c r="C5146" s="43" t="s">
        <v>173</v>
      </c>
      <c r="D5146" s="44">
        <v>45932</v>
      </c>
      <c r="E5146" s="45">
        <v>428.45</v>
      </c>
    </row>
    <row r="5147" spans="2:5">
      <c r="B5147" s="43" t="s">
        <v>186</v>
      </c>
      <c r="C5147" s="43" t="s">
        <v>187</v>
      </c>
      <c r="D5147" s="44">
        <v>45932</v>
      </c>
      <c r="E5147" s="45">
        <v>40.7</v>
      </c>
    </row>
    <row r="5148" spans="2:5">
      <c r="B5148" s="43" t="s">
        <v>92</v>
      </c>
      <c r="C5148" s="43" t="s">
        <v>93</v>
      </c>
      <c r="D5148" s="44">
        <v>45932</v>
      </c>
      <c r="E5148" s="45">
        <v>1588.4</v>
      </c>
    </row>
    <row r="5149" spans="2:5">
      <c r="B5149" s="43" t="s">
        <v>150</v>
      </c>
      <c r="C5149" s="43" t="s">
        <v>151</v>
      </c>
      <c r="D5149" s="44">
        <v>45932</v>
      </c>
      <c r="E5149" s="45">
        <v>216.4</v>
      </c>
    </row>
    <row r="5150" spans="2:5">
      <c r="B5150" s="43" t="s">
        <v>96</v>
      </c>
      <c r="C5150" s="43" t="s">
        <v>97</v>
      </c>
      <c r="D5150" s="44">
        <v>45932</v>
      </c>
      <c r="E5150" s="45">
        <v>8</v>
      </c>
    </row>
    <row r="5151" spans="2:5">
      <c r="B5151" s="43" t="s">
        <v>32</v>
      </c>
      <c r="C5151" s="43" t="s">
        <v>33</v>
      </c>
      <c r="D5151" s="44">
        <v>45932</v>
      </c>
      <c r="E5151" s="45">
        <v>13</v>
      </c>
    </row>
    <row r="5152" spans="2:5">
      <c r="B5152" s="43" t="s">
        <v>160</v>
      </c>
      <c r="C5152" s="43" t="s">
        <v>161</v>
      </c>
      <c r="D5152" s="44">
        <v>45932</v>
      </c>
      <c r="E5152" s="45">
        <v>8</v>
      </c>
    </row>
    <row r="5153" spans="2:5">
      <c r="B5153" s="43" t="s">
        <v>232</v>
      </c>
      <c r="C5153" s="43" t="s">
        <v>233</v>
      </c>
      <c r="D5153" s="44">
        <v>45932</v>
      </c>
      <c r="E5153" s="45">
        <v>19</v>
      </c>
    </row>
    <row r="5154" spans="2:5">
      <c r="B5154" s="43" t="s">
        <v>36</v>
      </c>
      <c r="C5154" s="43" t="s">
        <v>37</v>
      </c>
      <c r="D5154" s="44">
        <v>45932</v>
      </c>
      <c r="E5154" s="45">
        <v>5</v>
      </c>
    </row>
    <row r="5155" spans="2:5">
      <c r="B5155" s="43" t="s">
        <v>38</v>
      </c>
      <c r="C5155" s="43" t="s">
        <v>39</v>
      </c>
      <c r="D5155" s="44">
        <v>45932</v>
      </c>
      <c r="E5155" s="45">
        <v>68</v>
      </c>
    </row>
    <row r="5156" spans="2:5">
      <c r="B5156" s="43" t="s">
        <v>42</v>
      </c>
      <c r="C5156" s="43" t="s">
        <v>43</v>
      </c>
      <c r="D5156" s="44">
        <v>45933</v>
      </c>
      <c r="E5156" s="45">
        <v>411.4</v>
      </c>
    </row>
    <row r="5157" spans="2:5">
      <c r="B5157" s="43" t="s">
        <v>4</v>
      </c>
      <c r="C5157" s="43" t="s">
        <v>5</v>
      </c>
      <c r="D5157" s="44">
        <v>45933</v>
      </c>
      <c r="E5157" s="45">
        <v>73.7</v>
      </c>
    </row>
    <row r="5158" spans="2:5">
      <c r="B5158" s="43" t="s">
        <v>156</v>
      </c>
      <c r="C5158" s="43" t="s">
        <v>157</v>
      </c>
      <c r="D5158" s="44">
        <v>45933</v>
      </c>
      <c r="E5158" s="45">
        <v>569.4</v>
      </c>
    </row>
    <row r="5159" spans="2:5">
      <c r="B5159" s="43" t="s">
        <v>8</v>
      </c>
      <c r="C5159" s="43" t="s">
        <v>9</v>
      </c>
      <c r="D5159" s="44">
        <v>45933</v>
      </c>
      <c r="E5159" s="45">
        <v>174</v>
      </c>
    </row>
    <row r="5160" spans="2:5">
      <c r="B5160" s="43" t="s">
        <v>44</v>
      </c>
      <c r="C5160" s="43" t="s">
        <v>45</v>
      </c>
      <c r="D5160" s="44">
        <v>45933</v>
      </c>
      <c r="E5160" s="45">
        <v>8.5</v>
      </c>
    </row>
    <row r="5161" spans="2:5">
      <c r="B5161" s="43" t="s">
        <v>46</v>
      </c>
      <c r="C5161" s="43" t="s">
        <v>47</v>
      </c>
      <c r="D5161" s="44">
        <v>45933</v>
      </c>
      <c r="E5161" s="45">
        <v>67.8</v>
      </c>
    </row>
    <row r="5162" spans="2:5">
      <c r="B5162" s="43" t="s">
        <v>10</v>
      </c>
      <c r="C5162" s="43" t="s">
        <v>11</v>
      </c>
      <c r="D5162" s="44">
        <v>45933</v>
      </c>
      <c r="E5162" s="45">
        <v>331.5</v>
      </c>
    </row>
    <row r="5163" spans="2:5">
      <c r="B5163" s="43" t="s">
        <v>206</v>
      </c>
      <c r="C5163" s="43" t="s">
        <v>207</v>
      </c>
      <c r="D5163" s="44">
        <v>45933</v>
      </c>
      <c r="E5163" s="45">
        <v>141.4</v>
      </c>
    </row>
    <row r="5164" spans="2:5">
      <c r="B5164" s="43" t="s">
        <v>12</v>
      </c>
      <c r="C5164" s="43" t="s">
        <v>13</v>
      </c>
      <c r="D5164" s="44">
        <v>45933</v>
      </c>
      <c r="E5164" s="45">
        <v>124.2</v>
      </c>
    </row>
    <row r="5165" spans="2:5">
      <c r="B5165" s="43" t="s">
        <v>48</v>
      </c>
      <c r="C5165" s="43" t="s">
        <v>49</v>
      </c>
      <c r="D5165" s="44">
        <v>45933</v>
      </c>
      <c r="E5165" s="45">
        <v>31.5</v>
      </c>
    </row>
    <row r="5166" spans="2:5">
      <c r="B5166" s="43" t="s">
        <v>50</v>
      </c>
      <c r="C5166" s="43" t="s">
        <v>51</v>
      </c>
      <c r="D5166" s="44">
        <v>45933</v>
      </c>
      <c r="E5166" s="45">
        <v>924.8</v>
      </c>
    </row>
    <row r="5167" spans="2:5">
      <c r="B5167" s="43" t="s">
        <v>114</v>
      </c>
      <c r="C5167" s="43" t="s">
        <v>115</v>
      </c>
      <c r="D5167" s="44">
        <v>45933</v>
      </c>
      <c r="E5167" s="45">
        <v>199.5</v>
      </c>
    </row>
    <row r="5168" spans="2:5">
      <c r="B5168" s="43" t="s">
        <v>54</v>
      </c>
      <c r="C5168" s="43" t="s">
        <v>55</v>
      </c>
      <c r="D5168" s="44">
        <v>45933</v>
      </c>
      <c r="E5168" s="45">
        <v>1409.8</v>
      </c>
    </row>
    <row r="5169" spans="2:5">
      <c r="B5169" s="43" t="s">
        <v>56</v>
      </c>
      <c r="C5169" s="43" t="s">
        <v>57</v>
      </c>
      <c r="D5169" s="44">
        <v>45933</v>
      </c>
      <c r="E5169" s="45">
        <v>54.3</v>
      </c>
    </row>
    <row r="5170" spans="2:5">
      <c r="B5170" s="43" t="s">
        <v>76</v>
      </c>
      <c r="C5170" s="43" t="s">
        <v>77</v>
      </c>
      <c r="D5170" s="44">
        <v>45933</v>
      </c>
      <c r="E5170" s="45">
        <v>123.55</v>
      </c>
    </row>
    <row r="5171" spans="2:5">
      <c r="B5171" s="43" t="s">
        <v>234</v>
      </c>
      <c r="C5171" s="43" t="s">
        <v>235</v>
      </c>
      <c r="D5171" s="44">
        <v>45933</v>
      </c>
      <c r="E5171" s="45">
        <v>206</v>
      </c>
    </row>
    <row r="5172" spans="2:5">
      <c r="B5172" s="43" t="s">
        <v>200</v>
      </c>
      <c r="C5172" s="43" t="s">
        <v>201</v>
      </c>
      <c r="D5172" s="44">
        <v>45933</v>
      </c>
      <c r="E5172" s="45">
        <v>55</v>
      </c>
    </row>
    <row r="5173" spans="2:5">
      <c r="B5173" s="43" t="s">
        <v>78</v>
      </c>
      <c r="C5173" s="43" t="s">
        <v>79</v>
      </c>
      <c r="D5173" s="44">
        <v>45933</v>
      </c>
      <c r="E5173" s="45">
        <v>8.85</v>
      </c>
    </row>
    <row r="5174" spans="2:5">
      <c r="B5174" s="43" t="s">
        <v>20</v>
      </c>
      <c r="C5174" s="43" t="s">
        <v>21</v>
      </c>
      <c r="D5174" s="44">
        <v>45933</v>
      </c>
      <c r="E5174" s="45">
        <v>225.4</v>
      </c>
    </row>
    <row r="5175" spans="2:5">
      <c r="B5175" s="43" t="s">
        <v>22</v>
      </c>
      <c r="C5175" s="43" t="s">
        <v>23</v>
      </c>
      <c r="D5175" s="44">
        <v>45933</v>
      </c>
      <c r="E5175" s="45">
        <v>28.8</v>
      </c>
    </row>
    <row r="5176" spans="2:5">
      <c r="B5176" s="43" t="s">
        <v>80</v>
      </c>
      <c r="C5176" s="43" t="s">
        <v>81</v>
      </c>
      <c r="D5176" s="44">
        <v>45933</v>
      </c>
      <c r="E5176" s="45">
        <v>1320.2</v>
      </c>
    </row>
    <row r="5177" spans="2:5">
      <c r="B5177" s="43" t="s">
        <v>24</v>
      </c>
      <c r="C5177" s="43" t="s">
        <v>25</v>
      </c>
      <c r="D5177" s="44">
        <v>45933</v>
      </c>
      <c r="E5177" s="45">
        <v>2623.5</v>
      </c>
    </row>
    <row r="5178" spans="2:5">
      <c r="B5178" s="43" t="s">
        <v>58</v>
      </c>
      <c r="C5178" s="43" t="s">
        <v>59</v>
      </c>
      <c r="D5178" s="44">
        <v>45933</v>
      </c>
      <c r="E5178" s="45">
        <v>1787.7</v>
      </c>
    </row>
    <row r="5179" spans="2:5">
      <c r="B5179" s="43" t="s">
        <v>26</v>
      </c>
      <c r="C5179" s="43" t="s">
        <v>27</v>
      </c>
      <c r="D5179" s="44">
        <v>45933</v>
      </c>
      <c r="E5179" s="45">
        <v>497.6</v>
      </c>
    </row>
    <row r="5180" spans="2:5">
      <c r="B5180" s="43" t="s">
        <v>62</v>
      </c>
      <c r="C5180" s="43" t="s">
        <v>63</v>
      </c>
      <c r="D5180" s="44">
        <v>45933</v>
      </c>
      <c r="E5180" s="45">
        <v>1987.5</v>
      </c>
    </row>
    <row r="5181" spans="2:5">
      <c r="B5181" s="43" t="s">
        <v>198</v>
      </c>
      <c r="C5181" s="43" t="s">
        <v>199</v>
      </c>
      <c r="D5181" s="44">
        <v>45933</v>
      </c>
      <c r="E5181" s="45">
        <v>115.5</v>
      </c>
    </row>
    <row r="5182" spans="2:5">
      <c r="B5182" s="43" t="s">
        <v>150</v>
      </c>
      <c r="C5182" s="43" t="s">
        <v>151</v>
      </c>
      <c r="D5182" s="44">
        <v>45933</v>
      </c>
      <c r="E5182" s="45">
        <v>108.2</v>
      </c>
    </row>
    <row r="5183" spans="2:5">
      <c r="B5183" s="43" t="s">
        <v>96</v>
      </c>
      <c r="C5183" s="43" t="s">
        <v>97</v>
      </c>
      <c r="D5183" s="44">
        <v>45933</v>
      </c>
      <c r="E5183" s="45">
        <v>14</v>
      </c>
    </row>
    <row r="5184" spans="2:5">
      <c r="B5184" s="43" t="s">
        <v>32</v>
      </c>
      <c r="C5184" s="43" t="s">
        <v>33</v>
      </c>
      <c r="D5184" s="44">
        <v>45933</v>
      </c>
      <c r="E5184" s="45">
        <v>8</v>
      </c>
    </row>
    <row r="5185" spans="2:5">
      <c r="B5185" s="43" t="s">
        <v>160</v>
      </c>
      <c r="C5185" s="43" t="s">
        <v>161</v>
      </c>
      <c r="D5185" s="44">
        <v>45933</v>
      </c>
      <c r="E5185" s="45">
        <v>6</v>
      </c>
    </row>
    <row r="5186" spans="2:5">
      <c r="B5186" s="43" t="s">
        <v>34</v>
      </c>
      <c r="C5186" s="43" t="s">
        <v>35</v>
      </c>
      <c r="D5186" s="44">
        <v>45933</v>
      </c>
      <c r="E5186" s="45">
        <v>3</v>
      </c>
    </row>
    <row r="5187" spans="2:5">
      <c r="B5187" s="43" t="s">
        <v>36</v>
      </c>
      <c r="C5187" s="43" t="s">
        <v>37</v>
      </c>
      <c r="D5187" s="44">
        <v>45933</v>
      </c>
      <c r="E5187" s="45">
        <v>6</v>
      </c>
    </row>
    <row r="5188" spans="2:5">
      <c r="B5188" s="43" t="s">
        <v>38</v>
      </c>
      <c r="C5188" s="43" t="s">
        <v>39</v>
      </c>
      <c r="D5188" s="44">
        <v>45933</v>
      </c>
      <c r="E5188" s="45">
        <v>3</v>
      </c>
    </row>
    <row r="5189" spans="2:5">
      <c r="B5189" s="43" t="s">
        <v>4</v>
      </c>
      <c r="C5189" s="43" t="s">
        <v>5</v>
      </c>
      <c r="D5189" s="44">
        <v>45936</v>
      </c>
      <c r="E5189" s="45">
        <v>40.2</v>
      </c>
    </row>
    <row r="5190" spans="2:5">
      <c r="B5190" s="43" t="s">
        <v>8</v>
      </c>
      <c r="C5190" s="43" t="s">
        <v>9</v>
      </c>
      <c r="D5190" s="44">
        <v>45936</v>
      </c>
      <c r="E5190" s="45">
        <v>26.1</v>
      </c>
    </row>
    <row r="5191" spans="2:5">
      <c r="B5191" s="43" t="s">
        <v>46</v>
      </c>
      <c r="C5191" s="43" t="s">
        <v>47</v>
      </c>
      <c r="D5191" s="44">
        <v>45936</v>
      </c>
      <c r="E5191" s="45">
        <v>508.5</v>
      </c>
    </row>
    <row r="5192" spans="2:5">
      <c r="B5192" s="43" t="s">
        <v>206</v>
      </c>
      <c r="C5192" s="43" t="s">
        <v>207</v>
      </c>
      <c r="D5192" s="44">
        <v>45936</v>
      </c>
      <c r="E5192" s="45">
        <v>161.6</v>
      </c>
    </row>
    <row r="5193" spans="2:5">
      <c r="B5193" s="43" t="s">
        <v>12</v>
      </c>
      <c r="C5193" s="43" t="s">
        <v>13</v>
      </c>
      <c r="D5193" s="44">
        <v>45936</v>
      </c>
      <c r="E5193" s="45">
        <v>1173</v>
      </c>
    </row>
    <row r="5194" spans="2:5">
      <c r="B5194" s="43" t="s">
        <v>48</v>
      </c>
      <c r="C5194" s="43" t="s">
        <v>49</v>
      </c>
      <c r="D5194" s="44">
        <v>45936</v>
      </c>
      <c r="E5194" s="45">
        <v>220.5</v>
      </c>
    </row>
    <row r="5195" spans="2:5">
      <c r="B5195" s="43" t="s">
        <v>52</v>
      </c>
      <c r="C5195" s="43" t="s">
        <v>53</v>
      </c>
      <c r="D5195" s="44">
        <v>45936</v>
      </c>
      <c r="E5195" s="45">
        <v>47.4</v>
      </c>
    </row>
    <row r="5196" spans="2:5">
      <c r="B5196" s="43" t="s">
        <v>54</v>
      </c>
      <c r="C5196" s="43" t="s">
        <v>55</v>
      </c>
      <c r="D5196" s="44">
        <v>45936</v>
      </c>
      <c r="E5196" s="45">
        <v>26.6</v>
      </c>
    </row>
    <row r="5197" spans="2:5">
      <c r="B5197" s="43" t="s">
        <v>180</v>
      </c>
      <c r="C5197" s="43" t="s">
        <v>181</v>
      </c>
      <c r="D5197" s="44">
        <v>45936</v>
      </c>
      <c r="E5197" s="45">
        <v>67.2</v>
      </c>
    </row>
    <row r="5198" spans="2:5">
      <c r="B5198" s="43" t="s">
        <v>22</v>
      </c>
      <c r="C5198" s="43" t="s">
        <v>23</v>
      </c>
      <c r="D5198" s="44">
        <v>45936</v>
      </c>
      <c r="E5198" s="45">
        <v>9.6</v>
      </c>
    </row>
    <row r="5199" spans="2:5">
      <c r="B5199" s="43" t="s">
        <v>80</v>
      </c>
      <c r="C5199" s="43" t="s">
        <v>81</v>
      </c>
      <c r="D5199" s="44">
        <v>45936</v>
      </c>
      <c r="E5199" s="45">
        <v>143.5</v>
      </c>
    </row>
    <row r="5200" spans="2:5">
      <c r="B5200" s="43" t="s">
        <v>24</v>
      </c>
      <c r="C5200" s="43" t="s">
        <v>25</v>
      </c>
      <c r="D5200" s="44">
        <v>45936</v>
      </c>
      <c r="E5200" s="45">
        <v>1780.8</v>
      </c>
    </row>
    <row r="5201" spans="2:5">
      <c r="B5201" s="43" t="s">
        <v>58</v>
      </c>
      <c r="C5201" s="43" t="s">
        <v>59</v>
      </c>
      <c r="D5201" s="44">
        <v>45936</v>
      </c>
      <c r="E5201" s="45">
        <v>531</v>
      </c>
    </row>
    <row r="5202" spans="2:5">
      <c r="B5202" s="43" t="s">
        <v>210</v>
      </c>
      <c r="C5202" s="43" t="s">
        <v>211</v>
      </c>
      <c r="D5202" s="44">
        <v>45936</v>
      </c>
      <c r="E5202" s="45">
        <v>102.5</v>
      </c>
    </row>
    <row r="5203" spans="2:5">
      <c r="B5203" s="43" t="s">
        <v>26</v>
      </c>
      <c r="C5203" s="43" t="s">
        <v>27</v>
      </c>
      <c r="D5203" s="44">
        <v>45936</v>
      </c>
      <c r="E5203" s="45">
        <v>2177</v>
      </c>
    </row>
    <row r="5204" spans="2:5">
      <c r="B5204" s="43" t="s">
        <v>60</v>
      </c>
      <c r="C5204" s="43" t="s">
        <v>61</v>
      </c>
      <c r="D5204" s="44">
        <v>45936</v>
      </c>
      <c r="E5204" s="45">
        <v>109.8</v>
      </c>
    </row>
    <row r="5205" spans="2:5">
      <c r="B5205" s="43" t="s">
        <v>122</v>
      </c>
      <c r="C5205" s="43" t="s">
        <v>123</v>
      </c>
      <c r="D5205" s="44">
        <v>45936</v>
      </c>
      <c r="E5205" s="45">
        <v>120.8</v>
      </c>
    </row>
    <row r="5206" spans="2:5">
      <c r="B5206" s="43" t="s">
        <v>62</v>
      </c>
      <c r="C5206" s="43" t="s">
        <v>63</v>
      </c>
      <c r="D5206" s="44">
        <v>45936</v>
      </c>
      <c r="E5206" s="45">
        <v>471.5</v>
      </c>
    </row>
    <row r="5207" spans="2:5">
      <c r="B5207" s="43" t="s">
        <v>198</v>
      </c>
      <c r="C5207" s="43" t="s">
        <v>199</v>
      </c>
      <c r="D5207" s="44">
        <v>45936</v>
      </c>
      <c r="E5207" s="45">
        <v>254.1</v>
      </c>
    </row>
    <row r="5208" spans="2:5">
      <c r="B5208" s="43" t="s">
        <v>92</v>
      </c>
      <c r="C5208" s="43" t="s">
        <v>93</v>
      </c>
      <c r="D5208" s="44">
        <v>45936</v>
      </c>
      <c r="E5208" s="45">
        <v>1913.3</v>
      </c>
    </row>
    <row r="5209" spans="2:5">
      <c r="B5209" s="43" t="s">
        <v>68</v>
      </c>
      <c r="C5209" s="43" t="s">
        <v>69</v>
      </c>
      <c r="D5209" s="44">
        <v>45936</v>
      </c>
      <c r="E5209" s="45">
        <v>35.9</v>
      </c>
    </row>
    <row r="5210" spans="2:5">
      <c r="B5210" s="43" t="s">
        <v>96</v>
      </c>
      <c r="C5210" s="43" t="s">
        <v>97</v>
      </c>
      <c r="D5210" s="44">
        <v>45936</v>
      </c>
      <c r="E5210" s="45">
        <v>16</v>
      </c>
    </row>
    <row r="5211" spans="2:5">
      <c r="B5211" s="43" t="s">
        <v>32</v>
      </c>
      <c r="C5211" s="43" t="s">
        <v>33</v>
      </c>
      <c r="D5211" s="44">
        <v>45936</v>
      </c>
      <c r="E5211" s="45">
        <v>2</v>
      </c>
    </row>
    <row r="5212" spans="2:5">
      <c r="B5212" s="43" t="s">
        <v>160</v>
      </c>
      <c r="C5212" s="43" t="s">
        <v>161</v>
      </c>
      <c r="D5212" s="44">
        <v>45936</v>
      </c>
      <c r="E5212" s="45">
        <v>6</v>
      </c>
    </row>
    <row r="5213" spans="2:5">
      <c r="B5213" s="43" t="s">
        <v>34</v>
      </c>
      <c r="C5213" s="43" t="s">
        <v>35</v>
      </c>
      <c r="D5213" s="44">
        <v>45936</v>
      </c>
      <c r="E5213" s="45">
        <v>4</v>
      </c>
    </row>
    <row r="5214" spans="2:5">
      <c r="B5214" s="43" t="s">
        <v>232</v>
      </c>
      <c r="C5214" s="43" t="s">
        <v>233</v>
      </c>
      <c r="D5214" s="44">
        <v>45936</v>
      </c>
      <c r="E5214" s="45">
        <v>4</v>
      </c>
    </row>
    <row r="5215" spans="2:5">
      <c r="B5215" s="43" t="s">
        <v>100</v>
      </c>
      <c r="C5215" s="43" t="s">
        <v>101</v>
      </c>
      <c r="D5215" s="44">
        <v>45937</v>
      </c>
      <c r="E5215" s="45">
        <v>13</v>
      </c>
    </row>
    <row r="5216" spans="2:5">
      <c r="B5216" s="43" t="s">
        <v>4</v>
      </c>
      <c r="C5216" s="43" t="s">
        <v>5</v>
      </c>
      <c r="D5216" s="44">
        <v>45937</v>
      </c>
      <c r="E5216" s="45">
        <v>20.1</v>
      </c>
    </row>
    <row r="5217" spans="2:5">
      <c r="B5217" s="43" t="s">
        <v>8</v>
      </c>
      <c r="C5217" s="43" t="s">
        <v>9</v>
      </c>
      <c r="D5217" s="44">
        <v>45937</v>
      </c>
      <c r="E5217" s="45">
        <v>69.6</v>
      </c>
    </row>
    <row r="5218" spans="2:5">
      <c r="B5218" s="43" t="s">
        <v>44</v>
      </c>
      <c r="C5218" s="43" t="s">
        <v>45</v>
      </c>
      <c r="D5218" s="44">
        <v>45937</v>
      </c>
      <c r="E5218" s="45">
        <v>25.5</v>
      </c>
    </row>
    <row r="5219" spans="2:5">
      <c r="B5219" s="43" t="s">
        <v>46</v>
      </c>
      <c r="C5219" s="43" t="s">
        <v>47</v>
      </c>
      <c r="D5219" s="44">
        <v>45937</v>
      </c>
      <c r="E5219" s="45">
        <v>22.6</v>
      </c>
    </row>
    <row r="5220" spans="2:5">
      <c r="B5220" s="43" t="s">
        <v>12</v>
      </c>
      <c r="C5220" s="43" t="s">
        <v>13</v>
      </c>
      <c r="D5220" s="44">
        <v>45937</v>
      </c>
      <c r="E5220" s="45">
        <v>676.2</v>
      </c>
    </row>
    <row r="5221" spans="2:5">
      <c r="B5221" s="43" t="s">
        <v>108</v>
      </c>
      <c r="C5221" s="43" t="s">
        <v>109</v>
      </c>
      <c r="D5221" s="44">
        <v>45937</v>
      </c>
      <c r="E5221" s="45">
        <v>46.5</v>
      </c>
    </row>
    <row r="5222" spans="2:5">
      <c r="B5222" s="43" t="s">
        <v>14</v>
      </c>
      <c r="C5222" s="43" t="s">
        <v>15</v>
      </c>
      <c r="D5222" s="44">
        <v>45937</v>
      </c>
      <c r="E5222" s="45">
        <v>216</v>
      </c>
    </row>
    <row r="5223" spans="2:5">
      <c r="B5223" s="43" t="s">
        <v>50</v>
      </c>
      <c r="C5223" s="43" t="s">
        <v>51</v>
      </c>
      <c r="D5223" s="44">
        <v>45937</v>
      </c>
      <c r="E5223" s="45">
        <v>1251.2</v>
      </c>
    </row>
    <row r="5224" spans="2:5">
      <c r="B5224" s="43" t="s">
        <v>182</v>
      </c>
      <c r="C5224" s="43" t="s">
        <v>183</v>
      </c>
      <c r="D5224" s="44">
        <v>45937</v>
      </c>
      <c r="E5224" s="45">
        <v>1455.9</v>
      </c>
    </row>
    <row r="5225" spans="2:5">
      <c r="B5225" s="43" t="s">
        <v>162</v>
      </c>
      <c r="C5225" s="43" t="s">
        <v>163</v>
      </c>
      <c r="D5225" s="44">
        <v>45937</v>
      </c>
      <c r="E5225" s="45">
        <v>626.2</v>
      </c>
    </row>
    <row r="5226" spans="2:5">
      <c r="B5226" s="43" t="s">
        <v>76</v>
      </c>
      <c r="C5226" s="43" t="s">
        <v>77</v>
      </c>
      <c r="D5226" s="44">
        <v>45937</v>
      </c>
      <c r="E5226" s="45">
        <v>141.2</v>
      </c>
    </row>
    <row r="5227" spans="2:5">
      <c r="B5227" s="43" t="s">
        <v>18</v>
      </c>
      <c r="C5227" s="43" t="s">
        <v>19</v>
      </c>
      <c r="D5227" s="44">
        <v>45937</v>
      </c>
      <c r="E5227" s="45">
        <v>400.5</v>
      </c>
    </row>
    <row r="5228" spans="2:5">
      <c r="B5228" s="43" t="s">
        <v>20</v>
      </c>
      <c r="C5228" s="43" t="s">
        <v>21</v>
      </c>
      <c r="D5228" s="44">
        <v>45937</v>
      </c>
      <c r="E5228" s="45">
        <v>49</v>
      </c>
    </row>
    <row r="5229" spans="2:5">
      <c r="B5229" s="43" t="s">
        <v>22</v>
      </c>
      <c r="C5229" s="43" t="s">
        <v>23</v>
      </c>
      <c r="D5229" s="44">
        <v>45937</v>
      </c>
      <c r="E5229" s="45">
        <v>105.6</v>
      </c>
    </row>
    <row r="5230" spans="2:5">
      <c r="B5230" s="43" t="s">
        <v>24</v>
      </c>
      <c r="C5230" s="43" t="s">
        <v>25</v>
      </c>
      <c r="D5230" s="44">
        <v>45937</v>
      </c>
      <c r="E5230" s="45">
        <v>3402.6</v>
      </c>
    </row>
    <row r="5231" spans="2:5">
      <c r="B5231" s="43" t="s">
        <v>26</v>
      </c>
      <c r="C5231" s="43" t="s">
        <v>27</v>
      </c>
      <c r="D5231" s="44">
        <v>45937</v>
      </c>
      <c r="E5231" s="45">
        <v>2581.3</v>
      </c>
    </row>
    <row r="5232" spans="2:5">
      <c r="B5232" s="43" t="s">
        <v>60</v>
      </c>
      <c r="C5232" s="43" t="s">
        <v>61</v>
      </c>
      <c r="D5232" s="44">
        <v>45937</v>
      </c>
      <c r="E5232" s="45">
        <v>1903.2</v>
      </c>
    </row>
    <row r="5233" spans="2:5">
      <c r="B5233" s="43" t="s">
        <v>28</v>
      </c>
      <c r="C5233" s="43" t="s">
        <v>29</v>
      </c>
      <c r="D5233" s="44">
        <v>45937</v>
      </c>
      <c r="E5233" s="45">
        <v>286.4</v>
      </c>
    </row>
    <row r="5234" spans="2:5">
      <c r="B5234" s="43" t="s">
        <v>62</v>
      </c>
      <c r="C5234" s="43" t="s">
        <v>63</v>
      </c>
      <c r="D5234" s="44">
        <v>45937</v>
      </c>
      <c r="E5234" s="45">
        <v>676.5</v>
      </c>
    </row>
    <row r="5235" spans="2:5">
      <c r="B5235" s="43" t="s">
        <v>64</v>
      </c>
      <c r="C5235" s="43" t="s">
        <v>65</v>
      </c>
      <c r="D5235" s="44">
        <v>45937</v>
      </c>
      <c r="E5235" s="45">
        <v>640</v>
      </c>
    </row>
    <row r="5236" spans="2:5">
      <c r="B5236" s="43" t="s">
        <v>172</v>
      </c>
      <c r="C5236" s="43" t="s">
        <v>173</v>
      </c>
      <c r="D5236" s="44">
        <v>45937</v>
      </c>
      <c r="E5236" s="45">
        <v>676.5</v>
      </c>
    </row>
    <row r="5237" spans="2:5">
      <c r="B5237" s="43" t="s">
        <v>92</v>
      </c>
      <c r="C5237" s="43" t="s">
        <v>93</v>
      </c>
      <c r="D5237" s="44">
        <v>45937</v>
      </c>
      <c r="E5237" s="45">
        <v>541.5</v>
      </c>
    </row>
    <row r="5238" spans="2:5">
      <c r="B5238" s="43" t="s">
        <v>150</v>
      </c>
      <c r="C5238" s="43" t="s">
        <v>151</v>
      </c>
      <c r="D5238" s="44">
        <v>45937</v>
      </c>
      <c r="E5238" s="45">
        <v>1190.2</v>
      </c>
    </row>
    <row r="5239" spans="2:5">
      <c r="B5239" s="43" t="s">
        <v>96</v>
      </c>
      <c r="C5239" s="43" t="s">
        <v>97</v>
      </c>
      <c r="D5239" s="44">
        <v>45937</v>
      </c>
      <c r="E5239" s="45">
        <v>96</v>
      </c>
    </row>
    <row r="5240" spans="2:5">
      <c r="B5240" s="43" t="s">
        <v>32</v>
      </c>
      <c r="C5240" s="43" t="s">
        <v>33</v>
      </c>
      <c r="D5240" s="44">
        <v>45937</v>
      </c>
      <c r="E5240" s="45">
        <v>6</v>
      </c>
    </row>
    <row r="5241" spans="2:5">
      <c r="B5241" s="43" t="s">
        <v>160</v>
      </c>
      <c r="C5241" s="43" t="s">
        <v>161</v>
      </c>
      <c r="D5241" s="44">
        <v>45937</v>
      </c>
      <c r="E5241" s="45">
        <v>1</v>
      </c>
    </row>
    <row r="5242" spans="2:5">
      <c r="B5242" s="43" t="s">
        <v>34</v>
      </c>
      <c r="C5242" s="43" t="s">
        <v>35</v>
      </c>
      <c r="D5242" s="44">
        <v>45937</v>
      </c>
      <c r="E5242" s="45">
        <v>13</v>
      </c>
    </row>
    <row r="5243" spans="2:5">
      <c r="B5243" s="43" t="s">
        <v>232</v>
      </c>
      <c r="C5243" s="43" t="s">
        <v>233</v>
      </c>
      <c r="D5243" s="44">
        <v>45937</v>
      </c>
      <c r="E5243" s="45">
        <v>19</v>
      </c>
    </row>
    <row r="5244" spans="2:5">
      <c r="B5244" s="43" t="s">
        <v>38</v>
      </c>
      <c r="C5244" s="43" t="s">
        <v>39</v>
      </c>
      <c r="D5244" s="44">
        <v>45937</v>
      </c>
      <c r="E5244" s="45">
        <v>10</v>
      </c>
    </row>
    <row r="5245" spans="2:5">
      <c r="B5245" s="43" t="s">
        <v>42</v>
      </c>
      <c r="C5245" s="43" t="s">
        <v>43</v>
      </c>
      <c r="D5245" s="44">
        <v>45938</v>
      </c>
      <c r="E5245" s="45">
        <v>96.8</v>
      </c>
    </row>
    <row r="5246" spans="2:5">
      <c r="B5246" s="43" t="s">
        <v>156</v>
      </c>
      <c r="C5246" s="43" t="s">
        <v>157</v>
      </c>
      <c r="D5246" s="44">
        <v>45938</v>
      </c>
      <c r="E5246" s="45">
        <v>124.8</v>
      </c>
    </row>
    <row r="5247" spans="2:5">
      <c r="B5247" s="43" t="s">
        <v>8</v>
      </c>
      <c r="C5247" s="43" t="s">
        <v>9</v>
      </c>
      <c r="D5247" s="44">
        <v>45938</v>
      </c>
      <c r="E5247" s="45">
        <v>43.5</v>
      </c>
    </row>
    <row r="5248" spans="2:5">
      <c r="B5248" s="43" t="s">
        <v>44</v>
      </c>
      <c r="C5248" s="43" t="s">
        <v>45</v>
      </c>
      <c r="D5248" s="44">
        <v>45938</v>
      </c>
      <c r="E5248" s="45">
        <v>17</v>
      </c>
    </row>
    <row r="5249" spans="2:5">
      <c r="B5249" s="43" t="s">
        <v>46</v>
      </c>
      <c r="C5249" s="43" t="s">
        <v>47</v>
      </c>
      <c r="D5249" s="44">
        <v>45938</v>
      </c>
      <c r="E5249" s="45">
        <v>700.6</v>
      </c>
    </row>
    <row r="5250" spans="2:5">
      <c r="B5250" s="43" t="s">
        <v>12</v>
      </c>
      <c r="C5250" s="43" t="s">
        <v>13</v>
      </c>
      <c r="D5250" s="44">
        <v>45938</v>
      </c>
      <c r="E5250" s="45">
        <v>1186.8</v>
      </c>
    </row>
    <row r="5251" spans="2:5">
      <c r="B5251" s="43" t="s">
        <v>20</v>
      </c>
      <c r="C5251" s="43" t="s">
        <v>21</v>
      </c>
      <c r="D5251" s="44">
        <v>45938</v>
      </c>
      <c r="E5251" s="45">
        <v>19.6</v>
      </c>
    </row>
    <row r="5252" spans="2:5">
      <c r="B5252" s="43" t="s">
        <v>22</v>
      </c>
      <c r="C5252" s="43" t="s">
        <v>23</v>
      </c>
      <c r="D5252" s="44">
        <v>45938</v>
      </c>
      <c r="E5252" s="45">
        <v>96</v>
      </c>
    </row>
    <row r="5253" spans="2:5">
      <c r="B5253" s="43" t="s">
        <v>80</v>
      </c>
      <c r="C5253" s="43" t="s">
        <v>81</v>
      </c>
      <c r="D5253" s="44">
        <v>45938</v>
      </c>
      <c r="E5253" s="45">
        <v>100.45</v>
      </c>
    </row>
    <row r="5254" spans="2:5">
      <c r="B5254" s="43" t="s">
        <v>24</v>
      </c>
      <c r="C5254" s="43" t="s">
        <v>25</v>
      </c>
      <c r="D5254" s="44">
        <v>45938</v>
      </c>
      <c r="E5254" s="45">
        <v>4658.7</v>
      </c>
    </row>
    <row r="5255" spans="2:5">
      <c r="B5255" s="43" t="s">
        <v>26</v>
      </c>
      <c r="C5255" s="43" t="s">
        <v>27</v>
      </c>
      <c r="D5255" s="44">
        <v>45938</v>
      </c>
      <c r="E5255" s="45">
        <v>730.85</v>
      </c>
    </row>
    <row r="5256" spans="2:5">
      <c r="B5256" s="43" t="s">
        <v>28</v>
      </c>
      <c r="C5256" s="43" t="s">
        <v>29</v>
      </c>
      <c r="D5256" s="44">
        <v>45938</v>
      </c>
      <c r="E5256" s="45">
        <v>304.3</v>
      </c>
    </row>
    <row r="5257" spans="2:5">
      <c r="B5257" s="43" t="s">
        <v>82</v>
      </c>
      <c r="C5257" s="43" t="s">
        <v>83</v>
      </c>
      <c r="D5257" s="44">
        <v>45938</v>
      </c>
      <c r="E5257" s="45">
        <v>55.35</v>
      </c>
    </row>
    <row r="5258" spans="2:5">
      <c r="B5258" s="43" t="s">
        <v>62</v>
      </c>
      <c r="C5258" s="43" t="s">
        <v>63</v>
      </c>
      <c r="D5258" s="44">
        <v>45938</v>
      </c>
      <c r="E5258" s="45">
        <v>307.5</v>
      </c>
    </row>
    <row r="5259" spans="2:5">
      <c r="B5259" s="43" t="s">
        <v>64</v>
      </c>
      <c r="C5259" s="43" t="s">
        <v>65</v>
      </c>
      <c r="D5259" s="44">
        <v>45938</v>
      </c>
      <c r="E5259" s="45">
        <v>140</v>
      </c>
    </row>
    <row r="5260" spans="2:5">
      <c r="B5260" s="43" t="s">
        <v>66</v>
      </c>
      <c r="C5260" s="43" t="s">
        <v>67</v>
      </c>
      <c r="D5260" s="44">
        <v>45938</v>
      </c>
      <c r="E5260" s="45">
        <v>249.3</v>
      </c>
    </row>
    <row r="5261" spans="2:5">
      <c r="B5261" s="43" t="s">
        <v>96</v>
      </c>
      <c r="C5261" s="43" t="s">
        <v>97</v>
      </c>
      <c r="D5261" s="44">
        <v>45938</v>
      </c>
      <c r="E5261" s="45">
        <v>26</v>
      </c>
    </row>
    <row r="5262" spans="2:5">
      <c r="B5262" s="43" t="s">
        <v>32</v>
      </c>
      <c r="C5262" s="43" t="s">
        <v>33</v>
      </c>
      <c r="D5262" s="44">
        <v>45938</v>
      </c>
      <c r="E5262" s="45">
        <v>9</v>
      </c>
    </row>
    <row r="5263" spans="2:5">
      <c r="B5263" s="43" t="s">
        <v>232</v>
      </c>
      <c r="C5263" s="43" t="s">
        <v>233</v>
      </c>
      <c r="D5263" s="44">
        <v>45938</v>
      </c>
      <c r="E5263" s="45">
        <v>3</v>
      </c>
    </row>
    <row r="5264" spans="2:5">
      <c r="B5264" s="43" t="s">
        <v>104</v>
      </c>
      <c r="C5264" s="43" t="s">
        <v>105</v>
      </c>
      <c r="D5264" s="44">
        <v>45939</v>
      </c>
      <c r="E5264" s="45">
        <v>15</v>
      </c>
    </row>
    <row r="5265" spans="2:5">
      <c r="B5265" s="43" t="s">
        <v>42</v>
      </c>
      <c r="C5265" s="43" t="s">
        <v>43</v>
      </c>
      <c r="D5265" s="44">
        <v>45939</v>
      </c>
      <c r="E5265" s="45">
        <v>114.95</v>
      </c>
    </row>
    <row r="5266" spans="2:5">
      <c r="B5266" s="43" t="s">
        <v>4</v>
      </c>
      <c r="C5266" s="43" t="s">
        <v>5</v>
      </c>
      <c r="D5266" s="44">
        <v>45939</v>
      </c>
      <c r="E5266" s="45">
        <v>368.5</v>
      </c>
    </row>
    <row r="5267" spans="2:5">
      <c r="B5267" s="43" t="s">
        <v>156</v>
      </c>
      <c r="C5267" s="43" t="s">
        <v>157</v>
      </c>
      <c r="D5267" s="44">
        <v>45939</v>
      </c>
      <c r="E5267" s="45">
        <v>234</v>
      </c>
    </row>
    <row r="5268" spans="2:5">
      <c r="B5268" s="43" t="s">
        <v>8</v>
      </c>
      <c r="C5268" s="43" t="s">
        <v>9</v>
      </c>
      <c r="D5268" s="44">
        <v>45939</v>
      </c>
      <c r="E5268" s="45">
        <v>600.3</v>
      </c>
    </row>
    <row r="5269" spans="2:5">
      <c r="B5269" s="43" t="s">
        <v>44</v>
      </c>
      <c r="C5269" s="43" t="s">
        <v>45</v>
      </c>
      <c r="D5269" s="44">
        <v>45939</v>
      </c>
      <c r="E5269" s="45">
        <v>25.5</v>
      </c>
    </row>
    <row r="5270" spans="2:5">
      <c r="B5270" s="43" t="s">
        <v>46</v>
      </c>
      <c r="C5270" s="43" t="s">
        <v>47</v>
      </c>
      <c r="D5270" s="44">
        <v>45939</v>
      </c>
      <c r="E5270" s="45">
        <v>1423.856</v>
      </c>
    </row>
    <row r="5271" spans="2:5">
      <c r="B5271" s="43" t="s">
        <v>74</v>
      </c>
      <c r="C5271" s="43" t="s">
        <v>75</v>
      </c>
      <c r="D5271" s="44">
        <v>45939</v>
      </c>
      <c r="E5271" s="45">
        <v>410.85</v>
      </c>
    </row>
    <row r="5272" spans="2:5">
      <c r="B5272" s="43" t="s">
        <v>12</v>
      </c>
      <c r="C5272" s="43" t="s">
        <v>13</v>
      </c>
      <c r="D5272" s="44">
        <v>45939</v>
      </c>
      <c r="E5272" s="45">
        <v>1766.4</v>
      </c>
    </row>
    <row r="5273" spans="2:5">
      <c r="B5273" s="43" t="s">
        <v>48</v>
      </c>
      <c r="C5273" s="43" t="s">
        <v>49</v>
      </c>
      <c r="D5273" s="44">
        <v>45939</v>
      </c>
      <c r="E5273" s="45">
        <v>63</v>
      </c>
    </row>
    <row r="5274" spans="2:5">
      <c r="B5274" s="43" t="s">
        <v>182</v>
      </c>
      <c r="C5274" s="43" t="s">
        <v>183</v>
      </c>
      <c r="D5274" s="44">
        <v>45939</v>
      </c>
      <c r="E5274" s="45">
        <v>844</v>
      </c>
    </row>
    <row r="5275" spans="2:5">
      <c r="B5275" s="43" t="s">
        <v>56</v>
      </c>
      <c r="C5275" s="43" t="s">
        <v>57</v>
      </c>
      <c r="D5275" s="44">
        <v>45939</v>
      </c>
      <c r="E5275" s="45">
        <v>90.5</v>
      </c>
    </row>
    <row r="5276" spans="2:5">
      <c r="B5276" s="43" t="s">
        <v>162</v>
      </c>
      <c r="C5276" s="43" t="s">
        <v>163</v>
      </c>
      <c r="D5276" s="44">
        <v>45939</v>
      </c>
      <c r="E5276" s="45">
        <v>161.6</v>
      </c>
    </row>
    <row r="5277" spans="2:5">
      <c r="B5277" s="43" t="s">
        <v>176</v>
      </c>
      <c r="C5277" s="43" t="s">
        <v>177</v>
      </c>
      <c r="D5277" s="44">
        <v>45939</v>
      </c>
      <c r="E5277" s="45">
        <v>81</v>
      </c>
    </row>
    <row r="5278" spans="2:5">
      <c r="B5278" s="43" t="s">
        <v>76</v>
      </c>
      <c r="C5278" s="43" t="s">
        <v>77</v>
      </c>
      <c r="D5278" s="44">
        <v>45939</v>
      </c>
      <c r="E5278" s="45">
        <v>88.25</v>
      </c>
    </row>
    <row r="5279" spans="2:5">
      <c r="B5279" s="43" t="s">
        <v>20</v>
      </c>
      <c r="C5279" s="43" t="s">
        <v>21</v>
      </c>
      <c r="D5279" s="44">
        <v>45939</v>
      </c>
      <c r="E5279" s="45">
        <v>117.6</v>
      </c>
    </row>
    <row r="5280" spans="2:5">
      <c r="B5280" s="43" t="s">
        <v>140</v>
      </c>
      <c r="C5280" s="43" t="s">
        <v>141</v>
      </c>
      <c r="D5280" s="44">
        <v>45939</v>
      </c>
      <c r="E5280" s="45">
        <v>46.4</v>
      </c>
    </row>
    <row r="5281" spans="2:5">
      <c r="B5281" s="43" t="s">
        <v>80</v>
      </c>
      <c r="C5281" s="43" t="s">
        <v>81</v>
      </c>
      <c r="D5281" s="44">
        <v>45939</v>
      </c>
      <c r="E5281" s="45">
        <v>1219.75</v>
      </c>
    </row>
    <row r="5282" spans="2:5">
      <c r="B5282" s="43" t="s">
        <v>24</v>
      </c>
      <c r="C5282" s="43" t="s">
        <v>25</v>
      </c>
      <c r="D5282" s="44">
        <v>45939</v>
      </c>
      <c r="E5282" s="45">
        <v>4149.9</v>
      </c>
    </row>
    <row r="5283" spans="2:5">
      <c r="B5283" s="43" t="s">
        <v>26</v>
      </c>
      <c r="C5283" s="43" t="s">
        <v>27</v>
      </c>
      <c r="D5283" s="44">
        <v>45939</v>
      </c>
      <c r="E5283" s="45">
        <v>2021.5</v>
      </c>
    </row>
    <row r="5284" spans="2:5">
      <c r="B5284" s="43" t="s">
        <v>60</v>
      </c>
      <c r="C5284" s="43" t="s">
        <v>61</v>
      </c>
      <c r="D5284" s="44">
        <v>45939</v>
      </c>
      <c r="E5284" s="45">
        <v>183</v>
      </c>
    </row>
    <row r="5285" spans="2:5">
      <c r="B5285" s="43" t="s">
        <v>62</v>
      </c>
      <c r="C5285" s="43" t="s">
        <v>63</v>
      </c>
      <c r="D5285" s="44">
        <v>45939</v>
      </c>
      <c r="E5285" s="45">
        <v>1414.5</v>
      </c>
    </row>
    <row r="5286" spans="2:5">
      <c r="B5286" s="43" t="s">
        <v>64</v>
      </c>
      <c r="C5286" s="43" t="s">
        <v>65</v>
      </c>
      <c r="D5286" s="44">
        <v>45939</v>
      </c>
      <c r="E5286" s="45">
        <v>820</v>
      </c>
    </row>
    <row r="5287" spans="2:5">
      <c r="B5287" s="43" t="s">
        <v>84</v>
      </c>
      <c r="C5287" s="43" t="s">
        <v>85</v>
      </c>
      <c r="D5287" s="44">
        <v>45939</v>
      </c>
      <c r="E5287" s="45">
        <v>274.45</v>
      </c>
    </row>
    <row r="5288" spans="2:5">
      <c r="B5288" s="43" t="s">
        <v>150</v>
      </c>
      <c r="C5288" s="43" t="s">
        <v>151</v>
      </c>
      <c r="D5288" s="44">
        <v>45939</v>
      </c>
      <c r="E5288" s="45">
        <v>54.1</v>
      </c>
    </row>
    <row r="5289" spans="2:5">
      <c r="B5289" s="43" t="s">
        <v>68</v>
      </c>
      <c r="C5289" s="43" t="s">
        <v>69</v>
      </c>
      <c r="D5289" s="44">
        <v>45939</v>
      </c>
      <c r="E5289" s="45">
        <v>215.4</v>
      </c>
    </row>
    <row r="5290" spans="2:5">
      <c r="B5290" s="43" t="s">
        <v>96</v>
      </c>
      <c r="C5290" s="43" t="s">
        <v>97</v>
      </c>
      <c r="D5290" s="44">
        <v>45939</v>
      </c>
      <c r="E5290" s="45">
        <v>15</v>
      </c>
    </row>
    <row r="5291" spans="2:5">
      <c r="B5291" s="43" t="s">
        <v>32</v>
      </c>
      <c r="C5291" s="43" t="s">
        <v>33</v>
      </c>
      <c r="D5291" s="44">
        <v>45939</v>
      </c>
      <c r="E5291" s="45">
        <v>23</v>
      </c>
    </row>
    <row r="5292" spans="2:5">
      <c r="B5292" s="43" t="s">
        <v>34</v>
      </c>
      <c r="C5292" s="43" t="s">
        <v>35</v>
      </c>
      <c r="D5292" s="44">
        <v>45939</v>
      </c>
      <c r="E5292" s="45">
        <v>1</v>
      </c>
    </row>
    <row r="5293" spans="2:5">
      <c r="B5293" s="43" t="s">
        <v>232</v>
      </c>
      <c r="C5293" s="43" t="s">
        <v>233</v>
      </c>
      <c r="D5293" s="44">
        <v>45939</v>
      </c>
      <c r="E5293" s="45">
        <v>13</v>
      </c>
    </row>
    <row r="5294" spans="2:5">
      <c r="B5294" s="43" t="s">
        <v>36</v>
      </c>
      <c r="C5294" s="43" t="s">
        <v>37</v>
      </c>
      <c r="D5294" s="44">
        <v>45939</v>
      </c>
      <c r="E5294" s="45">
        <v>8</v>
      </c>
    </row>
    <row r="5295" spans="2:5">
      <c r="B5295" s="43" t="s">
        <v>4</v>
      </c>
      <c r="C5295" s="43" t="s">
        <v>5</v>
      </c>
      <c r="D5295" s="44">
        <v>45940</v>
      </c>
      <c r="E5295" s="45">
        <v>100.5</v>
      </c>
    </row>
    <row r="5296" spans="2:5">
      <c r="B5296" s="43" t="s">
        <v>156</v>
      </c>
      <c r="C5296" s="43" t="s">
        <v>157</v>
      </c>
      <c r="D5296" s="44">
        <v>45940</v>
      </c>
      <c r="E5296" s="45">
        <v>23.4</v>
      </c>
    </row>
    <row r="5297" spans="2:5">
      <c r="B5297" s="43" t="s">
        <v>46</v>
      </c>
      <c r="C5297" s="43" t="s">
        <v>47</v>
      </c>
      <c r="D5297" s="44">
        <v>45940</v>
      </c>
      <c r="E5297" s="45">
        <v>474.6</v>
      </c>
    </row>
    <row r="5298" spans="2:5">
      <c r="B5298" s="43" t="s">
        <v>10</v>
      </c>
      <c r="C5298" s="43" t="s">
        <v>11</v>
      </c>
      <c r="D5298" s="44">
        <v>45940</v>
      </c>
      <c r="E5298" s="45">
        <v>187.85</v>
      </c>
    </row>
    <row r="5299" spans="2:5">
      <c r="B5299" s="43" t="s">
        <v>74</v>
      </c>
      <c r="C5299" s="43" t="s">
        <v>75</v>
      </c>
      <c r="D5299" s="44">
        <v>45940</v>
      </c>
      <c r="E5299" s="45">
        <v>136.95</v>
      </c>
    </row>
    <row r="5300" spans="2:5">
      <c r="B5300" s="43" t="s">
        <v>12</v>
      </c>
      <c r="C5300" s="43" t="s">
        <v>13</v>
      </c>
      <c r="D5300" s="44">
        <v>45940</v>
      </c>
      <c r="E5300" s="45">
        <v>331.2</v>
      </c>
    </row>
    <row r="5301" spans="2:5">
      <c r="B5301" s="43" t="s">
        <v>14</v>
      </c>
      <c r="C5301" s="43" t="s">
        <v>15</v>
      </c>
      <c r="D5301" s="44">
        <v>45940</v>
      </c>
      <c r="E5301" s="45">
        <v>175.5</v>
      </c>
    </row>
    <row r="5302" spans="2:5">
      <c r="B5302" s="43" t="s">
        <v>18</v>
      </c>
      <c r="C5302" s="43" t="s">
        <v>19</v>
      </c>
      <c r="D5302" s="44">
        <v>45940</v>
      </c>
      <c r="E5302" s="45">
        <v>44.5</v>
      </c>
    </row>
    <row r="5303" spans="2:5">
      <c r="B5303" s="43" t="s">
        <v>236</v>
      </c>
      <c r="C5303" s="43" t="s">
        <v>237</v>
      </c>
      <c r="D5303" s="44">
        <v>45940</v>
      </c>
      <c r="E5303" s="45">
        <v>754.8</v>
      </c>
    </row>
    <row r="5304" spans="2:5">
      <c r="B5304" s="43" t="s">
        <v>20</v>
      </c>
      <c r="C5304" s="43" t="s">
        <v>21</v>
      </c>
      <c r="D5304" s="44">
        <v>45940</v>
      </c>
      <c r="E5304" s="45">
        <v>98</v>
      </c>
    </row>
    <row r="5305" spans="2:5">
      <c r="B5305" s="43" t="s">
        <v>22</v>
      </c>
      <c r="C5305" s="43" t="s">
        <v>23</v>
      </c>
      <c r="D5305" s="44">
        <v>45940</v>
      </c>
      <c r="E5305" s="45">
        <v>9.6</v>
      </c>
    </row>
    <row r="5306" spans="2:5">
      <c r="B5306" s="43" t="s">
        <v>80</v>
      </c>
      <c r="C5306" s="43" t="s">
        <v>81</v>
      </c>
      <c r="D5306" s="44">
        <v>45940</v>
      </c>
      <c r="E5306" s="45">
        <v>487.9</v>
      </c>
    </row>
    <row r="5307" spans="2:5">
      <c r="B5307" s="43" t="s">
        <v>24</v>
      </c>
      <c r="C5307" s="43" t="s">
        <v>25</v>
      </c>
      <c r="D5307" s="44">
        <v>45940</v>
      </c>
      <c r="E5307" s="45">
        <v>4483.8</v>
      </c>
    </row>
    <row r="5308" spans="2:5">
      <c r="B5308" s="43" t="s">
        <v>210</v>
      </c>
      <c r="C5308" s="43" t="s">
        <v>211</v>
      </c>
      <c r="D5308" s="44">
        <v>45940</v>
      </c>
      <c r="E5308" s="45">
        <v>512.5</v>
      </c>
    </row>
    <row r="5309" spans="2:5">
      <c r="B5309" s="43" t="s">
        <v>26</v>
      </c>
      <c r="C5309" s="43" t="s">
        <v>27</v>
      </c>
      <c r="D5309" s="44">
        <v>45940</v>
      </c>
      <c r="E5309" s="45">
        <v>2346.55</v>
      </c>
    </row>
    <row r="5310" spans="2:5">
      <c r="B5310" s="43" t="s">
        <v>60</v>
      </c>
      <c r="C5310" s="43" t="s">
        <v>61</v>
      </c>
      <c r="D5310" s="44">
        <v>45940</v>
      </c>
      <c r="E5310" s="45">
        <v>951.6</v>
      </c>
    </row>
    <row r="5311" spans="2:5">
      <c r="B5311" s="43" t="s">
        <v>194</v>
      </c>
      <c r="C5311" s="43" t="s">
        <v>195</v>
      </c>
      <c r="D5311" s="44">
        <v>45940</v>
      </c>
      <c r="E5311" s="45">
        <v>243.6</v>
      </c>
    </row>
    <row r="5312" spans="2:5">
      <c r="B5312" s="43" t="s">
        <v>62</v>
      </c>
      <c r="C5312" s="43" t="s">
        <v>63</v>
      </c>
      <c r="D5312" s="44">
        <v>45940</v>
      </c>
      <c r="E5312" s="45">
        <v>225.5</v>
      </c>
    </row>
    <row r="5313" spans="2:5">
      <c r="B5313" s="43" t="s">
        <v>64</v>
      </c>
      <c r="C5313" s="43" t="s">
        <v>65</v>
      </c>
      <c r="D5313" s="44">
        <v>45940</v>
      </c>
      <c r="E5313" s="45">
        <v>360</v>
      </c>
    </row>
    <row r="5314" spans="2:5">
      <c r="B5314" s="43" t="s">
        <v>132</v>
      </c>
      <c r="C5314" s="43" t="s">
        <v>133</v>
      </c>
      <c r="D5314" s="44">
        <v>45940</v>
      </c>
      <c r="E5314" s="45">
        <v>679.8</v>
      </c>
    </row>
    <row r="5315" spans="2:5">
      <c r="B5315" s="43" t="s">
        <v>68</v>
      </c>
      <c r="C5315" s="43" t="s">
        <v>69</v>
      </c>
      <c r="D5315" s="44">
        <v>45940</v>
      </c>
      <c r="E5315" s="45">
        <v>287.2</v>
      </c>
    </row>
    <row r="5316" spans="2:5">
      <c r="B5316" s="43" t="s">
        <v>96</v>
      </c>
      <c r="C5316" s="43" t="s">
        <v>97</v>
      </c>
      <c r="D5316" s="44">
        <v>45940</v>
      </c>
      <c r="E5316" s="45">
        <v>27</v>
      </c>
    </row>
    <row r="5317" spans="2:5">
      <c r="B5317" s="43" t="s">
        <v>232</v>
      </c>
      <c r="C5317" s="43" t="s">
        <v>233</v>
      </c>
      <c r="D5317" s="44">
        <v>45940</v>
      </c>
      <c r="E5317" s="45">
        <v>1</v>
      </c>
    </row>
    <row r="5318" spans="2:5">
      <c r="B5318" s="43" t="s">
        <v>170</v>
      </c>
      <c r="C5318" s="43" t="s">
        <v>171</v>
      </c>
      <c r="D5318" s="44">
        <v>45940</v>
      </c>
      <c r="E5318" s="45">
        <v>4</v>
      </c>
    </row>
    <row r="5319" spans="2:5">
      <c r="B5319" s="43" t="s">
        <v>86</v>
      </c>
      <c r="C5319" s="43" t="s">
        <v>87</v>
      </c>
      <c r="D5319" s="44">
        <v>45943</v>
      </c>
      <c r="E5319" s="45">
        <v>32</v>
      </c>
    </row>
    <row r="5320" spans="2:5">
      <c r="B5320" s="43" t="s">
        <v>8</v>
      </c>
      <c r="C5320" s="43" t="s">
        <v>9</v>
      </c>
      <c r="D5320" s="44">
        <v>45943</v>
      </c>
      <c r="E5320" s="45">
        <v>26.1</v>
      </c>
    </row>
    <row r="5321" spans="2:5">
      <c r="B5321" s="43" t="s">
        <v>44</v>
      </c>
      <c r="C5321" s="43" t="s">
        <v>45</v>
      </c>
      <c r="D5321" s="44">
        <v>45943</v>
      </c>
      <c r="E5321" s="45">
        <v>34</v>
      </c>
    </row>
    <row r="5322" spans="2:5">
      <c r="B5322" s="43" t="s">
        <v>46</v>
      </c>
      <c r="C5322" s="43" t="s">
        <v>47</v>
      </c>
      <c r="D5322" s="44">
        <v>45943</v>
      </c>
      <c r="E5322" s="45">
        <v>847.5</v>
      </c>
    </row>
    <row r="5323" spans="2:5">
      <c r="B5323" s="43" t="s">
        <v>206</v>
      </c>
      <c r="C5323" s="43" t="s">
        <v>207</v>
      </c>
      <c r="D5323" s="44">
        <v>45943</v>
      </c>
      <c r="E5323" s="45">
        <v>40.4</v>
      </c>
    </row>
    <row r="5324" spans="2:5">
      <c r="B5324" s="43" t="s">
        <v>12</v>
      </c>
      <c r="C5324" s="43" t="s">
        <v>13</v>
      </c>
      <c r="D5324" s="44">
        <v>45943</v>
      </c>
      <c r="E5324" s="45">
        <v>855.6</v>
      </c>
    </row>
    <row r="5325" spans="2:5">
      <c r="B5325" s="43" t="s">
        <v>108</v>
      </c>
      <c r="C5325" s="43" t="s">
        <v>109</v>
      </c>
      <c r="D5325" s="44">
        <v>45943</v>
      </c>
      <c r="E5325" s="45">
        <v>465</v>
      </c>
    </row>
    <row r="5326" spans="2:5">
      <c r="B5326" s="43" t="s">
        <v>50</v>
      </c>
      <c r="C5326" s="43" t="s">
        <v>51</v>
      </c>
      <c r="D5326" s="44">
        <v>45943</v>
      </c>
      <c r="E5326" s="45">
        <v>1632</v>
      </c>
    </row>
    <row r="5327" spans="2:5">
      <c r="B5327" s="43" t="s">
        <v>144</v>
      </c>
      <c r="C5327" s="43" t="s">
        <v>145</v>
      </c>
      <c r="D5327" s="44">
        <v>45943</v>
      </c>
      <c r="E5327" s="45">
        <v>97.2</v>
      </c>
    </row>
    <row r="5328" spans="2:5">
      <c r="B5328" s="43" t="s">
        <v>162</v>
      </c>
      <c r="C5328" s="43" t="s">
        <v>163</v>
      </c>
      <c r="D5328" s="44">
        <v>45943</v>
      </c>
      <c r="E5328" s="45">
        <v>606</v>
      </c>
    </row>
    <row r="5329" spans="2:5">
      <c r="B5329" s="43" t="s">
        <v>152</v>
      </c>
      <c r="C5329" s="43" t="s">
        <v>153</v>
      </c>
      <c r="D5329" s="44">
        <v>45943</v>
      </c>
      <c r="E5329" s="45">
        <v>279</v>
      </c>
    </row>
    <row r="5330" spans="2:5">
      <c r="B5330" s="43" t="s">
        <v>20</v>
      </c>
      <c r="C5330" s="43" t="s">
        <v>21</v>
      </c>
      <c r="D5330" s="44">
        <v>45943</v>
      </c>
      <c r="E5330" s="45">
        <v>19.6</v>
      </c>
    </row>
    <row r="5331" spans="2:5">
      <c r="B5331" s="43" t="s">
        <v>22</v>
      </c>
      <c r="C5331" s="43" t="s">
        <v>23</v>
      </c>
      <c r="D5331" s="44">
        <v>45943</v>
      </c>
      <c r="E5331" s="45">
        <v>422.4</v>
      </c>
    </row>
    <row r="5332" spans="2:5">
      <c r="B5332" s="43" t="s">
        <v>80</v>
      </c>
      <c r="C5332" s="43" t="s">
        <v>81</v>
      </c>
      <c r="D5332" s="44">
        <v>45943</v>
      </c>
      <c r="E5332" s="45">
        <v>817.95</v>
      </c>
    </row>
    <row r="5333" spans="2:5">
      <c r="B5333" s="43" t="s">
        <v>24</v>
      </c>
      <c r="C5333" s="43" t="s">
        <v>25</v>
      </c>
      <c r="D5333" s="44">
        <v>45943</v>
      </c>
      <c r="E5333" s="45">
        <v>3577.5</v>
      </c>
    </row>
    <row r="5334" spans="2:5">
      <c r="B5334" s="43" t="s">
        <v>58</v>
      </c>
      <c r="C5334" s="43" t="s">
        <v>59</v>
      </c>
      <c r="D5334" s="44">
        <v>45943</v>
      </c>
      <c r="E5334" s="45">
        <v>1008.9</v>
      </c>
    </row>
    <row r="5335" spans="2:5">
      <c r="B5335" s="43" t="s">
        <v>26</v>
      </c>
      <c r="C5335" s="43" t="s">
        <v>27</v>
      </c>
      <c r="D5335" s="44">
        <v>45943</v>
      </c>
      <c r="E5335" s="45">
        <v>3125.55</v>
      </c>
    </row>
    <row r="5336" spans="2:5">
      <c r="B5336" s="43" t="s">
        <v>60</v>
      </c>
      <c r="C5336" s="43" t="s">
        <v>61</v>
      </c>
      <c r="D5336" s="44">
        <v>45943</v>
      </c>
      <c r="E5336" s="45">
        <v>457.5</v>
      </c>
    </row>
    <row r="5337" spans="2:5">
      <c r="B5337" s="43" t="s">
        <v>62</v>
      </c>
      <c r="C5337" s="43" t="s">
        <v>63</v>
      </c>
      <c r="D5337" s="44">
        <v>45943</v>
      </c>
      <c r="E5337" s="45">
        <v>799.5</v>
      </c>
    </row>
    <row r="5338" spans="2:5">
      <c r="B5338" s="43" t="s">
        <v>64</v>
      </c>
      <c r="C5338" s="43" t="s">
        <v>65</v>
      </c>
      <c r="D5338" s="44">
        <v>45943</v>
      </c>
      <c r="E5338" s="45">
        <v>80</v>
      </c>
    </row>
    <row r="5339" spans="2:5">
      <c r="B5339" s="43" t="s">
        <v>198</v>
      </c>
      <c r="C5339" s="43" t="s">
        <v>199</v>
      </c>
      <c r="D5339" s="44">
        <v>45943</v>
      </c>
      <c r="E5339" s="45">
        <v>462</v>
      </c>
    </row>
    <row r="5340" spans="2:5">
      <c r="B5340" s="43" t="s">
        <v>208</v>
      </c>
      <c r="C5340" s="43" t="s">
        <v>209</v>
      </c>
      <c r="D5340" s="44">
        <v>45943</v>
      </c>
      <c r="E5340" s="45">
        <v>140</v>
      </c>
    </row>
    <row r="5341" spans="2:5">
      <c r="B5341" s="43" t="s">
        <v>96</v>
      </c>
      <c r="C5341" s="43" t="s">
        <v>97</v>
      </c>
      <c r="D5341" s="44">
        <v>45943</v>
      </c>
      <c r="E5341" s="45">
        <v>16</v>
      </c>
    </row>
    <row r="5342" spans="2:5">
      <c r="B5342" s="43" t="s">
        <v>160</v>
      </c>
      <c r="C5342" s="43" t="s">
        <v>161</v>
      </c>
      <c r="D5342" s="44">
        <v>45943</v>
      </c>
      <c r="E5342" s="45">
        <v>2</v>
      </c>
    </row>
    <row r="5343" spans="2:5">
      <c r="B5343" s="43" t="s">
        <v>170</v>
      </c>
      <c r="C5343" s="43" t="s">
        <v>171</v>
      </c>
      <c r="D5343" s="44">
        <v>45943</v>
      </c>
      <c r="E5343" s="45">
        <v>2</v>
      </c>
    </row>
    <row r="5344" spans="2:5">
      <c r="B5344" s="43" t="s">
        <v>36</v>
      </c>
      <c r="C5344" s="43" t="s">
        <v>37</v>
      </c>
      <c r="D5344" s="44">
        <v>45943</v>
      </c>
      <c r="E5344" s="45">
        <v>4</v>
      </c>
    </row>
    <row r="5345" spans="2:5">
      <c r="B5345" s="43" t="s">
        <v>104</v>
      </c>
      <c r="C5345" s="43" t="s">
        <v>105</v>
      </c>
      <c r="D5345" s="44">
        <v>45944</v>
      </c>
      <c r="E5345" s="45">
        <v>54</v>
      </c>
    </row>
    <row r="5346" spans="2:5">
      <c r="B5346" s="43" t="s">
        <v>4</v>
      </c>
      <c r="C5346" s="43" t="s">
        <v>5</v>
      </c>
      <c r="D5346" s="44">
        <v>45944</v>
      </c>
      <c r="E5346" s="45">
        <v>20.1</v>
      </c>
    </row>
    <row r="5347" spans="2:5">
      <c r="B5347" s="43" t="s">
        <v>156</v>
      </c>
      <c r="C5347" s="43" t="s">
        <v>157</v>
      </c>
      <c r="D5347" s="44">
        <v>45944</v>
      </c>
      <c r="E5347" s="45">
        <v>179.4</v>
      </c>
    </row>
    <row r="5348" spans="2:5">
      <c r="B5348" s="43" t="s">
        <v>8</v>
      </c>
      <c r="C5348" s="43" t="s">
        <v>9</v>
      </c>
      <c r="D5348" s="44">
        <v>45944</v>
      </c>
      <c r="E5348" s="45">
        <v>356.7</v>
      </c>
    </row>
    <row r="5349" spans="2:5">
      <c r="B5349" s="43" t="s">
        <v>44</v>
      </c>
      <c r="C5349" s="43" t="s">
        <v>45</v>
      </c>
      <c r="D5349" s="44">
        <v>45944</v>
      </c>
      <c r="E5349" s="45">
        <v>42.5</v>
      </c>
    </row>
    <row r="5350" spans="2:5">
      <c r="B5350" s="43" t="s">
        <v>46</v>
      </c>
      <c r="C5350" s="43" t="s">
        <v>47</v>
      </c>
      <c r="D5350" s="44">
        <v>45944</v>
      </c>
      <c r="E5350" s="45">
        <v>745.8</v>
      </c>
    </row>
    <row r="5351" spans="2:5">
      <c r="B5351" s="43" t="s">
        <v>10</v>
      </c>
      <c r="C5351" s="43" t="s">
        <v>11</v>
      </c>
      <c r="D5351" s="44">
        <v>45944</v>
      </c>
      <c r="E5351" s="45">
        <v>22.1</v>
      </c>
    </row>
    <row r="5352" spans="2:5">
      <c r="B5352" s="43" t="s">
        <v>206</v>
      </c>
      <c r="C5352" s="43" t="s">
        <v>207</v>
      </c>
      <c r="D5352" s="44">
        <v>45944</v>
      </c>
      <c r="E5352" s="45">
        <v>20.2</v>
      </c>
    </row>
    <row r="5353" spans="2:5">
      <c r="B5353" s="43" t="s">
        <v>12</v>
      </c>
      <c r="C5353" s="43" t="s">
        <v>13</v>
      </c>
      <c r="D5353" s="44">
        <v>45944</v>
      </c>
      <c r="E5353" s="45">
        <v>1849.2</v>
      </c>
    </row>
    <row r="5354" spans="2:5">
      <c r="B5354" s="43" t="s">
        <v>48</v>
      </c>
      <c r="C5354" s="43" t="s">
        <v>49</v>
      </c>
      <c r="D5354" s="44">
        <v>45944</v>
      </c>
      <c r="E5354" s="45">
        <v>189</v>
      </c>
    </row>
    <row r="5355" spans="2:5">
      <c r="B5355" s="43" t="s">
        <v>14</v>
      </c>
      <c r="C5355" s="43" t="s">
        <v>15</v>
      </c>
      <c r="D5355" s="44">
        <v>45944</v>
      </c>
      <c r="E5355" s="45">
        <v>1809</v>
      </c>
    </row>
    <row r="5356" spans="2:5">
      <c r="B5356" s="43" t="s">
        <v>114</v>
      </c>
      <c r="C5356" s="43" t="s">
        <v>115</v>
      </c>
      <c r="D5356" s="44">
        <v>45944</v>
      </c>
      <c r="E5356" s="45">
        <v>106.4</v>
      </c>
    </row>
    <row r="5357" spans="2:5">
      <c r="B5357" s="43" t="s">
        <v>176</v>
      </c>
      <c r="C5357" s="43" t="s">
        <v>177</v>
      </c>
      <c r="D5357" s="44">
        <v>45944</v>
      </c>
      <c r="E5357" s="45">
        <v>81</v>
      </c>
    </row>
    <row r="5358" spans="2:5">
      <c r="B5358" s="43" t="s">
        <v>76</v>
      </c>
      <c r="C5358" s="43" t="s">
        <v>77</v>
      </c>
      <c r="D5358" s="44">
        <v>45944</v>
      </c>
      <c r="E5358" s="45">
        <v>70.6</v>
      </c>
    </row>
    <row r="5359" spans="2:5">
      <c r="B5359" s="43" t="s">
        <v>152</v>
      </c>
      <c r="C5359" s="43" t="s">
        <v>153</v>
      </c>
      <c r="D5359" s="44">
        <v>45944</v>
      </c>
      <c r="E5359" s="45">
        <v>325.5</v>
      </c>
    </row>
    <row r="5360" spans="2:5">
      <c r="B5360" s="43" t="s">
        <v>20</v>
      </c>
      <c r="C5360" s="43" t="s">
        <v>21</v>
      </c>
      <c r="D5360" s="44">
        <v>45944</v>
      </c>
      <c r="E5360" s="45">
        <v>313.6</v>
      </c>
    </row>
    <row r="5361" spans="2:5">
      <c r="B5361" s="43" t="s">
        <v>22</v>
      </c>
      <c r="C5361" s="43" t="s">
        <v>23</v>
      </c>
      <c r="D5361" s="44">
        <v>45944</v>
      </c>
      <c r="E5361" s="45">
        <v>96</v>
      </c>
    </row>
    <row r="5362" spans="2:5">
      <c r="B5362" s="43" t="s">
        <v>24</v>
      </c>
      <c r="C5362" s="43" t="s">
        <v>25</v>
      </c>
      <c r="D5362" s="44">
        <v>45944</v>
      </c>
      <c r="E5362" s="45">
        <v>3784.2</v>
      </c>
    </row>
    <row r="5363" spans="2:5">
      <c r="B5363" s="43" t="s">
        <v>210</v>
      </c>
      <c r="C5363" s="43" t="s">
        <v>211</v>
      </c>
      <c r="D5363" s="44">
        <v>45944</v>
      </c>
      <c r="E5363" s="45">
        <v>41</v>
      </c>
    </row>
    <row r="5364" spans="2:5">
      <c r="B5364" s="43" t="s">
        <v>26</v>
      </c>
      <c r="C5364" s="43" t="s">
        <v>27</v>
      </c>
      <c r="D5364" s="44">
        <v>45944</v>
      </c>
      <c r="E5364" s="45">
        <v>1727.55</v>
      </c>
    </row>
    <row r="5365" spans="2:5">
      <c r="B5365" s="43" t="s">
        <v>110</v>
      </c>
      <c r="C5365" s="43" t="s">
        <v>111</v>
      </c>
      <c r="D5365" s="44">
        <v>45944</v>
      </c>
      <c r="E5365" s="45">
        <v>165</v>
      </c>
    </row>
    <row r="5366" spans="2:5">
      <c r="B5366" s="43" t="s">
        <v>60</v>
      </c>
      <c r="C5366" s="43" t="s">
        <v>61</v>
      </c>
      <c r="D5366" s="44">
        <v>45944</v>
      </c>
      <c r="E5366" s="45">
        <v>878.4</v>
      </c>
    </row>
    <row r="5367" spans="2:5">
      <c r="B5367" s="43" t="s">
        <v>194</v>
      </c>
      <c r="C5367" s="43" t="s">
        <v>195</v>
      </c>
      <c r="D5367" s="44">
        <v>45944</v>
      </c>
      <c r="E5367" s="45">
        <v>913.5</v>
      </c>
    </row>
    <row r="5368" spans="2:5">
      <c r="B5368" s="43" t="s">
        <v>28</v>
      </c>
      <c r="C5368" s="43" t="s">
        <v>29</v>
      </c>
      <c r="D5368" s="44">
        <v>45944</v>
      </c>
      <c r="E5368" s="45">
        <v>71.6</v>
      </c>
    </row>
    <row r="5369" spans="2:5">
      <c r="B5369" s="43" t="s">
        <v>62</v>
      </c>
      <c r="C5369" s="43" t="s">
        <v>63</v>
      </c>
      <c r="D5369" s="44">
        <v>45944</v>
      </c>
      <c r="E5369" s="45">
        <v>1455.5</v>
      </c>
    </row>
    <row r="5370" spans="2:5">
      <c r="B5370" s="43" t="s">
        <v>148</v>
      </c>
      <c r="C5370" s="43" t="s">
        <v>149</v>
      </c>
      <c r="D5370" s="44">
        <v>45944</v>
      </c>
      <c r="E5370" s="45">
        <v>2335.8</v>
      </c>
    </row>
    <row r="5371" spans="2:5">
      <c r="B5371" s="43" t="s">
        <v>64</v>
      </c>
      <c r="C5371" s="43" t="s">
        <v>65</v>
      </c>
      <c r="D5371" s="44">
        <v>45944</v>
      </c>
      <c r="E5371" s="45">
        <v>1220</v>
      </c>
    </row>
    <row r="5372" spans="2:5">
      <c r="B5372" s="43" t="s">
        <v>150</v>
      </c>
      <c r="C5372" s="43" t="s">
        <v>151</v>
      </c>
      <c r="D5372" s="44">
        <v>45944</v>
      </c>
      <c r="E5372" s="45">
        <v>81.15</v>
      </c>
    </row>
    <row r="5373" spans="2:5">
      <c r="B5373" s="43" t="s">
        <v>68</v>
      </c>
      <c r="C5373" s="43" t="s">
        <v>69</v>
      </c>
      <c r="D5373" s="44">
        <v>45944</v>
      </c>
      <c r="E5373" s="45">
        <v>2297.6</v>
      </c>
    </row>
    <row r="5374" spans="2:5">
      <c r="B5374" s="43" t="s">
        <v>106</v>
      </c>
      <c r="C5374" s="43" t="s">
        <v>107</v>
      </c>
      <c r="D5374" s="44">
        <v>45944</v>
      </c>
      <c r="E5374" s="45">
        <v>400.4</v>
      </c>
    </row>
    <row r="5375" spans="2:5">
      <c r="B5375" s="43" t="s">
        <v>142</v>
      </c>
      <c r="C5375" s="43" t="s">
        <v>143</v>
      </c>
      <c r="D5375" s="44">
        <v>45944</v>
      </c>
      <c r="E5375" s="45">
        <v>32</v>
      </c>
    </row>
    <row r="5376" spans="2:5">
      <c r="B5376" s="43" t="s">
        <v>96</v>
      </c>
      <c r="C5376" s="43" t="s">
        <v>97</v>
      </c>
      <c r="D5376" s="44">
        <v>45944</v>
      </c>
      <c r="E5376" s="45">
        <v>115</v>
      </c>
    </row>
    <row r="5377" spans="2:5">
      <c r="B5377" s="43" t="s">
        <v>32</v>
      </c>
      <c r="C5377" s="43" t="s">
        <v>33</v>
      </c>
      <c r="D5377" s="44">
        <v>45944</v>
      </c>
      <c r="E5377" s="45">
        <v>63</v>
      </c>
    </row>
    <row r="5378" spans="2:5">
      <c r="B5378" s="43" t="s">
        <v>160</v>
      </c>
      <c r="C5378" s="43" t="s">
        <v>161</v>
      </c>
      <c r="D5378" s="44">
        <v>45944</v>
      </c>
      <c r="E5378" s="45">
        <v>4</v>
      </c>
    </row>
    <row r="5379" spans="2:5">
      <c r="B5379" s="43" t="s">
        <v>232</v>
      </c>
      <c r="C5379" s="43" t="s">
        <v>233</v>
      </c>
      <c r="D5379" s="44">
        <v>45944</v>
      </c>
      <c r="E5379" s="45">
        <v>8</v>
      </c>
    </row>
    <row r="5380" spans="2:5">
      <c r="B5380" s="43" t="s">
        <v>104</v>
      </c>
      <c r="C5380" s="43" t="s">
        <v>105</v>
      </c>
      <c r="D5380" s="44">
        <v>45945</v>
      </c>
      <c r="E5380" s="45">
        <v>10</v>
      </c>
    </row>
    <row r="5381" spans="2:5">
      <c r="B5381" s="43" t="s">
        <v>86</v>
      </c>
      <c r="C5381" s="43" t="s">
        <v>87</v>
      </c>
      <c r="D5381" s="44">
        <v>45945</v>
      </c>
      <c r="E5381" s="45">
        <v>2</v>
      </c>
    </row>
    <row r="5382" spans="2:5">
      <c r="B5382" s="43" t="s">
        <v>156</v>
      </c>
      <c r="C5382" s="43" t="s">
        <v>157</v>
      </c>
      <c r="D5382" s="44">
        <v>45945</v>
      </c>
      <c r="E5382" s="45">
        <v>93.6</v>
      </c>
    </row>
    <row r="5383" spans="2:5">
      <c r="B5383" s="43" t="s">
        <v>8</v>
      </c>
      <c r="C5383" s="43" t="s">
        <v>9</v>
      </c>
      <c r="D5383" s="44">
        <v>45945</v>
      </c>
      <c r="E5383" s="45">
        <v>26.1</v>
      </c>
    </row>
    <row r="5384" spans="2:5">
      <c r="B5384" s="43" t="s">
        <v>44</v>
      </c>
      <c r="C5384" s="43" t="s">
        <v>45</v>
      </c>
      <c r="D5384" s="44">
        <v>45945</v>
      </c>
      <c r="E5384" s="45">
        <v>8.5</v>
      </c>
    </row>
    <row r="5385" spans="2:5">
      <c r="B5385" s="43" t="s">
        <v>46</v>
      </c>
      <c r="C5385" s="43" t="s">
        <v>47</v>
      </c>
      <c r="D5385" s="44">
        <v>45945</v>
      </c>
      <c r="E5385" s="45">
        <v>1005.7</v>
      </c>
    </row>
    <row r="5386" spans="2:5">
      <c r="B5386" s="43" t="s">
        <v>10</v>
      </c>
      <c r="C5386" s="43" t="s">
        <v>11</v>
      </c>
      <c r="D5386" s="44">
        <v>45945</v>
      </c>
      <c r="E5386" s="45">
        <v>254.15</v>
      </c>
    </row>
    <row r="5387" spans="2:5">
      <c r="B5387" s="43" t="s">
        <v>206</v>
      </c>
      <c r="C5387" s="43" t="s">
        <v>207</v>
      </c>
      <c r="D5387" s="44">
        <v>45945</v>
      </c>
      <c r="E5387" s="45">
        <v>101</v>
      </c>
    </row>
    <row r="5388" spans="2:5">
      <c r="B5388" s="43" t="s">
        <v>74</v>
      </c>
      <c r="C5388" s="43" t="s">
        <v>75</v>
      </c>
      <c r="D5388" s="44">
        <v>45945</v>
      </c>
      <c r="E5388" s="45">
        <v>124.5</v>
      </c>
    </row>
    <row r="5389" spans="2:5">
      <c r="B5389" s="43" t="s">
        <v>12</v>
      </c>
      <c r="C5389" s="43" t="s">
        <v>13</v>
      </c>
      <c r="D5389" s="44">
        <v>45945</v>
      </c>
      <c r="E5389" s="45">
        <v>1200.6</v>
      </c>
    </row>
    <row r="5390" spans="2:5">
      <c r="B5390" s="43" t="s">
        <v>14</v>
      </c>
      <c r="C5390" s="43" t="s">
        <v>15</v>
      </c>
      <c r="D5390" s="44">
        <v>45945</v>
      </c>
      <c r="E5390" s="45">
        <v>54</v>
      </c>
    </row>
    <row r="5391" spans="2:5">
      <c r="B5391" s="43" t="s">
        <v>50</v>
      </c>
      <c r="C5391" s="43" t="s">
        <v>51</v>
      </c>
      <c r="D5391" s="44">
        <v>45945</v>
      </c>
      <c r="E5391" s="45">
        <v>272</v>
      </c>
    </row>
    <row r="5392" spans="2:5">
      <c r="B5392" s="43" t="s">
        <v>144</v>
      </c>
      <c r="C5392" s="43" t="s">
        <v>145</v>
      </c>
      <c r="D5392" s="44">
        <v>45945</v>
      </c>
      <c r="E5392" s="45">
        <v>631.8</v>
      </c>
    </row>
    <row r="5393" spans="2:5">
      <c r="B5393" s="43" t="s">
        <v>202</v>
      </c>
      <c r="C5393" s="43" t="s">
        <v>203</v>
      </c>
      <c r="D5393" s="44">
        <v>45945</v>
      </c>
      <c r="E5393" s="45">
        <v>181</v>
      </c>
    </row>
    <row r="5394" spans="2:5">
      <c r="B5394" s="43" t="s">
        <v>56</v>
      </c>
      <c r="C5394" s="43" t="s">
        <v>57</v>
      </c>
      <c r="D5394" s="44">
        <v>45945</v>
      </c>
      <c r="E5394" s="45">
        <v>941.2</v>
      </c>
    </row>
    <row r="5395" spans="2:5">
      <c r="B5395" s="43" t="s">
        <v>176</v>
      </c>
      <c r="C5395" s="43" t="s">
        <v>177</v>
      </c>
      <c r="D5395" s="44">
        <v>45945</v>
      </c>
      <c r="E5395" s="45">
        <v>202.5</v>
      </c>
    </row>
    <row r="5396" spans="2:5">
      <c r="B5396" s="43" t="s">
        <v>152</v>
      </c>
      <c r="C5396" s="43" t="s">
        <v>153</v>
      </c>
      <c r="D5396" s="44">
        <v>45945</v>
      </c>
      <c r="E5396" s="45">
        <v>93</v>
      </c>
    </row>
    <row r="5397" spans="2:5">
      <c r="B5397" s="43" t="s">
        <v>16</v>
      </c>
      <c r="C5397" s="43" t="s">
        <v>17</v>
      </c>
      <c r="D5397" s="44">
        <v>45945</v>
      </c>
      <c r="E5397" s="45">
        <v>273.6</v>
      </c>
    </row>
    <row r="5398" spans="2:5">
      <c r="B5398" s="43" t="s">
        <v>78</v>
      </c>
      <c r="C5398" s="43" t="s">
        <v>79</v>
      </c>
      <c r="D5398" s="44">
        <v>45945</v>
      </c>
      <c r="E5398" s="45">
        <v>8.85</v>
      </c>
    </row>
    <row r="5399" spans="2:5">
      <c r="B5399" s="43" t="s">
        <v>20</v>
      </c>
      <c r="C5399" s="43" t="s">
        <v>21</v>
      </c>
      <c r="D5399" s="44">
        <v>45945</v>
      </c>
      <c r="E5399" s="45">
        <v>460.6</v>
      </c>
    </row>
    <row r="5400" spans="2:5">
      <c r="B5400" s="43" t="s">
        <v>80</v>
      </c>
      <c r="C5400" s="43" t="s">
        <v>81</v>
      </c>
      <c r="D5400" s="44">
        <v>45945</v>
      </c>
      <c r="E5400" s="45">
        <v>430.5</v>
      </c>
    </row>
    <row r="5401" spans="2:5">
      <c r="B5401" s="43" t="s">
        <v>24</v>
      </c>
      <c r="C5401" s="43" t="s">
        <v>25</v>
      </c>
      <c r="D5401" s="44">
        <v>45945</v>
      </c>
      <c r="E5401" s="45">
        <v>5247</v>
      </c>
    </row>
    <row r="5402" spans="2:5">
      <c r="B5402" s="43" t="s">
        <v>26</v>
      </c>
      <c r="C5402" s="43" t="s">
        <v>27</v>
      </c>
      <c r="D5402" s="44">
        <v>45945</v>
      </c>
      <c r="E5402" s="45">
        <v>1212.9</v>
      </c>
    </row>
    <row r="5403" spans="2:5">
      <c r="B5403" s="43" t="s">
        <v>194</v>
      </c>
      <c r="C5403" s="43" t="s">
        <v>195</v>
      </c>
      <c r="D5403" s="44">
        <v>45945</v>
      </c>
      <c r="E5403" s="45">
        <v>182.7</v>
      </c>
    </row>
    <row r="5404" spans="2:5">
      <c r="B5404" s="43" t="s">
        <v>28</v>
      </c>
      <c r="C5404" s="43" t="s">
        <v>29</v>
      </c>
      <c r="D5404" s="44">
        <v>45945</v>
      </c>
      <c r="E5404" s="45">
        <v>286.4</v>
      </c>
    </row>
    <row r="5405" spans="2:5">
      <c r="B5405" s="43" t="s">
        <v>62</v>
      </c>
      <c r="C5405" s="43" t="s">
        <v>63</v>
      </c>
      <c r="D5405" s="44">
        <v>45945</v>
      </c>
      <c r="E5405" s="45">
        <v>1045.5</v>
      </c>
    </row>
    <row r="5406" spans="2:5">
      <c r="B5406" s="43" t="s">
        <v>64</v>
      </c>
      <c r="C5406" s="43" t="s">
        <v>65</v>
      </c>
      <c r="D5406" s="44">
        <v>45945</v>
      </c>
      <c r="E5406" s="45">
        <v>240</v>
      </c>
    </row>
    <row r="5407" spans="2:5">
      <c r="B5407" s="43" t="s">
        <v>172</v>
      </c>
      <c r="C5407" s="43" t="s">
        <v>173</v>
      </c>
      <c r="D5407" s="44">
        <v>45945</v>
      </c>
      <c r="E5407" s="45">
        <v>90.2</v>
      </c>
    </row>
    <row r="5408" spans="2:5">
      <c r="B5408" s="43" t="s">
        <v>84</v>
      </c>
      <c r="C5408" s="43" t="s">
        <v>85</v>
      </c>
      <c r="D5408" s="44">
        <v>45945</v>
      </c>
      <c r="E5408" s="45">
        <v>124.75</v>
      </c>
    </row>
    <row r="5409" spans="2:5">
      <c r="B5409" s="43" t="s">
        <v>66</v>
      </c>
      <c r="C5409" s="43" t="s">
        <v>67</v>
      </c>
      <c r="D5409" s="44">
        <v>45945</v>
      </c>
      <c r="E5409" s="45">
        <v>55.4</v>
      </c>
    </row>
    <row r="5410" spans="2:5">
      <c r="B5410" s="43" t="s">
        <v>132</v>
      </c>
      <c r="C5410" s="43" t="s">
        <v>133</v>
      </c>
      <c r="D5410" s="44">
        <v>45945</v>
      </c>
      <c r="E5410" s="45">
        <v>154.5</v>
      </c>
    </row>
    <row r="5411" spans="2:5">
      <c r="B5411" s="43" t="s">
        <v>174</v>
      </c>
      <c r="C5411" s="43" t="s">
        <v>175</v>
      </c>
      <c r="D5411" s="44">
        <v>45945</v>
      </c>
      <c r="E5411" s="45">
        <v>106.2</v>
      </c>
    </row>
    <row r="5412" spans="2:5">
      <c r="B5412" s="43" t="s">
        <v>68</v>
      </c>
      <c r="C5412" s="43" t="s">
        <v>69</v>
      </c>
      <c r="D5412" s="44">
        <v>45945</v>
      </c>
      <c r="E5412" s="45">
        <v>107.7</v>
      </c>
    </row>
    <row r="5413" spans="2:5">
      <c r="B5413" s="43" t="s">
        <v>106</v>
      </c>
      <c r="C5413" s="43" t="s">
        <v>107</v>
      </c>
      <c r="D5413" s="44">
        <v>45945</v>
      </c>
      <c r="E5413" s="45">
        <v>7.7</v>
      </c>
    </row>
    <row r="5414" spans="2:5">
      <c r="B5414" s="43" t="s">
        <v>96</v>
      </c>
      <c r="C5414" s="43" t="s">
        <v>97</v>
      </c>
      <c r="D5414" s="44">
        <v>45945</v>
      </c>
      <c r="E5414" s="45">
        <v>72</v>
      </c>
    </row>
    <row r="5415" spans="2:5">
      <c r="B5415" s="43" t="s">
        <v>32</v>
      </c>
      <c r="C5415" s="43" t="s">
        <v>33</v>
      </c>
      <c r="D5415" s="44">
        <v>45945</v>
      </c>
      <c r="E5415" s="45">
        <v>11</v>
      </c>
    </row>
    <row r="5416" spans="2:5">
      <c r="B5416" s="43" t="s">
        <v>34</v>
      </c>
      <c r="C5416" s="43" t="s">
        <v>35</v>
      </c>
      <c r="D5416" s="44">
        <v>45945</v>
      </c>
      <c r="E5416" s="45">
        <v>2</v>
      </c>
    </row>
    <row r="5417" spans="2:5">
      <c r="B5417" s="43" t="s">
        <v>232</v>
      </c>
      <c r="C5417" s="43" t="s">
        <v>233</v>
      </c>
      <c r="D5417" s="44">
        <v>45945</v>
      </c>
      <c r="E5417" s="45">
        <v>7</v>
      </c>
    </row>
    <row r="5418" spans="2:5">
      <c r="B5418" s="43" t="s">
        <v>36</v>
      </c>
      <c r="C5418" s="43" t="s">
        <v>37</v>
      </c>
      <c r="D5418" s="44">
        <v>45945</v>
      </c>
      <c r="E5418" s="45">
        <v>20</v>
      </c>
    </row>
    <row r="5419" spans="2:5">
      <c r="B5419" s="43" t="s">
        <v>154</v>
      </c>
      <c r="C5419" s="43" t="s">
        <v>155</v>
      </c>
      <c r="D5419" s="44">
        <v>45946</v>
      </c>
      <c r="E5419" s="45">
        <v>20</v>
      </c>
    </row>
    <row r="5420" spans="2:5">
      <c r="B5420" s="43" t="s">
        <v>42</v>
      </c>
      <c r="C5420" s="43" t="s">
        <v>43</v>
      </c>
      <c r="D5420" s="44">
        <v>45946</v>
      </c>
      <c r="E5420" s="45">
        <v>108.9</v>
      </c>
    </row>
    <row r="5421" spans="2:5">
      <c r="B5421" s="43" t="s">
        <v>4</v>
      </c>
      <c r="C5421" s="43" t="s">
        <v>5</v>
      </c>
      <c r="D5421" s="44">
        <v>45946</v>
      </c>
      <c r="E5421" s="45">
        <v>67</v>
      </c>
    </row>
    <row r="5422" spans="2:5">
      <c r="B5422" s="43" t="s">
        <v>156</v>
      </c>
      <c r="C5422" s="43" t="s">
        <v>157</v>
      </c>
      <c r="D5422" s="44">
        <v>45946</v>
      </c>
      <c r="E5422" s="45">
        <v>241.8</v>
      </c>
    </row>
    <row r="5423" spans="2:5">
      <c r="B5423" s="43" t="s">
        <v>8</v>
      </c>
      <c r="C5423" s="43" t="s">
        <v>9</v>
      </c>
      <c r="D5423" s="44">
        <v>45946</v>
      </c>
      <c r="E5423" s="45">
        <v>95.7</v>
      </c>
    </row>
    <row r="5424" spans="2:5">
      <c r="B5424" s="43" t="s">
        <v>44</v>
      </c>
      <c r="C5424" s="43" t="s">
        <v>45</v>
      </c>
      <c r="D5424" s="44">
        <v>45946</v>
      </c>
      <c r="E5424" s="45">
        <v>25.5</v>
      </c>
    </row>
    <row r="5425" spans="2:5">
      <c r="B5425" s="43" t="s">
        <v>46</v>
      </c>
      <c r="C5425" s="43" t="s">
        <v>47</v>
      </c>
      <c r="D5425" s="44">
        <v>45946</v>
      </c>
      <c r="E5425" s="45">
        <v>259.9</v>
      </c>
    </row>
    <row r="5426" spans="2:5">
      <c r="B5426" s="43" t="s">
        <v>10</v>
      </c>
      <c r="C5426" s="43" t="s">
        <v>11</v>
      </c>
      <c r="D5426" s="44">
        <v>45946</v>
      </c>
      <c r="E5426" s="45">
        <v>11.05</v>
      </c>
    </row>
    <row r="5427" spans="2:5">
      <c r="B5427" s="43" t="s">
        <v>74</v>
      </c>
      <c r="C5427" s="43" t="s">
        <v>75</v>
      </c>
      <c r="D5427" s="44">
        <v>45946</v>
      </c>
      <c r="E5427" s="45">
        <v>112.05</v>
      </c>
    </row>
    <row r="5428" spans="2:5">
      <c r="B5428" s="43" t="s">
        <v>12</v>
      </c>
      <c r="C5428" s="43" t="s">
        <v>13</v>
      </c>
      <c r="D5428" s="44">
        <v>45946</v>
      </c>
      <c r="E5428" s="45">
        <v>455.4</v>
      </c>
    </row>
    <row r="5429" spans="2:5">
      <c r="B5429" s="43" t="s">
        <v>50</v>
      </c>
      <c r="C5429" s="43" t="s">
        <v>51</v>
      </c>
      <c r="D5429" s="44">
        <v>45946</v>
      </c>
      <c r="E5429" s="45">
        <v>938.4</v>
      </c>
    </row>
    <row r="5430" spans="2:5">
      <c r="B5430" s="43" t="s">
        <v>114</v>
      </c>
      <c r="C5430" s="43" t="s">
        <v>115</v>
      </c>
      <c r="D5430" s="44">
        <v>45946</v>
      </c>
      <c r="E5430" s="45">
        <v>186.2</v>
      </c>
    </row>
    <row r="5431" spans="2:5">
      <c r="B5431" s="43" t="s">
        <v>138</v>
      </c>
      <c r="C5431" s="43" t="s">
        <v>139</v>
      </c>
      <c r="D5431" s="44">
        <v>45946</v>
      </c>
      <c r="E5431" s="45">
        <v>79.25</v>
      </c>
    </row>
    <row r="5432" spans="2:5">
      <c r="B5432" s="43" t="s">
        <v>56</v>
      </c>
      <c r="C5432" s="43" t="s">
        <v>57</v>
      </c>
      <c r="D5432" s="44">
        <v>45946</v>
      </c>
      <c r="E5432" s="45">
        <v>1357.5</v>
      </c>
    </row>
    <row r="5433" spans="2:5">
      <c r="B5433" s="43" t="s">
        <v>76</v>
      </c>
      <c r="C5433" s="43" t="s">
        <v>77</v>
      </c>
      <c r="D5433" s="44">
        <v>45946</v>
      </c>
      <c r="E5433" s="45">
        <v>9.6</v>
      </c>
    </row>
    <row r="5434" spans="2:5">
      <c r="B5434" s="43" t="s">
        <v>78</v>
      </c>
      <c r="C5434" s="43" t="s">
        <v>79</v>
      </c>
      <c r="D5434" s="44">
        <v>45946</v>
      </c>
      <c r="E5434" s="45">
        <v>17.7</v>
      </c>
    </row>
    <row r="5435" spans="2:5">
      <c r="B5435" s="43" t="s">
        <v>20</v>
      </c>
      <c r="C5435" s="43" t="s">
        <v>21</v>
      </c>
      <c r="D5435" s="44">
        <v>45946</v>
      </c>
      <c r="E5435" s="45">
        <v>39.2</v>
      </c>
    </row>
    <row r="5436" spans="2:5">
      <c r="B5436" s="43" t="s">
        <v>22</v>
      </c>
      <c r="C5436" s="43" t="s">
        <v>23</v>
      </c>
      <c r="D5436" s="44">
        <v>45946</v>
      </c>
      <c r="E5436" s="45">
        <v>182.4</v>
      </c>
    </row>
    <row r="5437" spans="2:5">
      <c r="B5437" s="43" t="s">
        <v>80</v>
      </c>
      <c r="C5437" s="43" t="s">
        <v>81</v>
      </c>
      <c r="D5437" s="44">
        <v>45946</v>
      </c>
      <c r="E5437" s="45">
        <v>746.2</v>
      </c>
    </row>
    <row r="5438" spans="2:5">
      <c r="B5438" s="43" t="s">
        <v>24</v>
      </c>
      <c r="C5438" s="43" t="s">
        <v>25</v>
      </c>
      <c r="D5438" s="44">
        <v>45946</v>
      </c>
      <c r="E5438" s="45">
        <v>3959.1</v>
      </c>
    </row>
    <row r="5439" spans="2:5">
      <c r="B5439" s="43" t="s">
        <v>26</v>
      </c>
      <c r="C5439" s="43" t="s">
        <v>27</v>
      </c>
      <c r="D5439" s="44">
        <v>45946</v>
      </c>
      <c r="E5439" s="45">
        <v>3234.4</v>
      </c>
    </row>
    <row r="5440" spans="2:5">
      <c r="B5440" s="43" t="s">
        <v>28</v>
      </c>
      <c r="C5440" s="43" t="s">
        <v>29</v>
      </c>
      <c r="D5440" s="44">
        <v>45946</v>
      </c>
      <c r="E5440" s="45">
        <v>71.6</v>
      </c>
    </row>
    <row r="5441" spans="2:5">
      <c r="B5441" s="43" t="s">
        <v>62</v>
      </c>
      <c r="C5441" s="43" t="s">
        <v>63</v>
      </c>
      <c r="D5441" s="44">
        <v>45946</v>
      </c>
      <c r="E5441" s="45">
        <v>840.5</v>
      </c>
    </row>
    <row r="5442" spans="2:5">
      <c r="B5442" s="43" t="s">
        <v>64</v>
      </c>
      <c r="C5442" s="43" t="s">
        <v>65</v>
      </c>
      <c r="D5442" s="44">
        <v>45946</v>
      </c>
      <c r="E5442" s="45">
        <v>1040</v>
      </c>
    </row>
    <row r="5443" spans="2:5">
      <c r="B5443" s="43" t="s">
        <v>186</v>
      </c>
      <c r="C5443" s="43" t="s">
        <v>187</v>
      </c>
      <c r="D5443" s="44">
        <v>45946</v>
      </c>
      <c r="E5443" s="45">
        <v>244.2</v>
      </c>
    </row>
    <row r="5444" spans="2:5">
      <c r="B5444" s="43" t="s">
        <v>132</v>
      </c>
      <c r="C5444" s="43" t="s">
        <v>133</v>
      </c>
      <c r="D5444" s="44">
        <v>45946</v>
      </c>
      <c r="E5444" s="45">
        <v>61.8</v>
      </c>
    </row>
    <row r="5445" spans="2:5">
      <c r="B5445" s="43" t="s">
        <v>150</v>
      </c>
      <c r="C5445" s="43" t="s">
        <v>151</v>
      </c>
      <c r="D5445" s="44">
        <v>45946</v>
      </c>
      <c r="E5445" s="45">
        <v>270.5</v>
      </c>
    </row>
    <row r="5446" spans="2:5">
      <c r="B5446" s="43" t="s">
        <v>96</v>
      </c>
      <c r="C5446" s="43" t="s">
        <v>97</v>
      </c>
      <c r="D5446" s="44">
        <v>45946</v>
      </c>
      <c r="E5446" s="45">
        <v>28</v>
      </c>
    </row>
    <row r="5447" spans="2:5">
      <c r="B5447" s="43" t="s">
        <v>224</v>
      </c>
      <c r="C5447" s="43" t="s">
        <v>225</v>
      </c>
      <c r="D5447" s="44">
        <v>45946</v>
      </c>
      <c r="E5447" s="45">
        <v>8</v>
      </c>
    </row>
    <row r="5448" spans="2:5">
      <c r="B5448" s="43" t="s">
        <v>32</v>
      </c>
      <c r="C5448" s="43" t="s">
        <v>33</v>
      </c>
      <c r="D5448" s="44">
        <v>45946</v>
      </c>
      <c r="E5448" s="45">
        <v>12</v>
      </c>
    </row>
    <row r="5449" spans="2:5">
      <c r="B5449" s="43" t="s">
        <v>232</v>
      </c>
      <c r="C5449" s="43" t="s">
        <v>233</v>
      </c>
      <c r="D5449" s="44">
        <v>45946</v>
      </c>
      <c r="E5449" s="45">
        <v>1</v>
      </c>
    </row>
    <row r="5450" spans="2:5">
      <c r="B5450" s="43" t="s">
        <v>170</v>
      </c>
      <c r="C5450" s="43" t="s">
        <v>171</v>
      </c>
      <c r="D5450" s="44">
        <v>45946</v>
      </c>
      <c r="E5450" s="45">
        <v>4</v>
      </c>
    </row>
    <row r="5451" spans="2:5">
      <c r="B5451" s="43" t="s">
        <v>156</v>
      </c>
      <c r="C5451" s="43" t="s">
        <v>157</v>
      </c>
      <c r="D5451" s="44">
        <v>45947</v>
      </c>
      <c r="E5451" s="45">
        <v>31.2</v>
      </c>
    </row>
    <row r="5452" spans="2:5">
      <c r="B5452" s="43" t="s">
        <v>8</v>
      </c>
      <c r="C5452" s="43" t="s">
        <v>9</v>
      </c>
      <c r="D5452" s="44">
        <v>45947</v>
      </c>
      <c r="E5452" s="45">
        <v>8.7</v>
      </c>
    </row>
    <row r="5453" spans="2:5">
      <c r="B5453" s="43" t="s">
        <v>72</v>
      </c>
      <c r="C5453" s="43" t="s">
        <v>73</v>
      </c>
      <c r="D5453" s="44">
        <v>45947</v>
      </c>
      <c r="E5453" s="45">
        <v>40.8</v>
      </c>
    </row>
    <row r="5454" spans="2:5">
      <c r="B5454" s="43" t="s">
        <v>46</v>
      </c>
      <c r="C5454" s="43" t="s">
        <v>47</v>
      </c>
      <c r="D5454" s="44">
        <v>45947</v>
      </c>
      <c r="E5454" s="45">
        <v>305.1</v>
      </c>
    </row>
    <row r="5455" spans="2:5">
      <c r="B5455" s="43" t="s">
        <v>12</v>
      </c>
      <c r="C5455" s="43" t="s">
        <v>13</v>
      </c>
      <c r="D5455" s="44">
        <v>45947</v>
      </c>
      <c r="E5455" s="45">
        <v>27.6</v>
      </c>
    </row>
    <row r="5456" spans="2:5">
      <c r="B5456" s="43" t="s">
        <v>178</v>
      </c>
      <c r="C5456" s="43" t="s">
        <v>179</v>
      </c>
      <c r="D5456" s="44">
        <v>45947</v>
      </c>
      <c r="E5456" s="45">
        <v>324</v>
      </c>
    </row>
    <row r="5457" spans="2:5">
      <c r="B5457" s="43" t="s">
        <v>50</v>
      </c>
      <c r="C5457" s="43" t="s">
        <v>51</v>
      </c>
      <c r="D5457" s="44">
        <v>45947</v>
      </c>
      <c r="E5457" s="45">
        <v>489.6</v>
      </c>
    </row>
    <row r="5458" spans="2:5">
      <c r="B5458" s="43" t="s">
        <v>52</v>
      </c>
      <c r="C5458" s="43" t="s">
        <v>53</v>
      </c>
      <c r="D5458" s="44">
        <v>45947</v>
      </c>
      <c r="E5458" s="45">
        <v>142.2</v>
      </c>
    </row>
    <row r="5459" spans="2:5">
      <c r="B5459" s="43" t="s">
        <v>138</v>
      </c>
      <c r="C5459" s="43" t="s">
        <v>139</v>
      </c>
      <c r="D5459" s="44">
        <v>45947</v>
      </c>
      <c r="E5459" s="45">
        <v>31.7</v>
      </c>
    </row>
    <row r="5460" spans="2:5">
      <c r="B5460" s="43" t="s">
        <v>56</v>
      </c>
      <c r="C5460" s="43" t="s">
        <v>57</v>
      </c>
      <c r="D5460" s="44">
        <v>45947</v>
      </c>
      <c r="E5460" s="45">
        <v>579.2</v>
      </c>
    </row>
    <row r="5461" spans="2:5">
      <c r="B5461" s="43" t="s">
        <v>128</v>
      </c>
      <c r="C5461" s="43" t="s">
        <v>129</v>
      </c>
      <c r="D5461" s="44">
        <v>45947</v>
      </c>
      <c r="E5461" s="45">
        <v>119.2</v>
      </c>
    </row>
    <row r="5462" spans="2:5">
      <c r="B5462" s="43" t="s">
        <v>18</v>
      </c>
      <c r="C5462" s="43" t="s">
        <v>19</v>
      </c>
      <c r="D5462" s="44">
        <v>45947</v>
      </c>
      <c r="E5462" s="45">
        <v>22.25</v>
      </c>
    </row>
    <row r="5463" spans="2:5">
      <c r="B5463" s="43" t="s">
        <v>200</v>
      </c>
      <c r="C5463" s="43" t="s">
        <v>201</v>
      </c>
      <c r="D5463" s="44">
        <v>45947</v>
      </c>
      <c r="E5463" s="45">
        <v>55</v>
      </c>
    </row>
    <row r="5464" spans="2:5">
      <c r="B5464" s="43" t="s">
        <v>20</v>
      </c>
      <c r="C5464" s="43" t="s">
        <v>21</v>
      </c>
      <c r="D5464" s="44">
        <v>45947</v>
      </c>
      <c r="E5464" s="45">
        <v>29.4</v>
      </c>
    </row>
    <row r="5465" spans="2:5">
      <c r="B5465" s="43" t="s">
        <v>22</v>
      </c>
      <c r="C5465" s="43" t="s">
        <v>23</v>
      </c>
      <c r="D5465" s="44">
        <v>45947</v>
      </c>
      <c r="E5465" s="45">
        <v>96</v>
      </c>
    </row>
    <row r="5466" spans="2:5">
      <c r="B5466" s="43" t="s">
        <v>24</v>
      </c>
      <c r="C5466" s="43" t="s">
        <v>25</v>
      </c>
      <c r="D5466" s="44">
        <v>45947</v>
      </c>
      <c r="E5466" s="45">
        <v>1939.8</v>
      </c>
    </row>
    <row r="5467" spans="2:5">
      <c r="B5467" s="43" t="s">
        <v>26</v>
      </c>
      <c r="C5467" s="43" t="s">
        <v>27</v>
      </c>
      <c r="D5467" s="44">
        <v>45947</v>
      </c>
      <c r="E5467" s="45">
        <v>2083.7</v>
      </c>
    </row>
    <row r="5468" spans="2:5">
      <c r="B5468" s="43" t="s">
        <v>62</v>
      </c>
      <c r="C5468" s="43" t="s">
        <v>63</v>
      </c>
      <c r="D5468" s="44">
        <v>45947</v>
      </c>
      <c r="E5468" s="45">
        <v>266.5</v>
      </c>
    </row>
    <row r="5469" spans="2:5">
      <c r="B5469" s="43" t="s">
        <v>96</v>
      </c>
      <c r="C5469" s="43" t="s">
        <v>97</v>
      </c>
      <c r="D5469" s="44">
        <v>45947</v>
      </c>
      <c r="E5469" s="45">
        <v>12</v>
      </c>
    </row>
    <row r="5470" spans="2:5">
      <c r="B5470" s="43" t="s">
        <v>32</v>
      </c>
      <c r="C5470" s="43" t="s">
        <v>33</v>
      </c>
      <c r="D5470" s="44">
        <v>45947</v>
      </c>
      <c r="E5470" s="45">
        <v>4</v>
      </c>
    </row>
    <row r="5471" spans="2:5">
      <c r="B5471" s="43" t="s">
        <v>36</v>
      </c>
      <c r="C5471" s="43" t="s">
        <v>37</v>
      </c>
      <c r="D5471" s="44">
        <v>45947</v>
      </c>
      <c r="E5471" s="45">
        <v>1</v>
      </c>
    </row>
    <row r="5472" spans="2:5">
      <c r="B5472" s="43" t="s">
        <v>4</v>
      </c>
      <c r="C5472" s="43" t="s">
        <v>5</v>
      </c>
      <c r="D5472" s="44">
        <v>45950</v>
      </c>
      <c r="E5472" s="45">
        <v>127.3</v>
      </c>
    </row>
    <row r="5473" spans="2:5">
      <c r="B5473" s="43" t="s">
        <v>8</v>
      </c>
      <c r="C5473" s="43" t="s">
        <v>9</v>
      </c>
      <c r="D5473" s="44">
        <v>45950</v>
      </c>
      <c r="E5473" s="45">
        <v>330.6</v>
      </c>
    </row>
    <row r="5474" spans="2:5">
      <c r="B5474" s="43" t="s">
        <v>44</v>
      </c>
      <c r="C5474" s="43" t="s">
        <v>45</v>
      </c>
      <c r="D5474" s="44">
        <v>45950</v>
      </c>
      <c r="E5474" s="45">
        <v>17</v>
      </c>
    </row>
    <row r="5475" spans="2:5">
      <c r="B5475" s="43" t="s">
        <v>46</v>
      </c>
      <c r="C5475" s="43" t="s">
        <v>47</v>
      </c>
      <c r="D5475" s="44">
        <v>45950</v>
      </c>
      <c r="E5475" s="45">
        <v>418.1</v>
      </c>
    </row>
    <row r="5476" spans="2:5">
      <c r="B5476" s="43" t="s">
        <v>12</v>
      </c>
      <c r="C5476" s="43" t="s">
        <v>13</v>
      </c>
      <c r="D5476" s="44">
        <v>45950</v>
      </c>
      <c r="E5476" s="45">
        <v>910.8</v>
      </c>
    </row>
    <row r="5477" spans="2:5">
      <c r="B5477" s="43" t="s">
        <v>14</v>
      </c>
      <c r="C5477" s="43" t="s">
        <v>15</v>
      </c>
      <c r="D5477" s="44">
        <v>45950</v>
      </c>
      <c r="E5477" s="45">
        <v>27</v>
      </c>
    </row>
    <row r="5478" spans="2:5">
      <c r="B5478" s="43" t="s">
        <v>138</v>
      </c>
      <c r="C5478" s="43" t="s">
        <v>139</v>
      </c>
      <c r="D5478" s="44">
        <v>45950</v>
      </c>
      <c r="E5478" s="45">
        <v>95.1</v>
      </c>
    </row>
    <row r="5479" spans="2:5">
      <c r="B5479" s="43" t="s">
        <v>56</v>
      </c>
      <c r="C5479" s="43" t="s">
        <v>57</v>
      </c>
      <c r="D5479" s="44">
        <v>45950</v>
      </c>
      <c r="E5479" s="45">
        <v>36.2</v>
      </c>
    </row>
    <row r="5480" spans="2:5">
      <c r="B5480" s="43" t="s">
        <v>76</v>
      </c>
      <c r="C5480" s="43" t="s">
        <v>77</v>
      </c>
      <c r="D5480" s="44">
        <v>45950</v>
      </c>
      <c r="E5480" s="45">
        <v>52.95</v>
      </c>
    </row>
    <row r="5481" spans="2:5">
      <c r="B5481" s="43" t="s">
        <v>20</v>
      </c>
      <c r="C5481" s="43" t="s">
        <v>21</v>
      </c>
      <c r="D5481" s="44">
        <v>45950</v>
      </c>
      <c r="E5481" s="45">
        <v>78.4</v>
      </c>
    </row>
    <row r="5482" spans="2:5">
      <c r="B5482" s="43" t="s">
        <v>22</v>
      </c>
      <c r="C5482" s="43" t="s">
        <v>23</v>
      </c>
      <c r="D5482" s="44">
        <v>45950</v>
      </c>
      <c r="E5482" s="45">
        <v>144</v>
      </c>
    </row>
    <row r="5483" spans="2:5">
      <c r="B5483" s="43" t="s">
        <v>80</v>
      </c>
      <c r="C5483" s="43" t="s">
        <v>81</v>
      </c>
      <c r="D5483" s="44">
        <v>45950</v>
      </c>
      <c r="E5483" s="45">
        <v>358.75</v>
      </c>
    </row>
    <row r="5484" spans="2:5">
      <c r="B5484" s="43" t="s">
        <v>24</v>
      </c>
      <c r="C5484" s="43" t="s">
        <v>25</v>
      </c>
      <c r="D5484" s="44">
        <v>45950</v>
      </c>
      <c r="E5484" s="45">
        <v>2957.4</v>
      </c>
    </row>
    <row r="5485" spans="2:5">
      <c r="B5485" s="43" t="s">
        <v>26</v>
      </c>
      <c r="C5485" s="43" t="s">
        <v>27</v>
      </c>
      <c r="D5485" s="44">
        <v>45950</v>
      </c>
      <c r="E5485" s="45">
        <v>1057.4</v>
      </c>
    </row>
    <row r="5486" spans="2:5">
      <c r="B5486" s="43" t="s">
        <v>62</v>
      </c>
      <c r="C5486" s="43" t="s">
        <v>63</v>
      </c>
      <c r="D5486" s="44">
        <v>45950</v>
      </c>
      <c r="E5486" s="45">
        <v>1086.5</v>
      </c>
    </row>
    <row r="5487" spans="2:5">
      <c r="B5487" s="43" t="s">
        <v>64</v>
      </c>
      <c r="C5487" s="43" t="s">
        <v>65</v>
      </c>
      <c r="D5487" s="44">
        <v>45950</v>
      </c>
      <c r="E5487" s="45">
        <v>2280</v>
      </c>
    </row>
    <row r="5488" spans="2:5">
      <c r="B5488" s="43" t="s">
        <v>172</v>
      </c>
      <c r="C5488" s="43" t="s">
        <v>173</v>
      </c>
      <c r="D5488" s="44">
        <v>45950</v>
      </c>
      <c r="E5488" s="45">
        <v>135.3</v>
      </c>
    </row>
    <row r="5489" spans="2:5">
      <c r="B5489" s="43" t="s">
        <v>68</v>
      </c>
      <c r="C5489" s="43" t="s">
        <v>69</v>
      </c>
      <c r="D5489" s="44">
        <v>45950</v>
      </c>
      <c r="E5489" s="45">
        <v>143.6</v>
      </c>
    </row>
    <row r="5490" spans="2:5">
      <c r="B5490" s="43" t="s">
        <v>96</v>
      </c>
      <c r="C5490" s="43" t="s">
        <v>97</v>
      </c>
      <c r="D5490" s="44">
        <v>45950</v>
      </c>
      <c r="E5490" s="45">
        <v>111</v>
      </c>
    </row>
    <row r="5491" spans="2:5">
      <c r="B5491" s="43" t="s">
        <v>32</v>
      </c>
      <c r="C5491" s="43" t="s">
        <v>33</v>
      </c>
      <c r="D5491" s="44">
        <v>45950</v>
      </c>
      <c r="E5491" s="45">
        <v>74</v>
      </c>
    </row>
    <row r="5492" spans="2:5">
      <c r="B5492" s="43" t="s">
        <v>160</v>
      </c>
      <c r="C5492" s="43" t="s">
        <v>161</v>
      </c>
      <c r="D5492" s="44">
        <v>45950</v>
      </c>
      <c r="E5492" s="45">
        <v>6</v>
      </c>
    </row>
    <row r="5493" spans="2:5">
      <c r="B5493" s="43" t="s">
        <v>232</v>
      </c>
      <c r="C5493" s="43" t="s">
        <v>233</v>
      </c>
      <c r="D5493" s="44">
        <v>45950</v>
      </c>
      <c r="E5493" s="45">
        <v>5</v>
      </c>
    </row>
    <row r="5494" spans="2:5">
      <c r="B5494" s="43" t="s">
        <v>38</v>
      </c>
      <c r="C5494" s="43" t="s">
        <v>39</v>
      </c>
      <c r="D5494" s="44">
        <v>45950</v>
      </c>
      <c r="E5494" s="45">
        <v>10</v>
      </c>
    </row>
    <row r="5495" spans="2:5">
      <c r="B5495" s="43" t="s">
        <v>104</v>
      </c>
      <c r="C5495" s="43" t="s">
        <v>105</v>
      </c>
      <c r="D5495" s="44">
        <v>45951</v>
      </c>
      <c r="E5495" s="45">
        <v>20</v>
      </c>
    </row>
    <row r="5496" spans="2:5">
      <c r="B5496" s="43" t="s">
        <v>4</v>
      </c>
      <c r="C5496" s="43" t="s">
        <v>5</v>
      </c>
      <c r="D5496" s="44">
        <v>45951</v>
      </c>
      <c r="E5496" s="45">
        <v>221.1</v>
      </c>
    </row>
    <row r="5497" spans="2:5">
      <c r="B5497" s="43" t="s">
        <v>6</v>
      </c>
      <c r="C5497" s="43" t="s">
        <v>7</v>
      </c>
      <c r="D5497" s="44">
        <v>45951</v>
      </c>
      <c r="E5497" s="45">
        <v>19.65</v>
      </c>
    </row>
    <row r="5498" spans="2:5">
      <c r="B5498" s="43" t="s">
        <v>8</v>
      </c>
      <c r="C5498" s="43" t="s">
        <v>9</v>
      </c>
      <c r="D5498" s="44">
        <v>45951</v>
      </c>
      <c r="E5498" s="45">
        <v>321.9</v>
      </c>
    </row>
    <row r="5499" spans="2:5">
      <c r="B5499" s="43" t="s">
        <v>44</v>
      </c>
      <c r="C5499" s="43" t="s">
        <v>45</v>
      </c>
      <c r="D5499" s="44">
        <v>45951</v>
      </c>
      <c r="E5499" s="45">
        <v>17</v>
      </c>
    </row>
    <row r="5500" spans="2:5">
      <c r="B5500" s="43" t="s">
        <v>46</v>
      </c>
      <c r="C5500" s="43" t="s">
        <v>47</v>
      </c>
      <c r="D5500" s="44">
        <v>45951</v>
      </c>
      <c r="E5500" s="45">
        <v>745.8</v>
      </c>
    </row>
    <row r="5501" spans="2:5">
      <c r="B5501" s="43" t="s">
        <v>10</v>
      </c>
      <c r="C5501" s="43" t="s">
        <v>11</v>
      </c>
      <c r="D5501" s="44">
        <v>45951</v>
      </c>
      <c r="E5501" s="45">
        <v>386.75</v>
      </c>
    </row>
    <row r="5502" spans="2:5">
      <c r="B5502" s="43" t="s">
        <v>12</v>
      </c>
      <c r="C5502" s="43" t="s">
        <v>13</v>
      </c>
      <c r="D5502" s="44">
        <v>45951</v>
      </c>
      <c r="E5502" s="45">
        <v>538.2</v>
      </c>
    </row>
    <row r="5503" spans="2:5">
      <c r="B5503" s="43" t="s">
        <v>108</v>
      </c>
      <c r="C5503" s="43" t="s">
        <v>109</v>
      </c>
      <c r="D5503" s="44">
        <v>45951</v>
      </c>
      <c r="E5503" s="45">
        <v>775</v>
      </c>
    </row>
    <row r="5504" spans="2:5">
      <c r="B5504" s="43" t="s">
        <v>14</v>
      </c>
      <c r="C5504" s="43" t="s">
        <v>15</v>
      </c>
      <c r="D5504" s="44">
        <v>45951</v>
      </c>
      <c r="E5504" s="45">
        <v>540</v>
      </c>
    </row>
    <row r="5505" spans="2:5">
      <c r="B5505" s="43" t="s">
        <v>50</v>
      </c>
      <c r="C5505" s="43" t="s">
        <v>51</v>
      </c>
      <c r="D5505" s="44">
        <v>45951</v>
      </c>
      <c r="E5505" s="45">
        <v>272</v>
      </c>
    </row>
    <row r="5506" spans="2:5">
      <c r="B5506" s="43" t="s">
        <v>138</v>
      </c>
      <c r="C5506" s="43" t="s">
        <v>139</v>
      </c>
      <c r="D5506" s="44">
        <v>45951</v>
      </c>
      <c r="E5506" s="45">
        <v>237.75</v>
      </c>
    </row>
    <row r="5507" spans="2:5">
      <c r="B5507" s="43" t="s">
        <v>56</v>
      </c>
      <c r="C5507" s="43" t="s">
        <v>57</v>
      </c>
      <c r="D5507" s="44">
        <v>45951</v>
      </c>
      <c r="E5507" s="45">
        <v>325.8</v>
      </c>
    </row>
    <row r="5508" spans="2:5">
      <c r="B5508" s="43" t="s">
        <v>162</v>
      </c>
      <c r="C5508" s="43" t="s">
        <v>163</v>
      </c>
      <c r="D5508" s="44">
        <v>45951</v>
      </c>
      <c r="E5508" s="45">
        <v>606</v>
      </c>
    </row>
    <row r="5509" spans="2:5">
      <c r="B5509" s="43" t="s">
        <v>176</v>
      </c>
      <c r="C5509" s="43" t="s">
        <v>177</v>
      </c>
      <c r="D5509" s="44">
        <v>45951</v>
      </c>
      <c r="E5509" s="45">
        <v>121.5</v>
      </c>
    </row>
    <row r="5510" spans="2:5">
      <c r="B5510" s="43" t="s">
        <v>168</v>
      </c>
      <c r="C5510" s="43" t="s">
        <v>169</v>
      </c>
      <c r="D5510" s="44">
        <v>45951</v>
      </c>
      <c r="E5510" s="45">
        <v>40.2</v>
      </c>
    </row>
    <row r="5511" spans="2:5">
      <c r="B5511" s="43" t="s">
        <v>18</v>
      </c>
      <c r="C5511" s="43" t="s">
        <v>19</v>
      </c>
      <c r="D5511" s="44">
        <v>45951</v>
      </c>
      <c r="E5511" s="45">
        <v>89</v>
      </c>
    </row>
    <row r="5512" spans="2:5">
      <c r="B5512" s="43" t="s">
        <v>20</v>
      </c>
      <c r="C5512" s="43" t="s">
        <v>21</v>
      </c>
      <c r="D5512" s="44">
        <v>45951</v>
      </c>
      <c r="E5512" s="45">
        <v>88.2</v>
      </c>
    </row>
    <row r="5513" spans="2:5">
      <c r="B5513" s="43" t="s">
        <v>22</v>
      </c>
      <c r="C5513" s="43" t="s">
        <v>23</v>
      </c>
      <c r="D5513" s="44">
        <v>45951</v>
      </c>
      <c r="E5513" s="45">
        <v>28.8</v>
      </c>
    </row>
    <row r="5514" spans="2:5">
      <c r="B5514" s="43" t="s">
        <v>80</v>
      </c>
      <c r="C5514" s="43" t="s">
        <v>81</v>
      </c>
      <c r="D5514" s="44">
        <v>45951</v>
      </c>
      <c r="E5514" s="45">
        <v>157.85</v>
      </c>
    </row>
    <row r="5515" spans="2:5">
      <c r="B5515" s="43" t="s">
        <v>24</v>
      </c>
      <c r="C5515" s="43" t="s">
        <v>25</v>
      </c>
      <c r="D5515" s="44">
        <v>45951</v>
      </c>
      <c r="E5515" s="45">
        <v>3466.2</v>
      </c>
    </row>
    <row r="5516" spans="2:5">
      <c r="B5516" s="43" t="s">
        <v>26</v>
      </c>
      <c r="C5516" s="43" t="s">
        <v>27</v>
      </c>
      <c r="D5516" s="44">
        <v>45951</v>
      </c>
      <c r="E5516" s="45">
        <v>357.65</v>
      </c>
    </row>
    <row r="5517" spans="2:5">
      <c r="B5517" s="43" t="s">
        <v>28</v>
      </c>
      <c r="C5517" s="43" t="s">
        <v>29</v>
      </c>
      <c r="D5517" s="44">
        <v>45951</v>
      </c>
      <c r="E5517" s="45">
        <v>179</v>
      </c>
    </row>
    <row r="5518" spans="2:5">
      <c r="B5518" s="43" t="s">
        <v>62</v>
      </c>
      <c r="C5518" s="43" t="s">
        <v>63</v>
      </c>
      <c r="D5518" s="44">
        <v>45951</v>
      </c>
      <c r="E5518" s="45">
        <v>656</v>
      </c>
    </row>
    <row r="5519" spans="2:5">
      <c r="B5519" s="43" t="s">
        <v>64</v>
      </c>
      <c r="C5519" s="43" t="s">
        <v>65</v>
      </c>
      <c r="D5519" s="44">
        <v>45951</v>
      </c>
      <c r="E5519" s="45">
        <v>560</v>
      </c>
    </row>
    <row r="5520" spans="2:5">
      <c r="B5520" s="43" t="s">
        <v>198</v>
      </c>
      <c r="C5520" s="43" t="s">
        <v>199</v>
      </c>
      <c r="D5520" s="44">
        <v>45951</v>
      </c>
      <c r="E5520" s="45">
        <v>831.6</v>
      </c>
    </row>
    <row r="5521" spans="2:5">
      <c r="B5521" s="43" t="s">
        <v>150</v>
      </c>
      <c r="C5521" s="43" t="s">
        <v>151</v>
      </c>
      <c r="D5521" s="44">
        <v>45951</v>
      </c>
      <c r="E5521" s="45">
        <v>595.1</v>
      </c>
    </row>
    <row r="5522" spans="2:5">
      <c r="B5522" s="43" t="s">
        <v>94</v>
      </c>
      <c r="C5522" s="43" t="s">
        <v>95</v>
      </c>
      <c r="D5522" s="44">
        <v>45951</v>
      </c>
      <c r="E5522" s="45">
        <v>187.6</v>
      </c>
    </row>
    <row r="5523" spans="2:5">
      <c r="B5523" s="43" t="s">
        <v>96</v>
      </c>
      <c r="C5523" s="43" t="s">
        <v>97</v>
      </c>
      <c r="D5523" s="44">
        <v>45951</v>
      </c>
      <c r="E5523" s="45">
        <v>16</v>
      </c>
    </row>
    <row r="5524" spans="2:5">
      <c r="B5524" s="43" t="s">
        <v>32</v>
      </c>
      <c r="C5524" s="43" t="s">
        <v>33</v>
      </c>
      <c r="D5524" s="44">
        <v>45951</v>
      </c>
      <c r="E5524" s="45">
        <v>7</v>
      </c>
    </row>
    <row r="5525" spans="2:5">
      <c r="B5525" s="43" t="s">
        <v>170</v>
      </c>
      <c r="C5525" s="43" t="s">
        <v>171</v>
      </c>
      <c r="D5525" s="44">
        <v>45951</v>
      </c>
      <c r="E5525" s="45">
        <v>1</v>
      </c>
    </row>
    <row r="5526" spans="2:5">
      <c r="B5526" s="43" t="s">
        <v>36</v>
      </c>
      <c r="C5526" s="43" t="s">
        <v>37</v>
      </c>
      <c r="D5526" s="44">
        <v>45951</v>
      </c>
      <c r="E5526" s="45">
        <v>11</v>
      </c>
    </row>
    <row r="5527" spans="2:5">
      <c r="B5527" s="43" t="s">
        <v>104</v>
      </c>
      <c r="C5527" s="43" t="s">
        <v>105</v>
      </c>
      <c r="D5527" s="44">
        <v>45952</v>
      </c>
      <c r="E5527" s="45">
        <v>13</v>
      </c>
    </row>
    <row r="5528" spans="2:5">
      <c r="B5528" s="43" t="s">
        <v>86</v>
      </c>
      <c r="C5528" s="43" t="s">
        <v>87</v>
      </c>
      <c r="D5528" s="44">
        <v>45952</v>
      </c>
      <c r="E5528" s="45">
        <v>15</v>
      </c>
    </row>
    <row r="5529" spans="2:5">
      <c r="B5529" s="43" t="s">
        <v>8</v>
      </c>
      <c r="C5529" s="43" t="s">
        <v>9</v>
      </c>
      <c r="D5529" s="44">
        <v>45952</v>
      </c>
      <c r="E5529" s="45">
        <v>26.1</v>
      </c>
    </row>
    <row r="5530" spans="2:5">
      <c r="B5530" s="43" t="s">
        <v>44</v>
      </c>
      <c r="C5530" s="43" t="s">
        <v>45</v>
      </c>
      <c r="D5530" s="44">
        <v>45952</v>
      </c>
      <c r="E5530" s="45">
        <v>42.5</v>
      </c>
    </row>
    <row r="5531" spans="2:5">
      <c r="B5531" s="43" t="s">
        <v>46</v>
      </c>
      <c r="C5531" s="43" t="s">
        <v>47</v>
      </c>
      <c r="D5531" s="44">
        <v>45952</v>
      </c>
      <c r="E5531" s="45">
        <v>33.9</v>
      </c>
    </row>
    <row r="5532" spans="2:5">
      <c r="B5532" s="43" t="s">
        <v>10</v>
      </c>
      <c r="C5532" s="43" t="s">
        <v>11</v>
      </c>
      <c r="D5532" s="44">
        <v>45952</v>
      </c>
      <c r="E5532" s="45">
        <v>397.8</v>
      </c>
    </row>
    <row r="5533" spans="2:5">
      <c r="B5533" s="43" t="s">
        <v>206</v>
      </c>
      <c r="C5533" s="43" t="s">
        <v>207</v>
      </c>
      <c r="D5533" s="44">
        <v>45952</v>
      </c>
      <c r="E5533" s="45">
        <v>141.4</v>
      </c>
    </row>
    <row r="5534" spans="2:5">
      <c r="B5534" s="43" t="s">
        <v>12</v>
      </c>
      <c r="C5534" s="43" t="s">
        <v>13</v>
      </c>
      <c r="D5534" s="44">
        <v>45952</v>
      </c>
      <c r="E5534" s="45">
        <v>165.6</v>
      </c>
    </row>
    <row r="5535" spans="2:5">
      <c r="B5535" s="43" t="s">
        <v>178</v>
      </c>
      <c r="C5535" s="43" t="s">
        <v>179</v>
      </c>
      <c r="D5535" s="44">
        <v>45952</v>
      </c>
      <c r="E5535" s="45">
        <v>72</v>
      </c>
    </row>
    <row r="5536" spans="2:5">
      <c r="B5536" s="43" t="s">
        <v>14</v>
      </c>
      <c r="C5536" s="43" t="s">
        <v>15</v>
      </c>
      <c r="D5536" s="44">
        <v>45952</v>
      </c>
      <c r="E5536" s="45">
        <v>769.5</v>
      </c>
    </row>
    <row r="5537" spans="2:5">
      <c r="B5537" s="43" t="s">
        <v>152</v>
      </c>
      <c r="C5537" s="43" t="s">
        <v>153</v>
      </c>
      <c r="D5537" s="44">
        <v>45952</v>
      </c>
      <c r="E5537" s="45">
        <v>46.5</v>
      </c>
    </row>
    <row r="5538" spans="2:5">
      <c r="B5538" s="43" t="s">
        <v>200</v>
      </c>
      <c r="C5538" s="43" t="s">
        <v>201</v>
      </c>
      <c r="D5538" s="44">
        <v>45952</v>
      </c>
      <c r="E5538" s="45">
        <v>82.5</v>
      </c>
    </row>
    <row r="5539" spans="2:5">
      <c r="B5539" s="43" t="s">
        <v>20</v>
      </c>
      <c r="C5539" s="43" t="s">
        <v>21</v>
      </c>
      <c r="D5539" s="44">
        <v>45952</v>
      </c>
      <c r="E5539" s="45">
        <v>29.4</v>
      </c>
    </row>
    <row r="5540" spans="2:5">
      <c r="B5540" s="43" t="s">
        <v>22</v>
      </c>
      <c r="C5540" s="43" t="s">
        <v>23</v>
      </c>
      <c r="D5540" s="44">
        <v>45952</v>
      </c>
      <c r="E5540" s="45">
        <v>182.4</v>
      </c>
    </row>
    <row r="5541" spans="2:5">
      <c r="B5541" s="43" t="s">
        <v>140</v>
      </c>
      <c r="C5541" s="43" t="s">
        <v>141</v>
      </c>
      <c r="D5541" s="44">
        <v>45952</v>
      </c>
      <c r="E5541" s="45">
        <v>232</v>
      </c>
    </row>
    <row r="5542" spans="2:5">
      <c r="B5542" s="43" t="s">
        <v>24</v>
      </c>
      <c r="C5542" s="43" t="s">
        <v>25</v>
      </c>
      <c r="D5542" s="44">
        <v>45952</v>
      </c>
      <c r="E5542" s="45">
        <v>1526.4</v>
      </c>
    </row>
    <row r="5543" spans="2:5">
      <c r="B5543" s="43" t="s">
        <v>210</v>
      </c>
      <c r="C5543" s="43" t="s">
        <v>211</v>
      </c>
      <c r="D5543" s="44">
        <v>45952</v>
      </c>
      <c r="E5543" s="45">
        <v>184.5</v>
      </c>
    </row>
    <row r="5544" spans="2:5">
      <c r="B5544" s="43" t="s">
        <v>26</v>
      </c>
      <c r="C5544" s="43" t="s">
        <v>27</v>
      </c>
      <c r="D5544" s="44">
        <v>45952</v>
      </c>
      <c r="E5544" s="45">
        <v>2114.8</v>
      </c>
    </row>
    <row r="5545" spans="2:5">
      <c r="B5545" s="43" t="s">
        <v>60</v>
      </c>
      <c r="C5545" s="43" t="s">
        <v>61</v>
      </c>
      <c r="D5545" s="44">
        <v>45952</v>
      </c>
      <c r="E5545" s="45">
        <v>1061.4</v>
      </c>
    </row>
    <row r="5546" spans="2:5">
      <c r="B5546" s="43" t="s">
        <v>28</v>
      </c>
      <c r="C5546" s="43" t="s">
        <v>29</v>
      </c>
      <c r="D5546" s="44">
        <v>45952</v>
      </c>
      <c r="E5546" s="45">
        <v>304.3</v>
      </c>
    </row>
    <row r="5547" spans="2:5">
      <c r="B5547" s="43" t="s">
        <v>62</v>
      </c>
      <c r="C5547" s="43" t="s">
        <v>63</v>
      </c>
      <c r="D5547" s="44">
        <v>45952</v>
      </c>
      <c r="E5547" s="45">
        <v>225.5</v>
      </c>
    </row>
    <row r="5548" spans="2:5">
      <c r="B5548" s="43" t="s">
        <v>64</v>
      </c>
      <c r="C5548" s="43" t="s">
        <v>65</v>
      </c>
      <c r="D5548" s="44">
        <v>45952</v>
      </c>
      <c r="E5548" s="45">
        <v>280</v>
      </c>
    </row>
    <row r="5549" spans="2:5">
      <c r="B5549" s="43" t="s">
        <v>186</v>
      </c>
      <c r="C5549" s="43" t="s">
        <v>187</v>
      </c>
      <c r="D5549" s="44">
        <v>45952</v>
      </c>
      <c r="E5549" s="45">
        <v>325.6</v>
      </c>
    </row>
    <row r="5550" spans="2:5">
      <c r="B5550" s="43" t="s">
        <v>66</v>
      </c>
      <c r="C5550" s="43" t="s">
        <v>67</v>
      </c>
      <c r="D5550" s="44">
        <v>45952</v>
      </c>
      <c r="E5550" s="45">
        <v>83.1</v>
      </c>
    </row>
    <row r="5551" spans="2:5">
      <c r="B5551" s="43" t="s">
        <v>68</v>
      </c>
      <c r="C5551" s="43" t="s">
        <v>69</v>
      </c>
      <c r="D5551" s="44">
        <v>45952</v>
      </c>
      <c r="E5551" s="45">
        <v>251.3</v>
      </c>
    </row>
    <row r="5552" spans="2:5">
      <c r="B5552" s="43" t="s">
        <v>94</v>
      </c>
      <c r="C5552" s="43" t="s">
        <v>95</v>
      </c>
      <c r="D5552" s="44">
        <v>45952</v>
      </c>
      <c r="E5552" s="45">
        <v>93.8</v>
      </c>
    </row>
    <row r="5553" spans="2:5">
      <c r="B5553" s="43" t="s">
        <v>208</v>
      </c>
      <c r="C5553" s="43" t="s">
        <v>209</v>
      </c>
      <c r="D5553" s="44">
        <v>45952</v>
      </c>
      <c r="E5553" s="45">
        <v>1330</v>
      </c>
    </row>
    <row r="5554" spans="2:5">
      <c r="B5554" s="43" t="s">
        <v>96</v>
      </c>
      <c r="C5554" s="43" t="s">
        <v>97</v>
      </c>
      <c r="D5554" s="44">
        <v>45952</v>
      </c>
      <c r="E5554" s="45">
        <v>16</v>
      </c>
    </row>
    <row r="5555" spans="2:5">
      <c r="B5555" s="43" t="s">
        <v>224</v>
      </c>
      <c r="C5555" s="43" t="s">
        <v>225</v>
      </c>
      <c r="D5555" s="44">
        <v>45952</v>
      </c>
      <c r="E5555" s="45">
        <v>3</v>
      </c>
    </row>
    <row r="5556" spans="2:5">
      <c r="B5556" s="43" t="s">
        <v>32</v>
      </c>
      <c r="C5556" s="43" t="s">
        <v>33</v>
      </c>
      <c r="D5556" s="44">
        <v>45952</v>
      </c>
      <c r="E5556" s="45">
        <v>23</v>
      </c>
    </row>
    <row r="5557" spans="2:5">
      <c r="B5557" s="43" t="s">
        <v>160</v>
      </c>
      <c r="C5557" s="43" t="s">
        <v>161</v>
      </c>
      <c r="D5557" s="44">
        <v>45952</v>
      </c>
      <c r="E5557" s="45">
        <v>1</v>
      </c>
    </row>
    <row r="5558" spans="2:5">
      <c r="B5558" s="43" t="s">
        <v>232</v>
      </c>
      <c r="C5558" s="43" t="s">
        <v>233</v>
      </c>
      <c r="D5558" s="44">
        <v>45952</v>
      </c>
      <c r="E5558" s="45">
        <v>4</v>
      </c>
    </row>
    <row r="5559" spans="2:5">
      <c r="B5559" s="43" t="s">
        <v>36</v>
      </c>
      <c r="C5559" s="43" t="s">
        <v>37</v>
      </c>
      <c r="D5559" s="44">
        <v>45952</v>
      </c>
      <c r="E5559" s="45">
        <v>7</v>
      </c>
    </row>
    <row r="5560" spans="2:5">
      <c r="B5560" s="43" t="s">
        <v>104</v>
      </c>
      <c r="C5560" s="43" t="s">
        <v>105</v>
      </c>
      <c r="D5560" s="44">
        <v>45953</v>
      </c>
      <c r="E5560" s="45">
        <v>15</v>
      </c>
    </row>
    <row r="5561" spans="2:5">
      <c r="B5561" s="43" t="s">
        <v>42</v>
      </c>
      <c r="C5561" s="43" t="s">
        <v>43</v>
      </c>
      <c r="D5561" s="44">
        <v>45953</v>
      </c>
      <c r="E5561" s="45">
        <v>36.3</v>
      </c>
    </row>
    <row r="5562" spans="2:5">
      <c r="B5562" s="43" t="s">
        <v>4</v>
      </c>
      <c r="C5562" s="43" t="s">
        <v>5</v>
      </c>
      <c r="D5562" s="44">
        <v>45953</v>
      </c>
      <c r="E5562" s="45">
        <v>127.3</v>
      </c>
    </row>
    <row r="5563" spans="2:5">
      <c r="B5563" s="43" t="s">
        <v>156</v>
      </c>
      <c r="C5563" s="43" t="s">
        <v>157</v>
      </c>
      <c r="D5563" s="44">
        <v>45953</v>
      </c>
      <c r="E5563" s="45">
        <v>78</v>
      </c>
    </row>
    <row r="5564" spans="2:5">
      <c r="B5564" s="43" t="s">
        <v>8</v>
      </c>
      <c r="C5564" s="43" t="s">
        <v>9</v>
      </c>
      <c r="D5564" s="44">
        <v>45953</v>
      </c>
      <c r="E5564" s="45">
        <v>226.2</v>
      </c>
    </row>
    <row r="5565" spans="2:5">
      <c r="B5565" s="43" t="s">
        <v>44</v>
      </c>
      <c r="C5565" s="43" t="s">
        <v>45</v>
      </c>
      <c r="D5565" s="44">
        <v>45953</v>
      </c>
      <c r="E5565" s="45">
        <v>59.5</v>
      </c>
    </row>
    <row r="5566" spans="2:5">
      <c r="B5566" s="43" t="s">
        <v>72</v>
      </c>
      <c r="C5566" s="43" t="s">
        <v>73</v>
      </c>
      <c r="D5566" s="44">
        <v>45953</v>
      </c>
      <c r="E5566" s="45">
        <v>377.4</v>
      </c>
    </row>
    <row r="5567" spans="2:5">
      <c r="B5567" s="43" t="s">
        <v>46</v>
      </c>
      <c r="C5567" s="43" t="s">
        <v>47</v>
      </c>
      <c r="D5567" s="44">
        <v>45953</v>
      </c>
      <c r="E5567" s="45">
        <v>237.3</v>
      </c>
    </row>
    <row r="5568" spans="2:5">
      <c r="B5568" s="43" t="s">
        <v>206</v>
      </c>
      <c r="C5568" s="43" t="s">
        <v>207</v>
      </c>
      <c r="D5568" s="44">
        <v>45953</v>
      </c>
      <c r="E5568" s="45">
        <v>323.2</v>
      </c>
    </row>
    <row r="5569" spans="2:5">
      <c r="B5569" s="43" t="s">
        <v>12</v>
      </c>
      <c r="C5569" s="43" t="s">
        <v>13</v>
      </c>
      <c r="D5569" s="44">
        <v>45953</v>
      </c>
      <c r="E5569" s="45">
        <v>786.6</v>
      </c>
    </row>
    <row r="5570" spans="2:5">
      <c r="B5570" s="43" t="s">
        <v>14</v>
      </c>
      <c r="C5570" s="43" t="s">
        <v>15</v>
      </c>
      <c r="D5570" s="44">
        <v>45953</v>
      </c>
      <c r="E5570" s="45">
        <v>13.5</v>
      </c>
    </row>
    <row r="5571" spans="2:5">
      <c r="B5571" s="43" t="s">
        <v>50</v>
      </c>
      <c r="C5571" s="43" t="s">
        <v>51</v>
      </c>
      <c r="D5571" s="44">
        <v>45953</v>
      </c>
      <c r="E5571" s="45">
        <v>258.4</v>
      </c>
    </row>
    <row r="5572" spans="2:5">
      <c r="B5572" s="43" t="s">
        <v>114</v>
      </c>
      <c r="C5572" s="43" t="s">
        <v>115</v>
      </c>
      <c r="D5572" s="44">
        <v>45953</v>
      </c>
      <c r="E5572" s="45">
        <v>212.8</v>
      </c>
    </row>
    <row r="5573" spans="2:5">
      <c r="B5573" s="43" t="s">
        <v>56</v>
      </c>
      <c r="C5573" s="43" t="s">
        <v>57</v>
      </c>
      <c r="D5573" s="44">
        <v>45953</v>
      </c>
      <c r="E5573" s="45">
        <v>543</v>
      </c>
    </row>
    <row r="5574" spans="2:5">
      <c r="B5574" s="43" t="s">
        <v>76</v>
      </c>
      <c r="C5574" s="43" t="s">
        <v>77</v>
      </c>
      <c r="D5574" s="44">
        <v>45953</v>
      </c>
      <c r="E5574" s="45">
        <v>388.3</v>
      </c>
    </row>
    <row r="5575" spans="2:5">
      <c r="B5575" s="43" t="s">
        <v>180</v>
      </c>
      <c r="C5575" s="43" t="s">
        <v>181</v>
      </c>
      <c r="D5575" s="44">
        <v>45953</v>
      </c>
      <c r="E5575" s="45">
        <v>907.2</v>
      </c>
    </row>
    <row r="5576" spans="2:5">
      <c r="B5576" s="43" t="s">
        <v>16</v>
      </c>
      <c r="C5576" s="43" t="s">
        <v>17</v>
      </c>
      <c r="D5576" s="44">
        <v>45953</v>
      </c>
      <c r="E5576" s="45">
        <v>182.4</v>
      </c>
    </row>
    <row r="5577" spans="2:5">
      <c r="B5577" s="43" t="s">
        <v>18</v>
      </c>
      <c r="C5577" s="43" t="s">
        <v>19</v>
      </c>
      <c r="D5577" s="44">
        <v>45953</v>
      </c>
      <c r="E5577" s="45">
        <v>44.5</v>
      </c>
    </row>
    <row r="5578" spans="2:5">
      <c r="B5578" s="43" t="s">
        <v>20</v>
      </c>
      <c r="C5578" s="43" t="s">
        <v>21</v>
      </c>
      <c r="D5578" s="44">
        <v>45953</v>
      </c>
      <c r="E5578" s="45">
        <v>107.8</v>
      </c>
    </row>
    <row r="5579" spans="2:5">
      <c r="B5579" s="43" t="s">
        <v>22</v>
      </c>
      <c r="C5579" s="43" t="s">
        <v>23</v>
      </c>
      <c r="D5579" s="44">
        <v>45953</v>
      </c>
      <c r="E5579" s="45">
        <v>76.8</v>
      </c>
    </row>
    <row r="5580" spans="2:5">
      <c r="B5580" s="43" t="s">
        <v>80</v>
      </c>
      <c r="C5580" s="43" t="s">
        <v>81</v>
      </c>
      <c r="D5580" s="44">
        <v>45953</v>
      </c>
      <c r="E5580" s="45">
        <v>1248.45</v>
      </c>
    </row>
    <row r="5581" spans="2:5">
      <c r="B5581" s="43" t="s">
        <v>24</v>
      </c>
      <c r="C5581" s="43" t="s">
        <v>25</v>
      </c>
      <c r="D5581" s="44">
        <v>45953</v>
      </c>
      <c r="E5581" s="45">
        <v>3402.6</v>
      </c>
    </row>
    <row r="5582" spans="2:5">
      <c r="B5582" s="43" t="s">
        <v>58</v>
      </c>
      <c r="C5582" s="43" t="s">
        <v>59</v>
      </c>
      <c r="D5582" s="44">
        <v>45953</v>
      </c>
      <c r="E5582" s="45">
        <v>885</v>
      </c>
    </row>
    <row r="5583" spans="2:5">
      <c r="B5583" s="43" t="s">
        <v>26</v>
      </c>
      <c r="C5583" s="43" t="s">
        <v>27</v>
      </c>
      <c r="D5583" s="44">
        <v>45953</v>
      </c>
      <c r="E5583" s="45">
        <v>3949.7</v>
      </c>
    </row>
    <row r="5584" spans="2:5">
      <c r="B5584" s="43" t="s">
        <v>60</v>
      </c>
      <c r="C5584" s="43" t="s">
        <v>61</v>
      </c>
      <c r="D5584" s="44">
        <v>45953</v>
      </c>
      <c r="E5584" s="45">
        <v>347.7</v>
      </c>
    </row>
    <row r="5585" spans="2:5">
      <c r="B5585" s="43" t="s">
        <v>28</v>
      </c>
      <c r="C5585" s="43" t="s">
        <v>29</v>
      </c>
      <c r="D5585" s="44">
        <v>45953</v>
      </c>
      <c r="E5585" s="45">
        <v>17.9</v>
      </c>
    </row>
    <row r="5586" spans="2:5">
      <c r="B5586" s="43" t="s">
        <v>122</v>
      </c>
      <c r="C5586" s="43" t="s">
        <v>123</v>
      </c>
      <c r="D5586" s="44">
        <v>45953</v>
      </c>
      <c r="E5586" s="45">
        <v>362.4</v>
      </c>
    </row>
    <row r="5587" spans="2:5">
      <c r="B5587" s="43" t="s">
        <v>62</v>
      </c>
      <c r="C5587" s="43" t="s">
        <v>63</v>
      </c>
      <c r="D5587" s="44">
        <v>45953</v>
      </c>
      <c r="E5587" s="45">
        <v>266.5</v>
      </c>
    </row>
    <row r="5588" spans="2:5">
      <c r="B5588" s="43" t="s">
        <v>148</v>
      </c>
      <c r="C5588" s="43" t="s">
        <v>149</v>
      </c>
      <c r="D5588" s="44">
        <v>45953</v>
      </c>
      <c r="E5588" s="45">
        <v>1419.8</v>
      </c>
    </row>
    <row r="5589" spans="2:5">
      <c r="B5589" s="43" t="s">
        <v>90</v>
      </c>
      <c r="C5589" s="43" t="s">
        <v>91</v>
      </c>
      <c r="D5589" s="44">
        <v>45953</v>
      </c>
      <c r="E5589" s="45">
        <v>53.4</v>
      </c>
    </row>
    <row r="5590" spans="2:5">
      <c r="B5590" s="43" t="s">
        <v>64</v>
      </c>
      <c r="C5590" s="43" t="s">
        <v>65</v>
      </c>
      <c r="D5590" s="44">
        <v>45953</v>
      </c>
      <c r="E5590" s="45">
        <v>380</v>
      </c>
    </row>
    <row r="5591" spans="2:5">
      <c r="B5591" s="43" t="s">
        <v>68</v>
      </c>
      <c r="C5591" s="43" t="s">
        <v>69</v>
      </c>
      <c r="D5591" s="44">
        <v>45953</v>
      </c>
      <c r="E5591" s="45">
        <v>71.8</v>
      </c>
    </row>
    <row r="5592" spans="2:5">
      <c r="B5592" s="43" t="s">
        <v>96</v>
      </c>
      <c r="C5592" s="43" t="s">
        <v>97</v>
      </c>
      <c r="D5592" s="44">
        <v>45953</v>
      </c>
      <c r="E5592" s="45">
        <v>39</v>
      </c>
    </row>
    <row r="5593" spans="2:5">
      <c r="B5593" s="43" t="s">
        <v>32</v>
      </c>
      <c r="C5593" s="43" t="s">
        <v>33</v>
      </c>
      <c r="D5593" s="44">
        <v>45953</v>
      </c>
      <c r="E5593" s="45">
        <v>7</v>
      </c>
    </row>
    <row r="5594" spans="2:5">
      <c r="B5594" s="43" t="s">
        <v>34</v>
      </c>
      <c r="C5594" s="43" t="s">
        <v>35</v>
      </c>
      <c r="D5594" s="44">
        <v>45953</v>
      </c>
      <c r="E5594" s="45">
        <v>2</v>
      </c>
    </row>
    <row r="5595" spans="2:5">
      <c r="B5595" s="43" t="s">
        <v>170</v>
      </c>
      <c r="C5595" s="43" t="s">
        <v>171</v>
      </c>
      <c r="D5595" s="44">
        <v>45953</v>
      </c>
      <c r="E5595" s="45">
        <v>5</v>
      </c>
    </row>
    <row r="5596" spans="2:5">
      <c r="B5596" s="43" t="s">
        <v>36</v>
      </c>
      <c r="C5596" s="43" t="s">
        <v>37</v>
      </c>
      <c r="D5596" s="44">
        <v>45953</v>
      </c>
      <c r="E5596" s="45">
        <v>3</v>
      </c>
    </row>
    <row r="5597" spans="2:5">
      <c r="B5597" s="43" t="s">
        <v>38</v>
      </c>
      <c r="C5597" s="43" t="s">
        <v>39</v>
      </c>
      <c r="D5597" s="44">
        <v>45953</v>
      </c>
      <c r="E5597" s="45">
        <v>35</v>
      </c>
    </row>
    <row r="5598" spans="2:5">
      <c r="B5598" s="43" t="s">
        <v>86</v>
      </c>
      <c r="C5598" s="43" t="s">
        <v>87</v>
      </c>
      <c r="D5598" s="44">
        <v>45954</v>
      </c>
      <c r="E5598" s="45">
        <v>24</v>
      </c>
    </row>
    <row r="5599" spans="2:5">
      <c r="B5599" s="43" t="s">
        <v>42</v>
      </c>
      <c r="C5599" s="43" t="s">
        <v>43</v>
      </c>
      <c r="D5599" s="44">
        <v>45954</v>
      </c>
      <c r="E5599" s="45">
        <v>108.9</v>
      </c>
    </row>
    <row r="5600" spans="2:5">
      <c r="B5600" s="43" t="s">
        <v>156</v>
      </c>
      <c r="C5600" s="43" t="s">
        <v>157</v>
      </c>
      <c r="D5600" s="44">
        <v>45954</v>
      </c>
      <c r="E5600" s="45">
        <v>156</v>
      </c>
    </row>
    <row r="5601" spans="2:5">
      <c r="B5601" s="43" t="s">
        <v>8</v>
      </c>
      <c r="C5601" s="43" t="s">
        <v>9</v>
      </c>
      <c r="D5601" s="44">
        <v>45954</v>
      </c>
      <c r="E5601" s="45">
        <v>8.7</v>
      </c>
    </row>
    <row r="5602" spans="2:5">
      <c r="B5602" s="43" t="s">
        <v>46</v>
      </c>
      <c r="C5602" s="43" t="s">
        <v>47</v>
      </c>
      <c r="D5602" s="44">
        <v>45954</v>
      </c>
      <c r="E5602" s="45">
        <v>203.4</v>
      </c>
    </row>
    <row r="5603" spans="2:5">
      <c r="B5603" s="43" t="s">
        <v>10</v>
      </c>
      <c r="C5603" s="43" t="s">
        <v>11</v>
      </c>
      <c r="D5603" s="44">
        <v>45954</v>
      </c>
      <c r="E5603" s="45">
        <v>342.55</v>
      </c>
    </row>
    <row r="5604" spans="2:5">
      <c r="B5604" s="43" t="s">
        <v>206</v>
      </c>
      <c r="C5604" s="43" t="s">
        <v>207</v>
      </c>
      <c r="D5604" s="44">
        <v>45954</v>
      </c>
      <c r="E5604" s="45">
        <v>60.6</v>
      </c>
    </row>
    <row r="5605" spans="2:5">
      <c r="B5605" s="43" t="s">
        <v>74</v>
      </c>
      <c r="C5605" s="43" t="s">
        <v>75</v>
      </c>
      <c r="D5605" s="44">
        <v>45954</v>
      </c>
      <c r="E5605" s="45">
        <v>24.9</v>
      </c>
    </row>
    <row r="5606" spans="2:5">
      <c r="B5606" s="43" t="s">
        <v>12</v>
      </c>
      <c r="C5606" s="43" t="s">
        <v>13</v>
      </c>
      <c r="D5606" s="44">
        <v>45954</v>
      </c>
      <c r="E5606" s="45">
        <v>220.8</v>
      </c>
    </row>
    <row r="5607" spans="2:5">
      <c r="B5607" s="43" t="s">
        <v>48</v>
      </c>
      <c r="C5607" s="43" t="s">
        <v>49</v>
      </c>
      <c r="D5607" s="44">
        <v>45954</v>
      </c>
      <c r="E5607" s="45">
        <v>94.5</v>
      </c>
    </row>
    <row r="5608" spans="2:5">
      <c r="B5608" s="43" t="s">
        <v>14</v>
      </c>
      <c r="C5608" s="43" t="s">
        <v>15</v>
      </c>
      <c r="D5608" s="44">
        <v>45954</v>
      </c>
      <c r="E5608" s="45">
        <v>445.5</v>
      </c>
    </row>
    <row r="5609" spans="2:5">
      <c r="B5609" s="43" t="s">
        <v>50</v>
      </c>
      <c r="C5609" s="43" t="s">
        <v>51</v>
      </c>
      <c r="D5609" s="44">
        <v>45954</v>
      </c>
      <c r="E5609" s="45">
        <v>95.2</v>
      </c>
    </row>
    <row r="5610" spans="2:5">
      <c r="B5610" s="43" t="s">
        <v>114</v>
      </c>
      <c r="C5610" s="43" t="s">
        <v>115</v>
      </c>
      <c r="D5610" s="44">
        <v>45954</v>
      </c>
      <c r="E5610" s="45">
        <v>665</v>
      </c>
    </row>
    <row r="5611" spans="2:5">
      <c r="B5611" s="43" t="s">
        <v>138</v>
      </c>
      <c r="C5611" s="43" t="s">
        <v>139</v>
      </c>
      <c r="D5611" s="44">
        <v>45954</v>
      </c>
      <c r="E5611" s="45">
        <v>110.95</v>
      </c>
    </row>
    <row r="5612" spans="2:5">
      <c r="B5612" s="43" t="s">
        <v>54</v>
      </c>
      <c r="C5612" s="43" t="s">
        <v>55</v>
      </c>
      <c r="D5612" s="44">
        <v>45954</v>
      </c>
      <c r="E5612" s="45">
        <v>851.2</v>
      </c>
    </row>
    <row r="5613" spans="2:5">
      <c r="B5613" s="43" t="s">
        <v>56</v>
      </c>
      <c r="C5613" s="43" t="s">
        <v>57</v>
      </c>
      <c r="D5613" s="44">
        <v>45954</v>
      </c>
      <c r="E5613" s="45">
        <v>108.6</v>
      </c>
    </row>
    <row r="5614" spans="2:5">
      <c r="B5614" s="43" t="s">
        <v>176</v>
      </c>
      <c r="C5614" s="43" t="s">
        <v>177</v>
      </c>
      <c r="D5614" s="44">
        <v>45954</v>
      </c>
      <c r="E5614" s="45">
        <v>162</v>
      </c>
    </row>
    <row r="5615" spans="2:5">
      <c r="B5615" s="43" t="s">
        <v>200</v>
      </c>
      <c r="C5615" s="43" t="s">
        <v>201</v>
      </c>
      <c r="D5615" s="44">
        <v>45954</v>
      </c>
      <c r="E5615" s="45">
        <v>110</v>
      </c>
    </row>
    <row r="5616" spans="2:5">
      <c r="B5616" s="43" t="s">
        <v>78</v>
      </c>
      <c r="C5616" s="43" t="s">
        <v>79</v>
      </c>
      <c r="D5616" s="44">
        <v>45954</v>
      </c>
      <c r="E5616" s="45">
        <v>44.25</v>
      </c>
    </row>
    <row r="5617" spans="2:5">
      <c r="B5617" s="43" t="s">
        <v>20</v>
      </c>
      <c r="C5617" s="43" t="s">
        <v>21</v>
      </c>
      <c r="D5617" s="44">
        <v>45954</v>
      </c>
      <c r="E5617" s="45">
        <v>78.4</v>
      </c>
    </row>
    <row r="5618" spans="2:5">
      <c r="B5618" s="43" t="s">
        <v>22</v>
      </c>
      <c r="C5618" s="43" t="s">
        <v>23</v>
      </c>
      <c r="D5618" s="44">
        <v>45954</v>
      </c>
      <c r="E5618" s="45">
        <v>48</v>
      </c>
    </row>
    <row r="5619" spans="2:5">
      <c r="B5619" s="43" t="s">
        <v>80</v>
      </c>
      <c r="C5619" s="43" t="s">
        <v>81</v>
      </c>
      <c r="D5619" s="44">
        <v>45954</v>
      </c>
      <c r="E5619" s="45">
        <v>2468.2</v>
      </c>
    </row>
    <row r="5620" spans="2:5">
      <c r="B5620" s="43" t="s">
        <v>24</v>
      </c>
      <c r="C5620" s="43" t="s">
        <v>25</v>
      </c>
      <c r="D5620" s="44">
        <v>45954</v>
      </c>
      <c r="E5620" s="45">
        <v>5898.9</v>
      </c>
    </row>
    <row r="5621" spans="2:5">
      <c r="B5621" s="43" t="s">
        <v>26</v>
      </c>
      <c r="C5621" s="43" t="s">
        <v>27</v>
      </c>
      <c r="D5621" s="44">
        <v>45954</v>
      </c>
      <c r="E5621" s="45">
        <v>2037.05</v>
      </c>
    </row>
    <row r="5622" spans="2:5">
      <c r="B5622" s="43" t="s">
        <v>28</v>
      </c>
      <c r="C5622" s="43" t="s">
        <v>29</v>
      </c>
      <c r="D5622" s="44">
        <v>45954</v>
      </c>
      <c r="E5622" s="45">
        <v>1628.9</v>
      </c>
    </row>
    <row r="5623" spans="2:5">
      <c r="B5623" s="43" t="s">
        <v>62</v>
      </c>
      <c r="C5623" s="43" t="s">
        <v>63</v>
      </c>
      <c r="D5623" s="44">
        <v>45954</v>
      </c>
      <c r="E5623" s="45">
        <v>840.5</v>
      </c>
    </row>
    <row r="5624" spans="2:5">
      <c r="B5624" s="43" t="s">
        <v>64</v>
      </c>
      <c r="C5624" s="43" t="s">
        <v>65</v>
      </c>
      <c r="D5624" s="44">
        <v>45954</v>
      </c>
      <c r="E5624" s="45">
        <v>2400</v>
      </c>
    </row>
    <row r="5625" spans="2:5">
      <c r="B5625" s="43" t="s">
        <v>84</v>
      </c>
      <c r="C5625" s="43" t="s">
        <v>85</v>
      </c>
      <c r="D5625" s="44">
        <v>45954</v>
      </c>
      <c r="E5625" s="45">
        <v>149.7</v>
      </c>
    </row>
    <row r="5626" spans="2:5">
      <c r="B5626" s="43" t="s">
        <v>150</v>
      </c>
      <c r="C5626" s="43" t="s">
        <v>151</v>
      </c>
      <c r="D5626" s="44">
        <v>45954</v>
      </c>
      <c r="E5626" s="45">
        <v>919.7</v>
      </c>
    </row>
    <row r="5627" spans="2:5">
      <c r="B5627" s="43" t="s">
        <v>96</v>
      </c>
      <c r="C5627" s="43" t="s">
        <v>97</v>
      </c>
      <c r="D5627" s="44">
        <v>45954</v>
      </c>
      <c r="E5627" s="45">
        <v>18</v>
      </c>
    </row>
    <row r="5628" spans="2:5">
      <c r="B5628" s="43" t="s">
        <v>32</v>
      </c>
      <c r="C5628" s="43" t="s">
        <v>33</v>
      </c>
      <c r="D5628" s="44">
        <v>45954</v>
      </c>
      <c r="E5628" s="45">
        <v>35</v>
      </c>
    </row>
    <row r="5629" spans="2:5">
      <c r="B5629" s="43" t="s">
        <v>160</v>
      </c>
      <c r="C5629" s="43" t="s">
        <v>161</v>
      </c>
      <c r="D5629" s="44">
        <v>45954</v>
      </c>
      <c r="E5629" s="45">
        <v>8</v>
      </c>
    </row>
    <row r="5630" spans="2:5">
      <c r="B5630" s="43" t="s">
        <v>232</v>
      </c>
      <c r="C5630" s="43" t="s">
        <v>233</v>
      </c>
      <c r="D5630" s="44">
        <v>45954</v>
      </c>
      <c r="E5630" s="45">
        <v>10</v>
      </c>
    </row>
    <row r="5631" spans="2:5">
      <c r="B5631" s="43" t="s">
        <v>36</v>
      </c>
      <c r="C5631" s="43" t="s">
        <v>37</v>
      </c>
      <c r="D5631" s="44">
        <v>45954</v>
      </c>
      <c r="E5631" s="45">
        <v>15</v>
      </c>
    </row>
    <row r="5632" spans="2:5">
      <c r="B5632" s="43" t="s">
        <v>156</v>
      </c>
      <c r="C5632" s="43" t="s">
        <v>157</v>
      </c>
      <c r="D5632" s="44">
        <v>45957</v>
      </c>
      <c r="E5632" s="45">
        <v>7.8</v>
      </c>
    </row>
    <row r="5633" spans="2:5">
      <c r="B5633" s="43" t="s">
        <v>8</v>
      </c>
      <c r="C5633" s="43" t="s">
        <v>9</v>
      </c>
      <c r="D5633" s="44">
        <v>45957</v>
      </c>
      <c r="E5633" s="45">
        <v>34.8</v>
      </c>
    </row>
    <row r="5634" spans="2:5">
      <c r="B5634" s="43" t="s">
        <v>44</v>
      </c>
      <c r="C5634" s="43" t="s">
        <v>45</v>
      </c>
      <c r="D5634" s="44">
        <v>45957</v>
      </c>
      <c r="E5634" s="45">
        <v>8.5</v>
      </c>
    </row>
    <row r="5635" spans="2:5">
      <c r="B5635" s="43" t="s">
        <v>46</v>
      </c>
      <c r="C5635" s="43" t="s">
        <v>47</v>
      </c>
      <c r="D5635" s="44">
        <v>45957</v>
      </c>
      <c r="E5635" s="45">
        <v>3017.1</v>
      </c>
    </row>
    <row r="5636" spans="2:5">
      <c r="B5636" s="43" t="s">
        <v>10</v>
      </c>
      <c r="C5636" s="43" t="s">
        <v>11</v>
      </c>
      <c r="D5636" s="44">
        <v>45957</v>
      </c>
      <c r="E5636" s="45">
        <v>88.4</v>
      </c>
    </row>
    <row r="5637" spans="2:5">
      <c r="B5637" s="43" t="s">
        <v>12</v>
      </c>
      <c r="C5637" s="43" t="s">
        <v>13</v>
      </c>
      <c r="D5637" s="44">
        <v>45957</v>
      </c>
      <c r="E5637" s="45">
        <v>2801.4</v>
      </c>
    </row>
    <row r="5638" spans="2:5">
      <c r="B5638" s="43" t="s">
        <v>14</v>
      </c>
      <c r="C5638" s="43" t="s">
        <v>15</v>
      </c>
      <c r="D5638" s="44">
        <v>45957</v>
      </c>
      <c r="E5638" s="45">
        <v>67.5</v>
      </c>
    </row>
    <row r="5639" spans="2:5">
      <c r="B5639" s="43" t="s">
        <v>50</v>
      </c>
      <c r="C5639" s="43" t="s">
        <v>51</v>
      </c>
      <c r="D5639" s="44">
        <v>45957</v>
      </c>
      <c r="E5639" s="45">
        <v>13.6</v>
      </c>
    </row>
    <row r="5640" spans="2:5">
      <c r="B5640" s="43" t="s">
        <v>144</v>
      </c>
      <c r="C5640" s="43" t="s">
        <v>145</v>
      </c>
      <c r="D5640" s="44">
        <v>45957</v>
      </c>
      <c r="E5640" s="45">
        <v>324</v>
      </c>
    </row>
    <row r="5641" spans="2:5">
      <c r="B5641" s="43" t="s">
        <v>54</v>
      </c>
      <c r="C5641" s="43" t="s">
        <v>55</v>
      </c>
      <c r="D5641" s="44">
        <v>45957</v>
      </c>
      <c r="E5641" s="45">
        <v>53.2</v>
      </c>
    </row>
    <row r="5642" spans="2:5">
      <c r="B5642" s="43" t="s">
        <v>56</v>
      </c>
      <c r="C5642" s="43" t="s">
        <v>57</v>
      </c>
      <c r="D5642" s="44">
        <v>45957</v>
      </c>
      <c r="E5642" s="45">
        <v>108.6</v>
      </c>
    </row>
    <row r="5643" spans="2:5">
      <c r="B5643" s="43" t="s">
        <v>76</v>
      </c>
      <c r="C5643" s="43" t="s">
        <v>77</v>
      </c>
      <c r="D5643" s="44">
        <v>45957</v>
      </c>
      <c r="E5643" s="45">
        <v>70.6</v>
      </c>
    </row>
    <row r="5644" spans="2:5">
      <c r="B5644" s="43" t="s">
        <v>152</v>
      </c>
      <c r="C5644" s="43" t="s">
        <v>153</v>
      </c>
      <c r="D5644" s="44">
        <v>45957</v>
      </c>
      <c r="E5644" s="45">
        <v>93</v>
      </c>
    </row>
    <row r="5645" spans="2:5">
      <c r="B5645" s="43" t="s">
        <v>20</v>
      </c>
      <c r="C5645" s="43" t="s">
        <v>21</v>
      </c>
      <c r="D5645" s="44">
        <v>45957</v>
      </c>
      <c r="E5645" s="45">
        <v>186.2</v>
      </c>
    </row>
    <row r="5646" spans="2:5">
      <c r="B5646" s="43" t="s">
        <v>22</v>
      </c>
      <c r="C5646" s="43" t="s">
        <v>23</v>
      </c>
      <c r="D5646" s="44">
        <v>45957</v>
      </c>
      <c r="E5646" s="45">
        <v>38.4</v>
      </c>
    </row>
    <row r="5647" spans="2:5">
      <c r="B5647" s="43" t="s">
        <v>80</v>
      </c>
      <c r="C5647" s="43" t="s">
        <v>81</v>
      </c>
      <c r="D5647" s="44">
        <v>45957</v>
      </c>
      <c r="E5647" s="45">
        <v>344.4</v>
      </c>
    </row>
    <row r="5648" spans="2:5">
      <c r="B5648" s="43" t="s">
        <v>24</v>
      </c>
      <c r="C5648" s="43" t="s">
        <v>25</v>
      </c>
      <c r="D5648" s="44">
        <v>45957</v>
      </c>
      <c r="E5648" s="45">
        <v>3513.9</v>
      </c>
    </row>
    <row r="5649" spans="2:5">
      <c r="B5649" s="43" t="s">
        <v>26</v>
      </c>
      <c r="C5649" s="43" t="s">
        <v>27</v>
      </c>
      <c r="D5649" s="44">
        <v>45957</v>
      </c>
      <c r="E5649" s="45">
        <v>1570.55</v>
      </c>
    </row>
    <row r="5650" spans="2:5">
      <c r="B5650" s="43" t="s">
        <v>60</v>
      </c>
      <c r="C5650" s="43" t="s">
        <v>61</v>
      </c>
      <c r="D5650" s="44">
        <v>45957</v>
      </c>
      <c r="E5650" s="45">
        <v>329.4</v>
      </c>
    </row>
    <row r="5651" spans="2:5">
      <c r="B5651" s="43" t="s">
        <v>122</v>
      </c>
      <c r="C5651" s="43" t="s">
        <v>123</v>
      </c>
      <c r="D5651" s="44">
        <v>45957</v>
      </c>
      <c r="E5651" s="45">
        <v>241.6</v>
      </c>
    </row>
    <row r="5652" spans="2:5">
      <c r="B5652" s="43" t="s">
        <v>62</v>
      </c>
      <c r="C5652" s="43" t="s">
        <v>63</v>
      </c>
      <c r="D5652" s="44">
        <v>45957</v>
      </c>
      <c r="E5652" s="45">
        <v>881.5</v>
      </c>
    </row>
    <row r="5653" spans="2:5">
      <c r="B5653" s="43" t="s">
        <v>64</v>
      </c>
      <c r="C5653" s="43" t="s">
        <v>65</v>
      </c>
      <c r="D5653" s="44">
        <v>45957</v>
      </c>
      <c r="E5653" s="45">
        <v>480</v>
      </c>
    </row>
    <row r="5654" spans="2:5">
      <c r="B5654" s="43" t="s">
        <v>198</v>
      </c>
      <c r="C5654" s="43" t="s">
        <v>199</v>
      </c>
      <c r="D5654" s="44">
        <v>45957</v>
      </c>
      <c r="E5654" s="45">
        <v>323.4</v>
      </c>
    </row>
    <row r="5655" spans="2:5">
      <c r="B5655" s="43" t="s">
        <v>66</v>
      </c>
      <c r="C5655" s="43" t="s">
        <v>67</v>
      </c>
      <c r="D5655" s="44">
        <v>45957</v>
      </c>
      <c r="E5655" s="45">
        <v>166.2</v>
      </c>
    </row>
    <row r="5656" spans="2:5">
      <c r="B5656" s="43" t="s">
        <v>174</v>
      </c>
      <c r="C5656" s="43" t="s">
        <v>175</v>
      </c>
      <c r="D5656" s="44">
        <v>45957</v>
      </c>
      <c r="E5656" s="45">
        <v>1327.5</v>
      </c>
    </row>
    <row r="5657" spans="2:5">
      <c r="B5657" s="43" t="s">
        <v>106</v>
      </c>
      <c r="C5657" s="43" t="s">
        <v>107</v>
      </c>
      <c r="D5657" s="44">
        <v>45957</v>
      </c>
      <c r="E5657" s="45">
        <v>15.4</v>
      </c>
    </row>
    <row r="5658" spans="2:5">
      <c r="B5658" s="43" t="s">
        <v>142</v>
      </c>
      <c r="C5658" s="43" t="s">
        <v>143</v>
      </c>
      <c r="D5658" s="44">
        <v>45957</v>
      </c>
      <c r="E5658" s="45">
        <v>16</v>
      </c>
    </row>
    <row r="5659" spans="2:5">
      <c r="B5659" s="43" t="s">
        <v>96</v>
      </c>
      <c r="C5659" s="43" t="s">
        <v>97</v>
      </c>
      <c r="D5659" s="44">
        <v>45957</v>
      </c>
      <c r="E5659" s="45">
        <v>15</v>
      </c>
    </row>
    <row r="5660" spans="2:5">
      <c r="B5660" s="43" t="s">
        <v>32</v>
      </c>
      <c r="C5660" s="43" t="s">
        <v>33</v>
      </c>
      <c r="D5660" s="44">
        <v>45957</v>
      </c>
      <c r="E5660" s="45">
        <v>9</v>
      </c>
    </row>
    <row r="5661" spans="2:5">
      <c r="B5661" s="43" t="s">
        <v>34</v>
      </c>
      <c r="C5661" s="43" t="s">
        <v>35</v>
      </c>
      <c r="D5661" s="44">
        <v>45957</v>
      </c>
      <c r="E5661" s="45">
        <v>2</v>
      </c>
    </row>
    <row r="5662" spans="2:5">
      <c r="B5662" s="43" t="s">
        <v>36</v>
      </c>
      <c r="C5662" s="43" t="s">
        <v>37</v>
      </c>
      <c r="D5662" s="44">
        <v>45957</v>
      </c>
      <c r="E5662" s="45">
        <v>10</v>
      </c>
    </row>
    <row r="5663" spans="2:5">
      <c r="B5663" s="43" t="s">
        <v>38</v>
      </c>
      <c r="C5663" s="43" t="s">
        <v>39</v>
      </c>
      <c r="D5663" s="44">
        <v>45957</v>
      </c>
      <c r="E5663" s="45">
        <v>94</v>
      </c>
    </row>
    <row r="5664" spans="2:5">
      <c r="B5664" s="43" t="s">
        <v>4</v>
      </c>
      <c r="C5664" s="43" t="s">
        <v>5</v>
      </c>
      <c r="D5664" s="44">
        <v>45958</v>
      </c>
      <c r="E5664" s="45">
        <v>67</v>
      </c>
    </row>
    <row r="5665" spans="2:5">
      <c r="B5665" s="43" t="s">
        <v>156</v>
      </c>
      <c r="C5665" s="43" t="s">
        <v>157</v>
      </c>
      <c r="D5665" s="44">
        <v>45958</v>
      </c>
      <c r="E5665" s="45">
        <v>390</v>
      </c>
    </row>
    <row r="5666" spans="2:5">
      <c r="B5666" s="43" t="s">
        <v>8</v>
      </c>
      <c r="C5666" s="43" t="s">
        <v>9</v>
      </c>
      <c r="D5666" s="44">
        <v>45958</v>
      </c>
      <c r="E5666" s="45">
        <v>43.5</v>
      </c>
    </row>
    <row r="5667" spans="2:5">
      <c r="B5667" s="43" t="s">
        <v>44</v>
      </c>
      <c r="C5667" s="43" t="s">
        <v>45</v>
      </c>
      <c r="D5667" s="44">
        <v>45958</v>
      </c>
      <c r="E5667" s="45">
        <v>17</v>
      </c>
    </row>
    <row r="5668" spans="2:5">
      <c r="B5668" s="43" t="s">
        <v>72</v>
      </c>
      <c r="C5668" s="43" t="s">
        <v>73</v>
      </c>
      <c r="D5668" s="44">
        <v>45958</v>
      </c>
      <c r="E5668" s="45">
        <v>40.8</v>
      </c>
    </row>
    <row r="5669" spans="2:5">
      <c r="B5669" s="43" t="s">
        <v>46</v>
      </c>
      <c r="C5669" s="43" t="s">
        <v>47</v>
      </c>
      <c r="D5669" s="44">
        <v>45958</v>
      </c>
      <c r="E5669" s="45">
        <v>327.7</v>
      </c>
    </row>
    <row r="5670" spans="2:5">
      <c r="B5670" s="43" t="s">
        <v>10</v>
      </c>
      <c r="C5670" s="43" t="s">
        <v>11</v>
      </c>
      <c r="D5670" s="44">
        <v>45958</v>
      </c>
      <c r="E5670" s="45">
        <v>88.4</v>
      </c>
    </row>
    <row r="5671" spans="2:5">
      <c r="B5671" s="43" t="s">
        <v>74</v>
      </c>
      <c r="C5671" s="43" t="s">
        <v>75</v>
      </c>
      <c r="D5671" s="44">
        <v>45958</v>
      </c>
      <c r="E5671" s="45">
        <v>672.3</v>
      </c>
    </row>
    <row r="5672" spans="2:5">
      <c r="B5672" s="43" t="s">
        <v>12</v>
      </c>
      <c r="C5672" s="43" t="s">
        <v>13</v>
      </c>
      <c r="D5672" s="44">
        <v>45958</v>
      </c>
      <c r="E5672" s="45">
        <v>289.8</v>
      </c>
    </row>
    <row r="5673" spans="2:5">
      <c r="B5673" s="43" t="s">
        <v>178</v>
      </c>
      <c r="C5673" s="43" t="s">
        <v>179</v>
      </c>
      <c r="D5673" s="44">
        <v>45958</v>
      </c>
      <c r="E5673" s="45">
        <v>72</v>
      </c>
    </row>
    <row r="5674" spans="2:5">
      <c r="B5674" s="43" t="s">
        <v>14</v>
      </c>
      <c r="C5674" s="43" t="s">
        <v>15</v>
      </c>
      <c r="D5674" s="44">
        <v>45958</v>
      </c>
      <c r="E5674" s="45">
        <v>189</v>
      </c>
    </row>
    <row r="5675" spans="2:5">
      <c r="B5675" s="43" t="s">
        <v>50</v>
      </c>
      <c r="C5675" s="43" t="s">
        <v>51</v>
      </c>
      <c r="D5675" s="44">
        <v>45958</v>
      </c>
      <c r="E5675" s="45">
        <v>802.4</v>
      </c>
    </row>
    <row r="5676" spans="2:5">
      <c r="B5676" s="43" t="s">
        <v>114</v>
      </c>
      <c r="C5676" s="43" t="s">
        <v>115</v>
      </c>
      <c r="D5676" s="44">
        <v>45958</v>
      </c>
      <c r="E5676" s="45">
        <v>66.5</v>
      </c>
    </row>
    <row r="5677" spans="2:5">
      <c r="B5677" s="43" t="s">
        <v>56</v>
      </c>
      <c r="C5677" s="43" t="s">
        <v>57</v>
      </c>
      <c r="D5677" s="44">
        <v>45958</v>
      </c>
      <c r="E5677" s="45">
        <v>2081.5</v>
      </c>
    </row>
    <row r="5678" spans="2:5">
      <c r="B5678" s="43" t="s">
        <v>76</v>
      </c>
      <c r="C5678" s="43" t="s">
        <v>77</v>
      </c>
      <c r="D5678" s="44">
        <v>45958</v>
      </c>
      <c r="E5678" s="45">
        <v>105.9</v>
      </c>
    </row>
    <row r="5679" spans="2:5">
      <c r="B5679" s="43" t="s">
        <v>152</v>
      </c>
      <c r="C5679" s="43" t="s">
        <v>153</v>
      </c>
      <c r="D5679" s="44">
        <v>45958</v>
      </c>
      <c r="E5679" s="45">
        <v>93</v>
      </c>
    </row>
    <row r="5680" spans="2:5">
      <c r="B5680" s="43" t="s">
        <v>128</v>
      </c>
      <c r="C5680" s="43" t="s">
        <v>129</v>
      </c>
      <c r="D5680" s="44">
        <v>45958</v>
      </c>
      <c r="E5680" s="45">
        <v>238.4</v>
      </c>
    </row>
    <row r="5681" spans="2:5">
      <c r="B5681" s="43" t="s">
        <v>18</v>
      </c>
      <c r="C5681" s="43" t="s">
        <v>19</v>
      </c>
      <c r="D5681" s="44">
        <v>45958</v>
      </c>
      <c r="E5681" s="45">
        <v>311.5</v>
      </c>
    </row>
    <row r="5682" spans="2:5">
      <c r="B5682" s="43" t="s">
        <v>146</v>
      </c>
      <c r="C5682" s="43" t="s">
        <v>147</v>
      </c>
      <c r="D5682" s="44">
        <v>45958</v>
      </c>
      <c r="E5682" s="45">
        <v>244.2</v>
      </c>
    </row>
    <row r="5683" spans="2:5">
      <c r="B5683" s="43" t="s">
        <v>20</v>
      </c>
      <c r="C5683" s="43" t="s">
        <v>21</v>
      </c>
      <c r="D5683" s="44">
        <v>45958</v>
      </c>
      <c r="E5683" s="45">
        <v>147</v>
      </c>
    </row>
    <row r="5684" spans="2:5">
      <c r="B5684" s="43" t="s">
        <v>22</v>
      </c>
      <c r="C5684" s="43" t="s">
        <v>23</v>
      </c>
      <c r="D5684" s="44">
        <v>45958</v>
      </c>
      <c r="E5684" s="45">
        <v>259.2</v>
      </c>
    </row>
    <row r="5685" spans="2:5">
      <c r="B5685" s="43" t="s">
        <v>80</v>
      </c>
      <c r="C5685" s="43" t="s">
        <v>81</v>
      </c>
      <c r="D5685" s="44">
        <v>45958</v>
      </c>
      <c r="E5685" s="45">
        <v>86.1</v>
      </c>
    </row>
    <row r="5686" spans="2:5">
      <c r="B5686" s="43" t="s">
        <v>24</v>
      </c>
      <c r="C5686" s="43" t="s">
        <v>25</v>
      </c>
      <c r="D5686" s="44">
        <v>45958</v>
      </c>
      <c r="E5686" s="45">
        <v>1091.7</v>
      </c>
    </row>
    <row r="5687" spans="2:5">
      <c r="B5687" s="43" t="s">
        <v>210</v>
      </c>
      <c r="C5687" s="43" t="s">
        <v>211</v>
      </c>
      <c r="D5687" s="44">
        <v>45958</v>
      </c>
      <c r="E5687" s="45">
        <v>451</v>
      </c>
    </row>
    <row r="5688" spans="2:5">
      <c r="B5688" s="43" t="s">
        <v>26</v>
      </c>
      <c r="C5688" s="43" t="s">
        <v>27</v>
      </c>
      <c r="D5688" s="44">
        <v>45958</v>
      </c>
      <c r="E5688" s="45">
        <v>3887.5</v>
      </c>
    </row>
    <row r="5689" spans="2:5">
      <c r="B5689" s="43" t="s">
        <v>28</v>
      </c>
      <c r="C5689" s="43" t="s">
        <v>29</v>
      </c>
      <c r="D5689" s="44">
        <v>45958</v>
      </c>
      <c r="E5689" s="45">
        <v>250.6</v>
      </c>
    </row>
    <row r="5690" spans="2:5">
      <c r="B5690" s="43" t="s">
        <v>64</v>
      </c>
      <c r="C5690" s="43" t="s">
        <v>65</v>
      </c>
      <c r="D5690" s="44">
        <v>45958</v>
      </c>
      <c r="E5690" s="45">
        <v>280</v>
      </c>
    </row>
    <row r="5691" spans="2:5">
      <c r="B5691" s="43" t="s">
        <v>172</v>
      </c>
      <c r="C5691" s="43" t="s">
        <v>173</v>
      </c>
      <c r="D5691" s="44">
        <v>45958</v>
      </c>
      <c r="E5691" s="45">
        <v>90.2</v>
      </c>
    </row>
    <row r="5692" spans="2:5">
      <c r="B5692" s="43" t="s">
        <v>66</v>
      </c>
      <c r="C5692" s="43" t="s">
        <v>67</v>
      </c>
      <c r="D5692" s="44">
        <v>45958</v>
      </c>
      <c r="E5692" s="45">
        <v>858.7</v>
      </c>
    </row>
    <row r="5693" spans="2:5">
      <c r="B5693" s="43" t="s">
        <v>150</v>
      </c>
      <c r="C5693" s="43" t="s">
        <v>151</v>
      </c>
      <c r="D5693" s="44">
        <v>45958</v>
      </c>
      <c r="E5693" s="45">
        <v>1027.9</v>
      </c>
    </row>
    <row r="5694" spans="2:5">
      <c r="B5694" s="43" t="s">
        <v>68</v>
      </c>
      <c r="C5694" s="43" t="s">
        <v>69</v>
      </c>
      <c r="D5694" s="44">
        <v>45958</v>
      </c>
      <c r="E5694" s="45">
        <v>538.5</v>
      </c>
    </row>
    <row r="5695" spans="2:5">
      <c r="B5695" s="43" t="s">
        <v>94</v>
      </c>
      <c r="C5695" s="43" t="s">
        <v>95</v>
      </c>
      <c r="D5695" s="44">
        <v>45958</v>
      </c>
      <c r="E5695" s="45">
        <v>515.9</v>
      </c>
    </row>
    <row r="5696" spans="2:5">
      <c r="B5696" s="43" t="s">
        <v>196</v>
      </c>
      <c r="C5696" s="43" t="s">
        <v>197</v>
      </c>
      <c r="D5696" s="44">
        <v>45958</v>
      </c>
      <c r="E5696" s="45">
        <v>1</v>
      </c>
    </row>
    <row r="5697" spans="2:5">
      <c r="B5697" s="43" t="s">
        <v>32</v>
      </c>
      <c r="C5697" s="43" t="s">
        <v>33</v>
      </c>
      <c r="D5697" s="44">
        <v>45958</v>
      </c>
      <c r="E5697" s="45">
        <v>24</v>
      </c>
    </row>
    <row r="5698" spans="2:5">
      <c r="B5698" s="43" t="s">
        <v>160</v>
      </c>
      <c r="C5698" s="43" t="s">
        <v>161</v>
      </c>
      <c r="D5698" s="44">
        <v>45958</v>
      </c>
      <c r="E5698" s="45">
        <v>1</v>
      </c>
    </row>
    <row r="5699" spans="2:5">
      <c r="B5699" s="43" t="s">
        <v>4</v>
      </c>
      <c r="C5699" s="43" t="s">
        <v>5</v>
      </c>
      <c r="D5699" s="44">
        <v>45959</v>
      </c>
      <c r="E5699" s="45">
        <v>20.1</v>
      </c>
    </row>
    <row r="5700" spans="2:5">
      <c r="B5700" s="43" t="s">
        <v>8</v>
      </c>
      <c r="C5700" s="43" t="s">
        <v>9</v>
      </c>
      <c r="D5700" s="44">
        <v>45959</v>
      </c>
      <c r="E5700" s="45">
        <v>121.8</v>
      </c>
    </row>
    <row r="5701" spans="2:5">
      <c r="B5701" s="43" t="s">
        <v>44</v>
      </c>
      <c r="C5701" s="43" t="s">
        <v>45</v>
      </c>
      <c r="D5701" s="44">
        <v>45959</v>
      </c>
      <c r="E5701" s="45">
        <v>17</v>
      </c>
    </row>
    <row r="5702" spans="2:5">
      <c r="B5702" s="43" t="s">
        <v>72</v>
      </c>
      <c r="C5702" s="43" t="s">
        <v>73</v>
      </c>
      <c r="D5702" s="44">
        <v>45959</v>
      </c>
      <c r="E5702" s="45">
        <v>459</v>
      </c>
    </row>
    <row r="5703" spans="2:5">
      <c r="B5703" s="43" t="s">
        <v>46</v>
      </c>
      <c r="C5703" s="43" t="s">
        <v>47</v>
      </c>
      <c r="D5703" s="44">
        <v>45959</v>
      </c>
      <c r="E5703" s="45">
        <v>135.6</v>
      </c>
    </row>
    <row r="5704" spans="2:5">
      <c r="B5704" s="43" t="s">
        <v>10</v>
      </c>
      <c r="C5704" s="43" t="s">
        <v>11</v>
      </c>
      <c r="D5704" s="44">
        <v>45959</v>
      </c>
      <c r="E5704" s="45">
        <v>99.45</v>
      </c>
    </row>
    <row r="5705" spans="2:5">
      <c r="B5705" s="43" t="s">
        <v>206</v>
      </c>
      <c r="C5705" s="43" t="s">
        <v>207</v>
      </c>
      <c r="D5705" s="44">
        <v>45959</v>
      </c>
      <c r="E5705" s="45">
        <v>1151.4</v>
      </c>
    </row>
    <row r="5706" spans="2:5">
      <c r="B5706" s="43" t="s">
        <v>12</v>
      </c>
      <c r="C5706" s="43" t="s">
        <v>13</v>
      </c>
      <c r="D5706" s="44">
        <v>45959</v>
      </c>
      <c r="E5706" s="45">
        <v>1876.8</v>
      </c>
    </row>
    <row r="5707" spans="2:5">
      <c r="B5707" s="43" t="s">
        <v>48</v>
      </c>
      <c r="C5707" s="43" t="s">
        <v>49</v>
      </c>
      <c r="D5707" s="44">
        <v>45959</v>
      </c>
      <c r="E5707" s="45">
        <v>94.5</v>
      </c>
    </row>
    <row r="5708" spans="2:5">
      <c r="B5708" s="43" t="s">
        <v>14</v>
      </c>
      <c r="C5708" s="43" t="s">
        <v>15</v>
      </c>
      <c r="D5708" s="44">
        <v>45959</v>
      </c>
      <c r="E5708" s="45">
        <v>472.5</v>
      </c>
    </row>
    <row r="5709" spans="2:5">
      <c r="B5709" s="43" t="s">
        <v>176</v>
      </c>
      <c r="C5709" s="43" t="s">
        <v>177</v>
      </c>
      <c r="D5709" s="44">
        <v>45959</v>
      </c>
      <c r="E5709" s="45">
        <v>40.5</v>
      </c>
    </row>
    <row r="5710" spans="2:5">
      <c r="B5710" s="43" t="s">
        <v>76</v>
      </c>
      <c r="C5710" s="43" t="s">
        <v>77</v>
      </c>
      <c r="D5710" s="44">
        <v>45959</v>
      </c>
      <c r="E5710" s="45">
        <v>1676.75</v>
      </c>
    </row>
    <row r="5711" spans="2:5">
      <c r="B5711" s="43" t="s">
        <v>152</v>
      </c>
      <c r="C5711" s="43" t="s">
        <v>153</v>
      </c>
      <c r="D5711" s="44">
        <v>45959</v>
      </c>
      <c r="E5711" s="45">
        <v>139.5</v>
      </c>
    </row>
    <row r="5712" spans="2:5">
      <c r="B5712" s="43" t="s">
        <v>200</v>
      </c>
      <c r="C5712" s="43" t="s">
        <v>201</v>
      </c>
      <c r="D5712" s="44">
        <v>45959</v>
      </c>
      <c r="E5712" s="45">
        <v>27.5</v>
      </c>
    </row>
    <row r="5713" spans="2:5">
      <c r="B5713" s="43" t="s">
        <v>78</v>
      </c>
      <c r="C5713" s="43" t="s">
        <v>79</v>
      </c>
      <c r="D5713" s="44">
        <v>45959</v>
      </c>
      <c r="E5713" s="45">
        <v>17.7</v>
      </c>
    </row>
    <row r="5714" spans="2:5">
      <c r="B5714" s="43" t="s">
        <v>20</v>
      </c>
      <c r="C5714" s="43" t="s">
        <v>21</v>
      </c>
      <c r="D5714" s="44">
        <v>45959</v>
      </c>
      <c r="E5714" s="45">
        <v>529.2</v>
      </c>
    </row>
    <row r="5715" spans="2:5">
      <c r="B5715" s="43" t="s">
        <v>22</v>
      </c>
      <c r="C5715" s="43" t="s">
        <v>23</v>
      </c>
      <c r="D5715" s="44">
        <v>45959</v>
      </c>
      <c r="E5715" s="45">
        <v>96</v>
      </c>
    </row>
    <row r="5716" spans="2:5">
      <c r="B5716" s="43" t="s">
        <v>24</v>
      </c>
      <c r="C5716" s="43" t="s">
        <v>25</v>
      </c>
      <c r="D5716" s="44">
        <v>45959</v>
      </c>
      <c r="E5716" s="45">
        <v>779.1</v>
      </c>
    </row>
    <row r="5717" spans="2:5">
      <c r="B5717" s="43" t="s">
        <v>58</v>
      </c>
      <c r="C5717" s="43" t="s">
        <v>59</v>
      </c>
      <c r="D5717" s="44">
        <v>45959</v>
      </c>
      <c r="E5717" s="45">
        <v>708</v>
      </c>
    </row>
    <row r="5718" spans="2:5">
      <c r="B5718" s="43" t="s">
        <v>26</v>
      </c>
      <c r="C5718" s="43" t="s">
        <v>27</v>
      </c>
      <c r="D5718" s="44">
        <v>45959</v>
      </c>
      <c r="E5718" s="45">
        <v>3545.4</v>
      </c>
    </row>
    <row r="5719" spans="2:5">
      <c r="B5719" s="43" t="s">
        <v>60</v>
      </c>
      <c r="C5719" s="43" t="s">
        <v>61</v>
      </c>
      <c r="D5719" s="44">
        <v>45959</v>
      </c>
      <c r="E5719" s="45">
        <v>860.1</v>
      </c>
    </row>
    <row r="5720" spans="2:5">
      <c r="B5720" s="43" t="s">
        <v>194</v>
      </c>
      <c r="C5720" s="43" t="s">
        <v>195</v>
      </c>
      <c r="D5720" s="44">
        <v>45959</v>
      </c>
      <c r="E5720" s="45">
        <v>548.1</v>
      </c>
    </row>
    <row r="5721" spans="2:5">
      <c r="B5721" s="43" t="s">
        <v>28</v>
      </c>
      <c r="C5721" s="43" t="s">
        <v>29</v>
      </c>
      <c r="D5721" s="44">
        <v>45959</v>
      </c>
      <c r="E5721" s="45">
        <v>268.5</v>
      </c>
    </row>
    <row r="5722" spans="2:5">
      <c r="B5722" s="43" t="s">
        <v>82</v>
      </c>
      <c r="C5722" s="43" t="s">
        <v>83</v>
      </c>
      <c r="D5722" s="44">
        <v>45959</v>
      </c>
      <c r="E5722" s="45">
        <v>387.45</v>
      </c>
    </row>
    <row r="5723" spans="2:5">
      <c r="B5723" s="43" t="s">
        <v>62</v>
      </c>
      <c r="C5723" s="43" t="s">
        <v>63</v>
      </c>
      <c r="D5723" s="44">
        <v>45959</v>
      </c>
      <c r="E5723" s="45">
        <v>2931.5</v>
      </c>
    </row>
    <row r="5724" spans="2:5">
      <c r="B5724" s="43" t="s">
        <v>90</v>
      </c>
      <c r="C5724" s="43" t="s">
        <v>91</v>
      </c>
      <c r="D5724" s="44">
        <v>45959</v>
      </c>
      <c r="E5724" s="45">
        <v>160.2</v>
      </c>
    </row>
    <row r="5725" spans="2:5">
      <c r="B5725" s="43" t="s">
        <v>64</v>
      </c>
      <c r="C5725" s="43" t="s">
        <v>65</v>
      </c>
      <c r="D5725" s="44">
        <v>45959</v>
      </c>
      <c r="E5725" s="45">
        <v>500</v>
      </c>
    </row>
    <row r="5726" spans="2:5">
      <c r="B5726" s="43" t="s">
        <v>150</v>
      </c>
      <c r="C5726" s="43" t="s">
        <v>151</v>
      </c>
      <c r="D5726" s="44">
        <v>45959</v>
      </c>
      <c r="E5726" s="45">
        <v>486.9</v>
      </c>
    </row>
    <row r="5727" spans="2:5">
      <c r="B5727" s="43" t="s">
        <v>208</v>
      </c>
      <c r="C5727" s="43" t="s">
        <v>209</v>
      </c>
      <c r="D5727" s="44">
        <v>45959</v>
      </c>
      <c r="E5727" s="45">
        <v>875</v>
      </c>
    </row>
    <row r="5728" spans="2:5">
      <c r="B5728" s="43" t="s">
        <v>96</v>
      </c>
      <c r="C5728" s="43" t="s">
        <v>97</v>
      </c>
      <c r="D5728" s="44">
        <v>45959</v>
      </c>
      <c r="E5728" s="45">
        <v>120</v>
      </c>
    </row>
    <row r="5729" spans="2:5">
      <c r="B5729" s="43" t="s">
        <v>224</v>
      </c>
      <c r="C5729" s="43" t="s">
        <v>225</v>
      </c>
      <c r="D5729" s="44">
        <v>45959</v>
      </c>
      <c r="E5729" s="45">
        <v>10</v>
      </c>
    </row>
    <row r="5730" spans="2:5">
      <c r="B5730" s="43" t="s">
        <v>32</v>
      </c>
      <c r="C5730" s="43" t="s">
        <v>33</v>
      </c>
      <c r="D5730" s="44">
        <v>45959</v>
      </c>
      <c r="E5730" s="45">
        <v>6</v>
      </c>
    </row>
    <row r="5731" spans="2:5">
      <c r="B5731" s="43" t="s">
        <v>232</v>
      </c>
      <c r="C5731" s="43" t="s">
        <v>233</v>
      </c>
      <c r="D5731" s="44">
        <v>45959</v>
      </c>
      <c r="E5731" s="45">
        <v>2</v>
      </c>
    </row>
    <row r="5732" spans="2:5">
      <c r="B5732" s="43" t="s">
        <v>170</v>
      </c>
      <c r="C5732" s="43" t="s">
        <v>171</v>
      </c>
      <c r="D5732" s="44">
        <v>45959</v>
      </c>
      <c r="E5732" s="45">
        <v>4</v>
      </c>
    </row>
    <row r="5733" spans="2:5">
      <c r="B5733" s="43" t="s">
        <v>6</v>
      </c>
      <c r="C5733" s="43" t="s">
        <v>7</v>
      </c>
      <c r="D5733" s="44">
        <v>45960</v>
      </c>
      <c r="E5733" s="45">
        <v>19.65</v>
      </c>
    </row>
    <row r="5734" spans="2:5">
      <c r="B5734" s="43" t="s">
        <v>156</v>
      </c>
      <c r="C5734" s="43" t="s">
        <v>157</v>
      </c>
      <c r="D5734" s="44">
        <v>45960</v>
      </c>
      <c r="E5734" s="45">
        <v>1092</v>
      </c>
    </row>
    <row r="5735" spans="2:5">
      <c r="B5735" s="43" t="s">
        <v>8</v>
      </c>
      <c r="C5735" s="43" t="s">
        <v>9</v>
      </c>
      <c r="D5735" s="44">
        <v>45960</v>
      </c>
      <c r="E5735" s="45">
        <v>26.1</v>
      </c>
    </row>
    <row r="5736" spans="2:5">
      <c r="B5736" s="43" t="s">
        <v>44</v>
      </c>
      <c r="C5736" s="43" t="s">
        <v>45</v>
      </c>
      <c r="D5736" s="44">
        <v>45960</v>
      </c>
      <c r="E5736" s="45">
        <v>68</v>
      </c>
    </row>
    <row r="5737" spans="2:5">
      <c r="B5737" s="43" t="s">
        <v>46</v>
      </c>
      <c r="C5737" s="43" t="s">
        <v>47</v>
      </c>
      <c r="D5737" s="44">
        <v>45960</v>
      </c>
      <c r="E5737" s="45">
        <v>711.9</v>
      </c>
    </row>
    <row r="5738" spans="2:5">
      <c r="B5738" s="43" t="s">
        <v>12</v>
      </c>
      <c r="C5738" s="43" t="s">
        <v>13</v>
      </c>
      <c r="D5738" s="44">
        <v>45960</v>
      </c>
      <c r="E5738" s="45">
        <v>938.4</v>
      </c>
    </row>
    <row r="5739" spans="2:5">
      <c r="B5739" s="43" t="s">
        <v>178</v>
      </c>
      <c r="C5739" s="43" t="s">
        <v>179</v>
      </c>
      <c r="D5739" s="44">
        <v>45960</v>
      </c>
      <c r="E5739" s="45">
        <v>1134</v>
      </c>
    </row>
    <row r="5740" spans="2:5">
      <c r="B5740" s="43" t="s">
        <v>48</v>
      </c>
      <c r="C5740" s="43" t="s">
        <v>49</v>
      </c>
      <c r="D5740" s="44">
        <v>45960</v>
      </c>
      <c r="E5740" s="45">
        <v>1071</v>
      </c>
    </row>
    <row r="5741" spans="2:5">
      <c r="B5741" s="43" t="s">
        <v>114</v>
      </c>
      <c r="C5741" s="43" t="s">
        <v>115</v>
      </c>
      <c r="D5741" s="44">
        <v>45960</v>
      </c>
      <c r="E5741" s="45">
        <v>731.5</v>
      </c>
    </row>
    <row r="5742" spans="2:5">
      <c r="B5742" s="43" t="s">
        <v>138</v>
      </c>
      <c r="C5742" s="43" t="s">
        <v>139</v>
      </c>
      <c r="D5742" s="44">
        <v>45960</v>
      </c>
      <c r="E5742" s="45">
        <v>15.85</v>
      </c>
    </row>
    <row r="5743" spans="2:5">
      <c r="B5743" s="43" t="s">
        <v>176</v>
      </c>
      <c r="C5743" s="43" t="s">
        <v>177</v>
      </c>
      <c r="D5743" s="44">
        <v>45960</v>
      </c>
      <c r="E5743" s="45">
        <v>162</v>
      </c>
    </row>
    <row r="5744" spans="2:5">
      <c r="B5744" s="43" t="s">
        <v>234</v>
      </c>
      <c r="C5744" s="43" t="s">
        <v>235</v>
      </c>
      <c r="D5744" s="44">
        <v>45960</v>
      </c>
      <c r="E5744" s="45">
        <v>1009.4</v>
      </c>
    </row>
    <row r="5745" spans="2:5">
      <c r="B5745" s="43" t="s">
        <v>168</v>
      </c>
      <c r="C5745" s="43" t="s">
        <v>169</v>
      </c>
      <c r="D5745" s="44">
        <v>45960</v>
      </c>
      <c r="E5745" s="45">
        <v>40.2</v>
      </c>
    </row>
    <row r="5746" spans="2:5">
      <c r="B5746" s="43" t="s">
        <v>128</v>
      </c>
      <c r="C5746" s="43" t="s">
        <v>129</v>
      </c>
      <c r="D5746" s="44">
        <v>45960</v>
      </c>
      <c r="E5746" s="45">
        <v>1013.2</v>
      </c>
    </row>
    <row r="5747" spans="2:5">
      <c r="B5747" s="43" t="s">
        <v>18</v>
      </c>
      <c r="C5747" s="43" t="s">
        <v>19</v>
      </c>
      <c r="D5747" s="44">
        <v>45960</v>
      </c>
      <c r="E5747" s="45">
        <v>178</v>
      </c>
    </row>
    <row r="5748" spans="2:5">
      <c r="B5748" s="43" t="s">
        <v>78</v>
      </c>
      <c r="C5748" s="43" t="s">
        <v>79</v>
      </c>
      <c r="D5748" s="44">
        <v>45960</v>
      </c>
      <c r="E5748" s="45">
        <v>17.7</v>
      </c>
    </row>
    <row r="5749" spans="2:5">
      <c r="B5749" s="43" t="s">
        <v>20</v>
      </c>
      <c r="C5749" s="43" t="s">
        <v>21</v>
      </c>
      <c r="D5749" s="44">
        <v>45960</v>
      </c>
      <c r="E5749" s="45">
        <v>117.6</v>
      </c>
    </row>
    <row r="5750" spans="2:5">
      <c r="B5750" s="43" t="s">
        <v>22</v>
      </c>
      <c r="C5750" s="43" t="s">
        <v>23</v>
      </c>
      <c r="D5750" s="44">
        <v>45960</v>
      </c>
      <c r="E5750" s="45">
        <v>86.4</v>
      </c>
    </row>
    <row r="5751" spans="2:5">
      <c r="B5751" s="43" t="s">
        <v>80</v>
      </c>
      <c r="C5751" s="43" t="s">
        <v>81</v>
      </c>
      <c r="D5751" s="44">
        <v>45960</v>
      </c>
      <c r="E5751" s="45">
        <v>2396.45</v>
      </c>
    </row>
    <row r="5752" spans="2:5">
      <c r="B5752" s="43" t="s">
        <v>24</v>
      </c>
      <c r="C5752" s="43" t="s">
        <v>25</v>
      </c>
      <c r="D5752" s="44">
        <v>45960</v>
      </c>
      <c r="E5752" s="45">
        <v>2814.3</v>
      </c>
    </row>
    <row r="5753" spans="2:5">
      <c r="B5753" s="43" t="s">
        <v>58</v>
      </c>
      <c r="C5753" s="43" t="s">
        <v>59</v>
      </c>
      <c r="D5753" s="44">
        <v>45960</v>
      </c>
      <c r="E5753" s="45">
        <v>318.6</v>
      </c>
    </row>
    <row r="5754" spans="2:5">
      <c r="B5754" s="43" t="s">
        <v>210</v>
      </c>
      <c r="C5754" s="43" t="s">
        <v>211</v>
      </c>
      <c r="D5754" s="44">
        <v>45960</v>
      </c>
      <c r="E5754" s="45">
        <v>512.5</v>
      </c>
    </row>
    <row r="5755" spans="2:5">
      <c r="B5755" s="43" t="s">
        <v>26</v>
      </c>
      <c r="C5755" s="43" t="s">
        <v>27</v>
      </c>
      <c r="D5755" s="44">
        <v>45960</v>
      </c>
      <c r="E5755" s="45">
        <v>1741.6</v>
      </c>
    </row>
    <row r="5756" spans="2:5">
      <c r="B5756" s="43" t="s">
        <v>110</v>
      </c>
      <c r="C5756" s="43" t="s">
        <v>111</v>
      </c>
      <c r="D5756" s="44">
        <v>45960</v>
      </c>
      <c r="E5756" s="45">
        <v>1056</v>
      </c>
    </row>
    <row r="5757" spans="2:5">
      <c r="B5757" s="43" t="s">
        <v>28</v>
      </c>
      <c r="C5757" s="43" t="s">
        <v>29</v>
      </c>
      <c r="D5757" s="44">
        <v>45960</v>
      </c>
      <c r="E5757" s="45">
        <v>2452.3</v>
      </c>
    </row>
    <row r="5758" spans="2:5">
      <c r="B5758" s="43" t="s">
        <v>122</v>
      </c>
      <c r="C5758" s="43" t="s">
        <v>123</v>
      </c>
      <c r="D5758" s="44">
        <v>45960</v>
      </c>
      <c r="E5758" s="45">
        <v>90.6</v>
      </c>
    </row>
    <row r="5759" spans="2:5">
      <c r="B5759" s="43" t="s">
        <v>64</v>
      </c>
      <c r="C5759" s="43" t="s">
        <v>65</v>
      </c>
      <c r="D5759" s="44">
        <v>45960</v>
      </c>
      <c r="E5759" s="45">
        <v>2000</v>
      </c>
    </row>
    <row r="5760" spans="2:5">
      <c r="B5760" s="43" t="s">
        <v>198</v>
      </c>
      <c r="C5760" s="43" t="s">
        <v>199</v>
      </c>
      <c r="D5760" s="44">
        <v>45960</v>
      </c>
      <c r="E5760" s="45">
        <v>1108.8</v>
      </c>
    </row>
    <row r="5761" spans="2:5">
      <c r="B5761" s="43" t="s">
        <v>186</v>
      </c>
      <c r="C5761" s="43" t="s">
        <v>187</v>
      </c>
      <c r="D5761" s="44">
        <v>45960</v>
      </c>
      <c r="E5761" s="45">
        <v>162.8</v>
      </c>
    </row>
    <row r="5762" spans="2:5">
      <c r="B5762" s="43" t="s">
        <v>66</v>
      </c>
      <c r="C5762" s="43" t="s">
        <v>67</v>
      </c>
      <c r="D5762" s="44">
        <v>45960</v>
      </c>
      <c r="E5762" s="45">
        <v>526.3</v>
      </c>
    </row>
    <row r="5763" spans="2:5">
      <c r="B5763" s="43" t="s">
        <v>150</v>
      </c>
      <c r="C5763" s="43" t="s">
        <v>151</v>
      </c>
      <c r="D5763" s="44">
        <v>45960</v>
      </c>
      <c r="E5763" s="45">
        <v>324.6</v>
      </c>
    </row>
    <row r="5764" spans="2:5">
      <c r="B5764" s="43" t="s">
        <v>208</v>
      </c>
      <c r="C5764" s="43" t="s">
        <v>209</v>
      </c>
      <c r="D5764" s="44">
        <v>45960</v>
      </c>
      <c r="E5764" s="45">
        <v>140</v>
      </c>
    </row>
    <row r="5765" spans="2:5">
      <c r="B5765" s="43" t="s">
        <v>96</v>
      </c>
      <c r="C5765" s="43" t="s">
        <v>97</v>
      </c>
      <c r="D5765" s="44">
        <v>45960</v>
      </c>
      <c r="E5765" s="45">
        <v>51</v>
      </c>
    </row>
    <row r="5766" spans="2:5">
      <c r="B5766" s="43" t="s">
        <v>32</v>
      </c>
      <c r="C5766" s="43" t="s">
        <v>33</v>
      </c>
      <c r="D5766" s="44">
        <v>45960</v>
      </c>
      <c r="E5766" s="45">
        <v>5</v>
      </c>
    </row>
    <row r="5767" spans="2:5">
      <c r="B5767" s="43" t="s">
        <v>34</v>
      </c>
      <c r="C5767" s="43" t="s">
        <v>35</v>
      </c>
      <c r="D5767" s="44">
        <v>45960</v>
      </c>
      <c r="E5767" s="45">
        <v>1</v>
      </c>
    </row>
    <row r="5768" spans="2:5">
      <c r="B5768" s="43" t="s">
        <v>232</v>
      </c>
      <c r="C5768" s="43" t="s">
        <v>233</v>
      </c>
      <c r="D5768" s="44">
        <v>45960</v>
      </c>
      <c r="E5768" s="45">
        <v>13</v>
      </c>
    </row>
    <row r="5769" spans="2:5">
      <c r="B5769" s="43" t="s">
        <v>170</v>
      </c>
      <c r="C5769" s="43" t="s">
        <v>171</v>
      </c>
      <c r="D5769" s="44">
        <v>45960</v>
      </c>
      <c r="E5769" s="45">
        <v>3</v>
      </c>
    </row>
    <row r="5770" spans="2:5">
      <c r="B5770" s="43" t="s">
        <v>36</v>
      </c>
      <c r="C5770" s="43" t="s">
        <v>37</v>
      </c>
      <c r="D5770" s="44">
        <v>45960</v>
      </c>
      <c r="E5770" s="45">
        <v>8</v>
      </c>
    </row>
    <row r="5771" spans="2:5">
      <c r="B5771" s="43" t="s">
        <v>4</v>
      </c>
      <c r="C5771" s="43" t="s">
        <v>5</v>
      </c>
      <c r="D5771" s="44">
        <v>45961</v>
      </c>
      <c r="E5771" s="45">
        <v>13.4</v>
      </c>
    </row>
    <row r="5772" spans="2:5">
      <c r="B5772" s="43" t="s">
        <v>156</v>
      </c>
      <c r="C5772" s="43" t="s">
        <v>157</v>
      </c>
      <c r="D5772" s="44">
        <v>45961</v>
      </c>
      <c r="E5772" s="45">
        <v>15.6</v>
      </c>
    </row>
    <row r="5773" spans="2:5">
      <c r="B5773" s="43" t="s">
        <v>8</v>
      </c>
      <c r="C5773" s="43" t="s">
        <v>9</v>
      </c>
      <c r="D5773" s="44">
        <v>45961</v>
      </c>
      <c r="E5773" s="45">
        <v>52.2</v>
      </c>
    </row>
    <row r="5774" spans="2:5">
      <c r="B5774" s="43" t="s">
        <v>46</v>
      </c>
      <c r="C5774" s="43" t="s">
        <v>47</v>
      </c>
      <c r="D5774" s="44">
        <v>45961</v>
      </c>
      <c r="E5774" s="45">
        <v>113</v>
      </c>
    </row>
    <row r="5775" spans="2:5">
      <c r="B5775" s="43" t="s">
        <v>10</v>
      </c>
      <c r="C5775" s="43" t="s">
        <v>11</v>
      </c>
      <c r="D5775" s="44">
        <v>45961</v>
      </c>
      <c r="E5775" s="45">
        <v>375.7</v>
      </c>
    </row>
    <row r="5776" spans="2:5">
      <c r="B5776" s="43" t="s">
        <v>206</v>
      </c>
      <c r="C5776" s="43" t="s">
        <v>207</v>
      </c>
      <c r="D5776" s="44">
        <v>45961</v>
      </c>
      <c r="E5776" s="45">
        <v>60.6</v>
      </c>
    </row>
    <row r="5777" spans="2:5">
      <c r="B5777" s="43" t="s">
        <v>12</v>
      </c>
      <c r="C5777" s="43" t="s">
        <v>13</v>
      </c>
      <c r="D5777" s="44">
        <v>45961</v>
      </c>
      <c r="E5777" s="45">
        <v>220.8</v>
      </c>
    </row>
    <row r="5778" spans="2:5">
      <c r="B5778" s="43" t="s">
        <v>48</v>
      </c>
      <c r="C5778" s="43" t="s">
        <v>49</v>
      </c>
      <c r="D5778" s="44">
        <v>45961</v>
      </c>
      <c r="E5778" s="45">
        <v>63</v>
      </c>
    </row>
    <row r="5779" spans="2:5">
      <c r="B5779" s="43" t="s">
        <v>14</v>
      </c>
      <c r="C5779" s="43" t="s">
        <v>15</v>
      </c>
      <c r="D5779" s="44">
        <v>45961</v>
      </c>
      <c r="E5779" s="45">
        <v>756</v>
      </c>
    </row>
    <row r="5780" spans="2:5">
      <c r="B5780" s="43" t="s">
        <v>52</v>
      </c>
      <c r="C5780" s="43" t="s">
        <v>53</v>
      </c>
      <c r="D5780" s="44">
        <v>45961</v>
      </c>
      <c r="E5780" s="45">
        <v>94.8</v>
      </c>
    </row>
    <row r="5781" spans="2:5">
      <c r="B5781" s="43" t="s">
        <v>116</v>
      </c>
      <c r="C5781" s="43" t="s">
        <v>117</v>
      </c>
      <c r="D5781" s="44">
        <v>45961</v>
      </c>
      <c r="E5781" s="45">
        <v>32.6</v>
      </c>
    </row>
    <row r="5782" spans="2:5">
      <c r="B5782" s="43" t="s">
        <v>56</v>
      </c>
      <c r="C5782" s="43" t="s">
        <v>57</v>
      </c>
      <c r="D5782" s="44">
        <v>45961</v>
      </c>
      <c r="E5782" s="45">
        <v>18.1</v>
      </c>
    </row>
    <row r="5783" spans="2:5">
      <c r="B5783" s="43" t="s">
        <v>176</v>
      </c>
      <c r="C5783" s="43" t="s">
        <v>177</v>
      </c>
      <c r="D5783" s="44">
        <v>45961</v>
      </c>
      <c r="E5783" s="45">
        <v>405</v>
      </c>
    </row>
    <row r="5784" spans="2:5">
      <c r="B5784" s="43" t="s">
        <v>18</v>
      </c>
      <c r="C5784" s="43" t="s">
        <v>19</v>
      </c>
      <c r="D5784" s="44">
        <v>45961</v>
      </c>
      <c r="E5784" s="45">
        <v>44.5</v>
      </c>
    </row>
    <row r="5785" spans="2:5">
      <c r="B5785" s="43" t="s">
        <v>200</v>
      </c>
      <c r="C5785" s="43" t="s">
        <v>201</v>
      </c>
      <c r="D5785" s="44">
        <v>45961</v>
      </c>
      <c r="E5785" s="45">
        <v>27.5</v>
      </c>
    </row>
    <row r="5786" spans="2:5">
      <c r="B5786" s="43" t="s">
        <v>20</v>
      </c>
      <c r="C5786" s="43" t="s">
        <v>21</v>
      </c>
      <c r="D5786" s="44">
        <v>45961</v>
      </c>
      <c r="E5786" s="45">
        <v>49</v>
      </c>
    </row>
    <row r="5787" spans="2:5">
      <c r="B5787" s="43" t="s">
        <v>80</v>
      </c>
      <c r="C5787" s="43" t="s">
        <v>81</v>
      </c>
      <c r="D5787" s="44">
        <v>45961</v>
      </c>
      <c r="E5787" s="45">
        <v>28.7</v>
      </c>
    </row>
    <row r="5788" spans="2:5">
      <c r="B5788" s="43" t="s">
        <v>24</v>
      </c>
      <c r="C5788" s="43" t="s">
        <v>25</v>
      </c>
      <c r="D5788" s="44">
        <v>45961</v>
      </c>
      <c r="E5788" s="45">
        <v>1192.5</v>
      </c>
    </row>
    <row r="5789" spans="2:5">
      <c r="B5789" s="43" t="s">
        <v>26</v>
      </c>
      <c r="C5789" s="43" t="s">
        <v>27</v>
      </c>
      <c r="D5789" s="44">
        <v>45961</v>
      </c>
      <c r="E5789" s="45">
        <v>1570.55</v>
      </c>
    </row>
    <row r="5790" spans="2:5">
      <c r="B5790" s="43" t="s">
        <v>60</v>
      </c>
      <c r="C5790" s="43" t="s">
        <v>61</v>
      </c>
      <c r="D5790" s="44">
        <v>45961</v>
      </c>
      <c r="E5790" s="45">
        <v>1281</v>
      </c>
    </row>
    <row r="5791" spans="2:5">
      <c r="B5791" s="43" t="s">
        <v>28</v>
      </c>
      <c r="C5791" s="43" t="s">
        <v>29</v>
      </c>
      <c r="D5791" s="44">
        <v>45961</v>
      </c>
      <c r="E5791" s="45">
        <v>53.7</v>
      </c>
    </row>
    <row r="5792" spans="2:5">
      <c r="B5792" s="43" t="s">
        <v>62</v>
      </c>
      <c r="C5792" s="43" t="s">
        <v>63</v>
      </c>
      <c r="D5792" s="44">
        <v>45961</v>
      </c>
      <c r="E5792" s="45">
        <v>1271</v>
      </c>
    </row>
    <row r="5793" spans="2:5">
      <c r="B5793" s="43" t="s">
        <v>148</v>
      </c>
      <c r="C5793" s="43" t="s">
        <v>149</v>
      </c>
      <c r="D5793" s="44">
        <v>45961</v>
      </c>
      <c r="E5793" s="45">
        <v>274.8</v>
      </c>
    </row>
    <row r="5794" spans="2:5">
      <c r="B5794" s="43" t="s">
        <v>64</v>
      </c>
      <c r="C5794" s="43" t="s">
        <v>65</v>
      </c>
      <c r="D5794" s="44">
        <v>45961</v>
      </c>
      <c r="E5794" s="45">
        <v>280</v>
      </c>
    </row>
    <row r="5795" spans="2:5">
      <c r="B5795" s="43" t="s">
        <v>172</v>
      </c>
      <c r="C5795" s="43" t="s">
        <v>173</v>
      </c>
      <c r="D5795" s="44">
        <v>45961</v>
      </c>
      <c r="E5795" s="45">
        <v>22.55</v>
      </c>
    </row>
    <row r="5796" spans="2:5">
      <c r="B5796" s="43" t="s">
        <v>66</v>
      </c>
      <c r="C5796" s="43" t="s">
        <v>67</v>
      </c>
      <c r="D5796" s="44">
        <v>45961</v>
      </c>
      <c r="E5796" s="45">
        <v>27.7</v>
      </c>
    </row>
    <row r="5797" spans="2:5">
      <c r="B5797" s="43" t="s">
        <v>174</v>
      </c>
      <c r="C5797" s="43" t="s">
        <v>175</v>
      </c>
      <c r="D5797" s="44">
        <v>45961</v>
      </c>
      <c r="E5797" s="45">
        <v>106.2</v>
      </c>
    </row>
    <row r="5798" spans="2:5">
      <c r="B5798" s="43" t="s">
        <v>94</v>
      </c>
      <c r="C5798" s="43" t="s">
        <v>95</v>
      </c>
      <c r="D5798" s="44">
        <v>45961</v>
      </c>
      <c r="E5798" s="45">
        <v>140.7</v>
      </c>
    </row>
    <row r="5799" spans="2:5">
      <c r="B5799" s="43" t="s">
        <v>96</v>
      </c>
      <c r="C5799" s="43" t="s">
        <v>97</v>
      </c>
      <c r="D5799" s="44">
        <v>45961</v>
      </c>
      <c r="E5799" s="45">
        <v>28</v>
      </c>
    </row>
    <row r="5800" spans="2:5">
      <c r="B5800" s="43" t="s">
        <v>224</v>
      </c>
      <c r="C5800" s="43" t="s">
        <v>225</v>
      </c>
      <c r="D5800" s="44">
        <v>45961</v>
      </c>
      <c r="E5800" s="45">
        <v>2</v>
      </c>
    </row>
    <row r="5801" spans="2:5">
      <c r="B5801" s="43" t="s">
        <v>32</v>
      </c>
      <c r="C5801" s="43" t="s">
        <v>33</v>
      </c>
      <c r="D5801" s="44">
        <v>45961</v>
      </c>
      <c r="E5801" s="45">
        <v>17</v>
      </c>
    </row>
    <row r="5802" spans="2:5">
      <c r="B5802" s="43" t="s">
        <v>232</v>
      </c>
      <c r="C5802" s="43" t="s">
        <v>233</v>
      </c>
      <c r="D5802" s="44">
        <v>45961</v>
      </c>
      <c r="E5802" s="45">
        <v>4</v>
      </c>
    </row>
    <row r="5803" spans="2:5">
      <c r="B5803" s="43" t="s">
        <v>38</v>
      </c>
      <c r="C5803" s="43" t="s">
        <v>39</v>
      </c>
      <c r="D5803" s="44">
        <v>45961</v>
      </c>
      <c r="E5803" s="45">
        <v>45</v>
      </c>
    </row>
    <row r="5804" spans="2:5">
      <c r="B5804" s="43" t="s">
        <v>42</v>
      </c>
      <c r="C5804" s="43" t="s">
        <v>43</v>
      </c>
      <c r="D5804" s="44">
        <v>45962</v>
      </c>
      <c r="E5804" s="45">
        <v>193.6</v>
      </c>
    </row>
    <row r="5805" spans="2:5">
      <c r="B5805" s="43" t="s">
        <v>156</v>
      </c>
      <c r="C5805" s="43" t="s">
        <v>157</v>
      </c>
      <c r="D5805" s="44">
        <v>45962</v>
      </c>
      <c r="E5805" s="45">
        <v>327.6</v>
      </c>
    </row>
    <row r="5806" spans="2:5">
      <c r="B5806" s="43" t="s">
        <v>74</v>
      </c>
      <c r="C5806" s="43" t="s">
        <v>75</v>
      </c>
      <c r="D5806" s="44">
        <v>45962</v>
      </c>
      <c r="E5806" s="45">
        <v>273.9</v>
      </c>
    </row>
    <row r="5807" spans="2:5">
      <c r="B5807" s="43" t="s">
        <v>12</v>
      </c>
      <c r="C5807" s="43" t="s">
        <v>13</v>
      </c>
      <c r="D5807" s="44">
        <v>45962</v>
      </c>
      <c r="E5807" s="45">
        <v>124.25</v>
      </c>
    </row>
    <row r="5808" spans="2:5">
      <c r="B5808" s="43" t="s">
        <v>168</v>
      </c>
      <c r="C5808" s="43" t="s">
        <v>169</v>
      </c>
      <c r="D5808" s="44">
        <v>45962</v>
      </c>
      <c r="E5808" s="45">
        <v>160.8</v>
      </c>
    </row>
    <row r="5809" spans="2:5">
      <c r="B5809" s="43" t="s">
        <v>16</v>
      </c>
      <c r="C5809" s="43" t="s">
        <v>17</v>
      </c>
      <c r="D5809" s="44">
        <v>45962</v>
      </c>
      <c r="E5809" s="45">
        <v>45.6</v>
      </c>
    </row>
    <row r="5810" spans="2:5">
      <c r="B5810" s="43" t="s">
        <v>78</v>
      </c>
      <c r="C5810" s="43" t="s">
        <v>79</v>
      </c>
      <c r="D5810" s="44">
        <v>45962</v>
      </c>
      <c r="E5810" s="45">
        <v>194.7</v>
      </c>
    </row>
    <row r="5811" spans="2:5">
      <c r="B5811" s="43" t="s">
        <v>80</v>
      </c>
      <c r="C5811" s="43" t="s">
        <v>81</v>
      </c>
      <c r="D5811" s="44">
        <v>45962</v>
      </c>
      <c r="E5811" s="45">
        <v>975.8</v>
      </c>
    </row>
    <row r="5812" spans="2:5">
      <c r="B5812" s="43" t="s">
        <v>24</v>
      </c>
      <c r="C5812" s="43" t="s">
        <v>25</v>
      </c>
      <c r="D5812" s="44">
        <v>45962</v>
      </c>
      <c r="E5812" s="45">
        <v>333.87</v>
      </c>
    </row>
    <row r="5813" spans="2:5">
      <c r="B5813" s="43" t="s">
        <v>26</v>
      </c>
      <c r="C5813" s="43" t="s">
        <v>27</v>
      </c>
      <c r="D5813" s="44">
        <v>45962</v>
      </c>
      <c r="E5813" s="45">
        <v>824.15</v>
      </c>
    </row>
    <row r="5814" spans="2:5">
      <c r="B5814" s="43" t="s">
        <v>96</v>
      </c>
      <c r="C5814" s="43" t="s">
        <v>97</v>
      </c>
      <c r="D5814" s="44">
        <v>45962</v>
      </c>
      <c r="E5814" s="45">
        <v>3</v>
      </c>
    </row>
    <row r="5815" spans="2:5">
      <c r="B5815" s="43" t="s">
        <v>32</v>
      </c>
      <c r="C5815" s="43" t="s">
        <v>33</v>
      </c>
      <c r="D5815" s="44">
        <v>45962</v>
      </c>
      <c r="E5815" s="45">
        <v>4</v>
      </c>
    </row>
    <row r="5816" spans="2:5">
      <c r="B5816" s="43" t="s">
        <v>232</v>
      </c>
      <c r="C5816" s="43" t="s">
        <v>233</v>
      </c>
      <c r="D5816" s="44">
        <v>45962</v>
      </c>
      <c r="E5816" s="45">
        <v>2</v>
      </c>
    </row>
    <row r="5817" spans="2:5">
      <c r="B5817" s="43" t="s">
        <v>4</v>
      </c>
      <c r="C5817" s="43" t="s">
        <v>5</v>
      </c>
      <c r="D5817" s="44">
        <v>45964</v>
      </c>
      <c r="E5817" s="45">
        <v>214.4</v>
      </c>
    </row>
    <row r="5818" spans="2:5">
      <c r="B5818" s="43" t="s">
        <v>156</v>
      </c>
      <c r="C5818" s="43" t="s">
        <v>157</v>
      </c>
      <c r="D5818" s="44">
        <v>45964</v>
      </c>
      <c r="E5818" s="45">
        <v>7.8</v>
      </c>
    </row>
    <row r="5819" spans="2:5">
      <c r="B5819" s="43" t="s">
        <v>8</v>
      </c>
      <c r="C5819" s="43" t="s">
        <v>9</v>
      </c>
      <c r="D5819" s="44">
        <v>45964</v>
      </c>
      <c r="E5819" s="45">
        <v>478.5</v>
      </c>
    </row>
    <row r="5820" spans="2:5">
      <c r="B5820" s="43" t="s">
        <v>72</v>
      </c>
      <c r="C5820" s="43" t="s">
        <v>73</v>
      </c>
      <c r="D5820" s="44">
        <v>45964</v>
      </c>
      <c r="E5820" s="45">
        <v>204</v>
      </c>
    </row>
    <row r="5821" spans="2:5">
      <c r="B5821" s="43" t="s">
        <v>46</v>
      </c>
      <c r="C5821" s="43" t="s">
        <v>47</v>
      </c>
      <c r="D5821" s="44">
        <v>45964</v>
      </c>
      <c r="E5821" s="45">
        <v>802.3</v>
      </c>
    </row>
    <row r="5822" spans="2:5">
      <c r="B5822" s="43" t="s">
        <v>74</v>
      </c>
      <c r="C5822" s="43" t="s">
        <v>75</v>
      </c>
      <c r="D5822" s="44">
        <v>45964</v>
      </c>
      <c r="E5822" s="45">
        <v>224.1</v>
      </c>
    </row>
    <row r="5823" spans="2:5">
      <c r="B5823" s="43" t="s">
        <v>12</v>
      </c>
      <c r="C5823" s="43" t="s">
        <v>13</v>
      </c>
      <c r="D5823" s="44">
        <v>45964</v>
      </c>
      <c r="E5823" s="45">
        <v>1173</v>
      </c>
    </row>
    <row r="5824" spans="2:5">
      <c r="B5824" s="43" t="s">
        <v>50</v>
      </c>
      <c r="C5824" s="43" t="s">
        <v>51</v>
      </c>
      <c r="D5824" s="44">
        <v>45964</v>
      </c>
      <c r="E5824" s="45">
        <v>489.6</v>
      </c>
    </row>
    <row r="5825" spans="2:5">
      <c r="B5825" s="43" t="s">
        <v>182</v>
      </c>
      <c r="C5825" s="43" t="s">
        <v>183</v>
      </c>
      <c r="D5825" s="44">
        <v>45964</v>
      </c>
      <c r="E5825" s="45">
        <v>295.4</v>
      </c>
    </row>
    <row r="5826" spans="2:5">
      <c r="B5826" s="43" t="s">
        <v>56</v>
      </c>
      <c r="C5826" s="43" t="s">
        <v>57</v>
      </c>
      <c r="D5826" s="44">
        <v>45964</v>
      </c>
      <c r="E5826" s="45">
        <v>181</v>
      </c>
    </row>
    <row r="5827" spans="2:5">
      <c r="B5827" s="43" t="s">
        <v>176</v>
      </c>
      <c r="C5827" s="43" t="s">
        <v>177</v>
      </c>
      <c r="D5827" s="44">
        <v>45964</v>
      </c>
      <c r="E5827" s="45">
        <v>40.5</v>
      </c>
    </row>
    <row r="5828" spans="2:5">
      <c r="B5828" s="43" t="s">
        <v>76</v>
      </c>
      <c r="C5828" s="43" t="s">
        <v>77</v>
      </c>
      <c r="D5828" s="44">
        <v>45964</v>
      </c>
      <c r="E5828" s="45">
        <v>17.65</v>
      </c>
    </row>
    <row r="5829" spans="2:5">
      <c r="B5829" s="43" t="s">
        <v>152</v>
      </c>
      <c r="C5829" s="43" t="s">
        <v>153</v>
      </c>
      <c r="D5829" s="44">
        <v>45964</v>
      </c>
      <c r="E5829" s="45">
        <v>93</v>
      </c>
    </row>
    <row r="5830" spans="2:5">
      <c r="B5830" s="43" t="s">
        <v>16</v>
      </c>
      <c r="C5830" s="43" t="s">
        <v>17</v>
      </c>
      <c r="D5830" s="44">
        <v>45964</v>
      </c>
      <c r="E5830" s="45">
        <v>114</v>
      </c>
    </row>
    <row r="5831" spans="2:5">
      <c r="B5831" s="43" t="s">
        <v>128</v>
      </c>
      <c r="C5831" s="43" t="s">
        <v>129</v>
      </c>
      <c r="D5831" s="44">
        <v>45964</v>
      </c>
      <c r="E5831" s="45">
        <v>59.6</v>
      </c>
    </row>
    <row r="5832" spans="2:5">
      <c r="B5832" s="43" t="s">
        <v>18</v>
      </c>
      <c r="C5832" s="43" t="s">
        <v>19</v>
      </c>
      <c r="D5832" s="44">
        <v>45964</v>
      </c>
      <c r="E5832" s="45">
        <v>111.25</v>
      </c>
    </row>
    <row r="5833" spans="2:5">
      <c r="B5833" s="43" t="s">
        <v>78</v>
      </c>
      <c r="C5833" s="43" t="s">
        <v>79</v>
      </c>
      <c r="D5833" s="44">
        <v>45964</v>
      </c>
      <c r="E5833" s="45">
        <v>53.1</v>
      </c>
    </row>
    <row r="5834" spans="2:5">
      <c r="B5834" s="43" t="s">
        <v>20</v>
      </c>
      <c r="C5834" s="43" t="s">
        <v>21</v>
      </c>
      <c r="D5834" s="44">
        <v>45964</v>
      </c>
      <c r="E5834" s="45">
        <v>303.8</v>
      </c>
    </row>
    <row r="5835" spans="2:5">
      <c r="B5835" s="43" t="s">
        <v>80</v>
      </c>
      <c r="C5835" s="43" t="s">
        <v>81</v>
      </c>
      <c r="D5835" s="44">
        <v>45964</v>
      </c>
      <c r="E5835" s="45">
        <v>57.4</v>
      </c>
    </row>
    <row r="5836" spans="2:5">
      <c r="B5836" s="43" t="s">
        <v>24</v>
      </c>
      <c r="C5836" s="43" t="s">
        <v>25</v>
      </c>
      <c r="D5836" s="44">
        <v>45964</v>
      </c>
      <c r="E5836" s="45">
        <v>4754.1</v>
      </c>
    </row>
    <row r="5837" spans="2:5">
      <c r="B5837" s="43" t="s">
        <v>26</v>
      </c>
      <c r="C5837" s="43" t="s">
        <v>27</v>
      </c>
      <c r="D5837" s="44">
        <v>45964</v>
      </c>
      <c r="E5837" s="45">
        <v>793.05</v>
      </c>
    </row>
    <row r="5838" spans="2:5">
      <c r="B5838" s="43" t="s">
        <v>60</v>
      </c>
      <c r="C5838" s="43" t="s">
        <v>61</v>
      </c>
      <c r="D5838" s="44">
        <v>45964</v>
      </c>
      <c r="E5838" s="45">
        <v>402.6</v>
      </c>
    </row>
    <row r="5839" spans="2:5">
      <c r="B5839" s="43" t="s">
        <v>62</v>
      </c>
      <c r="C5839" s="43" t="s">
        <v>63</v>
      </c>
      <c r="D5839" s="44">
        <v>45964</v>
      </c>
      <c r="E5839" s="45">
        <v>492</v>
      </c>
    </row>
    <row r="5840" spans="2:5">
      <c r="B5840" s="43" t="s">
        <v>64</v>
      </c>
      <c r="C5840" s="43" t="s">
        <v>65</v>
      </c>
      <c r="D5840" s="44">
        <v>45964</v>
      </c>
      <c r="E5840" s="45">
        <v>200</v>
      </c>
    </row>
    <row r="5841" spans="2:5">
      <c r="B5841" s="43" t="s">
        <v>66</v>
      </c>
      <c r="C5841" s="43" t="s">
        <v>67</v>
      </c>
      <c r="D5841" s="44">
        <v>45964</v>
      </c>
      <c r="E5841" s="45">
        <v>637.1</v>
      </c>
    </row>
    <row r="5842" spans="2:5">
      <c r="B5842" s="43" t="s">
        <v>96</v>
      </c>
      <c r="C5842" s="43" t="s">
        <v>97</v>
      </c>
      <c r="D5842" s="44">
        <v>45964</v>
      </c>
      <c r="E5842" s="45">
        <v>7</v>
      </c>
    </row>
    <row r="5843" spans="2:5">
      <c r="B5843" s="43" t="s">
        <v>32</v>
      </c>
      <c r="C5843" s="43" t="s">
        <v>33</v>
      </c>
      <c r="D5843" s="44">
        <v>45964</v>
      </c>
      <c r="E5843" s="45">
        <v>7</v>
      </c>
    </row>
    <row r="5844" spans="2:5">
      <c r="B5844" s="43" t="s">
        <v>160</v>
      </c>
      <c r="C5844" s="43" t="s">
        <v>161</v>
      </c>
      <c r="D5844" s="44">
        <v>45964</v>
      </c>
      <c r="E5844" s="45">
        <v>1</v>
      </c>
    </row>
    <row r="5845" spans="2:5">
      <c r="B5845" s="43" t="s">
        <v>170</v>
      </c>
      <c r="C5845" s="43" t="s">
        <v>171</v>
      </c>
      <c r="D5845" s="44">
        <v>45964</v>
      </c>
      <c r="E5845" s="45">
        <v>4</v>
      </c>
    </row>
    <row r="5846" spans="2:5">
      <c r="B5846" s="43" t="s">
        <v>36</v>
      </c>
      <c r="C5846" s="43" t="s">
        <v>37</v>
      </c>
      <c r="D5846" s="44">
        <v>45964</v>
      </c>
      <c r="E5846" s="45">
        <v>2</v>
      </c>
    </row>
    <row r="5847" spans="2:5">
      <c r="B5847" s="43" t="s">
        <v>156</v>
      </c>
      <c r="C5847" s="43" t="s">
        <v>157</v>
      </c>
      <c r="D5847" s="44">
        <v>45965</v>
      </c>
      <c r="E5847" s="45">
        <v>39</v>
      </c>
    </row>
    <row r="5848" spans="2:5">
      <c r="B5848" s="43" t="s">
        <v>8</v>
      </c>
      <c r="C5848" s="43" t="s">
        <v>9</v>
      </c>
      <c r="D5848" s="44">
        <v>45965</v>
      </c>
      <c r="E5848" s="45">
        <v>8.7</v>
      </c>
    </row>
    <row r="5849" spans="2:5">
      <c r="B5849" s="43" t="s">
        <v>44</v>
      </c>
      <c r="C5849" s="43" t="s">
        <v>45</v>
      </c>
      <c r="D5849" s="44">
        <v>45965</v>
      </c>
      <c r="E5849" s="45">
        <v>8.5</v>
      </c>
    </row>
    <row r="5850" spans="2:5">
      <c r="B5850" s="43" t="s">
        <v>46</v>
      </c>
      <c r="C5850" s="43" t="s">
        <v>47</v>
      </c>
      <c r="D5850" s="44">
        <v>45965</v>
      </c>
      <c r="E5850" s="45">
        <v>485.9</v>
      </c>
    </row>
    <row r="5851" spans="2:5">
      <c r="B5851" s="43" t="s">
        <v>10</v>
      </c>
      <c r="C5851" s="43" t="s">
        <v>11</v>
      </c>
      <c r="D5851" s="44">
        <v>45965</v>
      </c>
      <c r="E5851" s="45">
        <v>66.3</v>
      </c>
    </row>
    <row r="5852" spans="2:5">
      <c r="B5852" s="43" t="s">
        <v>12</v>
      </c>
      <c r="C5852" s="43" t="s">
        <v>13</v>
      </c>
      <c r="D5852" s="44">
        <v>45965</v>
      </c>
      <c r="E5852" s="45">
        <v>138</v>
      </c>
    </row>
    <row r="5853" spans="2:5">
      <c r="B5853" s="43" t="s">
        <v>108</v>
      </c>
      <c r="C5853" s="43" t="s">
        <v>109</v>
      </c>
      <c r="D5853" s="44">
        <v>45965</v>
      </c>
      <c r="E5853" s="45">
        <v>155</v>
      </c>
    </row>
    <row r="5854" spans="2:5">
      <c r="B5854" s="43" t="s">
        <v>178</v>
      </c>
      <c r="C5854" s="43" t="s">
        <v>179</v>
      </c>
      <c r="D5854" s="44">
        <v>45965</v>
      </c>
      <c r="E5854" s="45">
        <v>90</v>
      </c>
    </row>
    <row r="5855" spans="2:5">
      <c r="B5855" s="43" t="s">
        <v>14</v>
      </c>
      <c r="C5855" s="43" t="s">
        <v>15</v>
      </c>
      <c r="D5855" s="44">
        <v>45965</v>
      </c>
      <c r="E5855" s="45">
        <v>256.5</v>
      </c>
    </row>
    <row r="5856" spans="2:5">
      <c r="B5856" s="43" t="s">
        <v>50</v>
      </c>
      <c r="C5856" s="43" t="s">
        <v>51</v>
      </c>
      <c r="D5856" s="44">
        <v>45965</v>
      </c>
      <c r="E5856" s="45">
        <v>122.4</v>
      </c>
    </row>
    <row r="5857" spans="2:5">
      <c r="B5857" s="43" t="s">
        <v>138</v>
      </c>
      <c r="C5857" s="43" t="s">
        <v>139</v>
      </c>
      <c r="D5857" s="44">
        <v>45965</v>
      </c>
      <c r="E5857" s="45">
        <v>15.85</v>
      </c>
    </row>
    <row r="5858" spans="2:5">
      <c r="B5858" s="43" t="s">
        <v>56</v>
      </c>
      <c r="C5858" s="43" t="s">
        <v>57</v>
      </c>
      <c r="D5858" s="44">
        <v>45965</v>
      </c>
      <c r="E5858" s="45">
        <v>36.2</v>
      </c>
    </row>
    <row r="5859" spans="2:5">
      <c r="B5859" s="43" t="s">
        <v>200</v>
      </c>
      <c r="C5859" s="43" t="s">
        <v>201</v>
      </c>
      <c r="D5859" s="44">
        <v>45965</v>
      </c>
      <c r="E5859" s="45">
        <v>330</v>
      </c>
    </row>
    <row r="5860" spans="2:5">
      <c r="B5860" s="43" t="s">
        <v>78</v>
      </c>
      <c r="C5860" s="43" t="s">
        <v>79</v>
      </c>
      <c r="D5860" s="44">
        <v>45965</v>
      </c>
      <c r="E5860" s="45">
        <v>8.85</v>
      </c>
    </row>
    <row r="5861" spans="2:5">
      <c r="B5861" s="43" t="s">
        <v>20</v>
      </c>
      <c r="C5861" s="43" t="s">
        <v>21</v>
      </c>
      <c r="D5861" s="44">
        <v>45965</v>
      </c>
      <c r="E5861" s="45">
        <v>107.8</v>
      </c>
    </row>
    <row r="5862" spans="2:5">
      <c r="B5862" s="43" t="s">
        <v>22</v>
      </c>
      <c r="C5862" s="43" t="s">
        <v>23</v>
      </c>
      <c r="D5862" s="44">
        <v>45965</v>
      </c>
      <c r="E5862" s="45">
        <v>28.8</v>
      </c>
    </row>
    <row r="5863" spans="2:5">
      <c r="B5863" s="43" t="s">
        <v>140</v>
      </c>
      <c r="C5863" s="43" t="s">
        <v>141</v>
      </c>
      <c r="D5863" s="44">
        <v>45965</v>
      </c>
      <c r="E5863" s="45">
        <v>696</v>
      </c>
    </row>
    <row r="5864" spans="2:5">
      <c r="B5864" s="43" t="s">
        <v>24</v>
      </c>
      <c r="C5864" s="43" t="s">
        <v>25</v>
      </c>
      <c r="D5864" s="44">
        <v>45965</v>
      </c>
      <c r="E5864" s="45">
        <v>922.2</v>
      </c>
    </row>
    <row r="5865" spans="2:5">
      <c r="B5865" s="43" t="s">
        <v>26</v>
      </c>
      <c r="C5865" s="43" t="s">
        <v>27</v>
      </c>
      <c r="D5865" s="44">
        <v>45965</v>
      </c>
      <c r="E5865" s="45">
        <v>513.15</v>
      </c>
    </row>
    <row r="5866" spans="2:5">
      <c r="B5866" s="43" t="s">
        <v>60</v>
      </c>
      <c r="C5866" s="43" t="s">
        <v>61</v>
      </c>
      <c r="D5866" s="44">
        <v>45965</v>
      </c>
      <c r="E5866" s="45">
        <v>91.5</v>
      </c>
    </row>
    <row r="5867" spans="2:5">
      <c r="B5867" s="43" t="s">
        <v>62</v>
      </c>
      <c r="C5867" s="43" t="s">
        <v>63</v>
      </c>
      <c r="D5867" s="44">
        <v>45965</v>
      </c>
      <c r="E5867" s="45">
        <v>266.5</v>
      </c>
    </row>
    <row r="5868" spans="2:5">
      <c r="B5868" s="43" t="s">
        <v>148</v>
      </c>
      <c r="C5868" s="43" t="s">
        <v>149</v>
      </c>
      <c r="D5868" s="44">
        <v>45965</v>
      </c>
      <c r="E5868" s="45">
        <v>183.2</v>
      </c>
    </row>
    <row r="5869" spans="2:5">
      <c r="B5869" s="43" t="s">
        <v>64</v>
      </c>
      <c r="C5869" s="43" t="s">
        <v>65</v>
      </c>
      <c r="D5869" s="44">
        <v>45965</v>
      </c>
      <c r="E5869" s="45">
        <v>720</v>
      </c>
    </row>
    <row r="5870" spans="2:5">
      <c r="B5870" s="43" t="s">
        <v>172</v>
      </c>
      <c r="C5870" s="43" t="s">
        <v>173</v>
      </c>
      <c r="D5870" s="44">
        <v>45965</v>
      </c>
      <c r="E5870" s="45">
        <v>45.1</v>
      </c>
    </row>
    <row r="5871" spans="2:5">
      <c r="B5871" s="43" t="s">
        <v>186</v>
      </c>
      <c r="C5871" s="43" t="s">
        <v>187</v>
      </c>
      <c r="D5871" s="44">
        <v>45965</v>
      </c>
      <c r="E5871" s="45">
        <v>81.4</v>
      </c>
    </row>
    <row r="5872" spans="2:5">
      <c r="B5872" s="43" t="s">
        <v>132</v>
      </c>
      <c r="C5872" s="43" t="s">
        <v>133</v>
      </c>
      <c r="D5872" s="44">
        <v>45965</v>
      </c>
      <c r="E5872" s="45">
        <v>30.9</v>
      </c>
    </row>
    <row r="5873" spans="2:5">
      <c r="B5873" s="43" t="s">
        <v>96</v>
      </c>
      <c r="C5873" s="43" t="s">
        <v>97</v>
      </c>
      <c r="D5873" s="44">
        <v>45965</v>
      </c>
      <c r="E5873" s="45">
        <v>56</v>
      </c>
    </row>
    <row r="5874" spans="2:5">
      <c r="B5874" s="43" t="s">
        <v>32</v>
      </c>
      <c r="C5874" s="43" t="s">
        <v>33</v>
      </c>
      <c r="D5874" s="44">
        <v>45965</v>
      </c>
      <c r="E5874" s="45">
        <v>4</v>
      </c>
    </row>
    <row r="5875" spans="2:5">
      <c r="B5875" s="43" t="s">
        <v>160</v>
      </c>
      <c r="C5875" s="43" t="s">
        <v>161</v>
      </c>
      <c r="D5875" s="44">
        <v>45965</v>
      </c>
      <c r="E5875" s="45">
        <v>1</v>
      </c>
    </row>
    <row r="5876" spans="2:5">
      <c r="B5876" s="43" t="s">
        <v>232</v>
      </c>
      <c r="C5876" s="43" t="s">
        <v>233</v>
      </c>
      <c r="D5876" s="44">
        <v>45965</v>
      </c>
      <c r="E5876" s="45">
        <v>19</v>
      </c>
    </row>
    <row r="5877" spans="2:5">
      <c r="B5877" s="43" t="s">
        <v>36</v>
      </c>
      <c r="C5877" s="43" t="s">
        <v>37</v>
      </c>
      <c r="D5877" s="44">
        <v>45965</v>
      </c>
      <c r="E5877" s="45">
        <v>1</v>
      </c>
    </row>
    <row r="5878" spans="2:5">
      <c r="B5878" s="43" t="s">
        <v>4</v>
      </c>
      <c r="C5878" s="43" t="s">
        <v>5</v>
      </c>
      <c r="D5878" s="44">
        <v>45966</v>
      </c>
      <c r="E5878" s="45">
        <v>67</v>
      </c>
    </row>
    <row r="5879" spans="2:5">
      <c r="B5879" s="43" t="s">
        <v>156</v>
      </c>
      <c r="C5879" s="43" t="s">
        <v>157</v>
      </c>
      <c r="D5879" s="44">
        <v>45966</v>
      </c>
      <c r="E5879" s="45">
        <v>390</v>
      </c>
    </row>
    <row r="5880" spans="2:5">
      <c r="B5880" s="43" t="s">
        <v>8</v>
      </c>
      <c r="C5880" s="43" t="s">
        <v>9</v>
      </c>
      <c r="D5880" s="44">
        <v>45966</v>
      </c>
      <c r="E5880" s="45">
        <v>104.4</v>
      </c>
    </row>
    <row r="5881" spans="2:5">
      <c r="B5881" s="43" t="s">
        <v>44</v>
      </c>
      <c r="C5881" s="43" t="s">
        <v>45</v>
      </c>
      <c r="D5881" s="44">
        <v>45966</v>
      </c>
      <c r="E5881" s="45">
        <v>102</v>
      </c>
    </row>
    <row r="5882" spans="2:5">
      <c r="B5882" s="43" t="s">
        <v>46</v>
      </c>
      <c r="C5882" s="43" t="s">
        <v>47</v>
      </c>
      <c r="D5882" s="44">
        <v>45966</v>
      </c>
      <c r="E5882" s="45">
        <v>1254.3</v>
      </c>
    </row>
    <row r="5883" spans="2:5">
      <c r="B5883" s="43" t="s">
        <v>12</v>
      </c>
      <c r="C5883" s="43" t="s">
        <v>13</v>
      </c>
      <c r="D5883" s="44">
        <v>45966</v>
      </c>
      <c r="E5883" s="45">
        <v>731.4</v>
      </c>
    </row>
    <row r="5884" spans="2:5">
      <c r="B5884" s="43" t="s">
        <v>14</v>
      </c>
      <c r="C5884" s="43" t="s">
        <v>15</v>
      </c>
      <c r="D5884" s="44">
        <v>45966</v>
      </c>
      <c r="E5884" s="45">
        <v>135</v>
      </c>
    </row>
    <row r="5885" spans="2:5">
      <c r="B5885" s="43" t="s">
        <v>134</v>
      </c>
      <c r="C5885" s="43" t="s">
        <v>135</v>
      </c>
      <c r="D5885" s="44">
        <v>45966</v>
      </c>
      <c r="E5885" s="45">
        <v>220.5</v>
      </c>
    </row>
    <row r="5886" spans="2:5">
      <c r="B5886" s="43" t="s">
        <v>50</v>
      </c>
      <c r="C5886" s="43" t="s">
        <v>51</v>
      </c>
      <c r="D5886" s="44">
        <v>45966</v>
      </c>
      <c r="E5886" s="45">
        <v>217.6</v>
      </c>
    </row>
    <row r="5887" spans="2:5">
      <c r="B5887" s="43" t="s">
        <v>114</v>
      </c>
      <c r="C5887" s="43" t="s">
        <v>115</v>
      </c>
      <c r="D5887" s="44">
        <v>45966</v>
      </c>
      <c r="E5887" s="45">
        <v>1010.8</v>
      </c>
    </row>
    <row r="5888" spans="2:5">
      <c r="B5888" s="43" t="s">
        <v>56</v>
      </c>
      <c r="C5888" s="43" t="s">
        <v>57</v>
      </c>
      <c r="D5888" s="44">
        <v>45966</v>
      </c>
      <c r="E5888" s="45">
        <v>36.2</v>
      </c>
    </row>
    <row r="5889" spans="2:5">
      <c r="B5889" s="43" t="s">
        <v>152</v>
      </c>
      <c r="C5889" s="43" t="s">
        <v>153</v>
      </c>
      <c r="D5889" s="44">
        <v>45966</v>
      </c>
      <c r="E5889" s="45">
        <v>279</v>
      </c>
    </row>
    <row r="5890" spans="2:5">
      <c r="B5890" s="43" t="s">
        <v>128</v>
      </c>
      <c r="C5890" s="43" t="s">
        <v>129</v>
      </c>
      <c r="D5890" s="44">
        <v>45966</v>
      </c>
      <c r="E5890" s="45">
        <v>119.2</v>
      </c>
    </row>
    <row r="5891" spans="2:5">
      <c r="B5891" s="43" t="s">
        <v>18</v>
      </c>
      <c r="C5891" s="43" t="s">
        <v>19</v>
      </c>
      <c r="D5891" s="44">
        <v>45966</v>
      </c>
      <c r="E5891" s="45">
        <v>44.5</v>
      </c>
    </row>
    <row r="5892" spans="2:5">
      <c r="B5892" s="43" t="s">
        <v>78</v>
      </c>
      <c r="C5892" s="43" t="s">
        <v>79</v>
      </c>
      <c r="D5892" s="44">
        <v>45966</v>
      </c>
      <c r="E5892" s="45">
        <v>61.95</v>
      </c>
    </row>
    <row r="5893" spans="2:5">
      <c r="B5893" s="43" t="s">
        <v>20</v>
      </c>
      <c r="C5893" s="43" t="s">
        <v>21</v>
      </c>
      <c r="D5893" s="44">
        <v>45966</v>
      </c>
      <c r="E5893" s="45">
        <v>19.6</v>
      </c>
    </row>
    <row r="5894" spans="2:5">
      <c r="B5894" s="43" t="s">
        <v>22</v>
      </c>
      <c r="C5894" s="43" t="s">
        <v>23</v>
      </c>
      <c r="D5894" s="44">
        <v>45966</v>
      </c>
      <c r="E5894" s="45">
        <v>393.6</v>
      </c>
    </row>
    <row r="5895" spans="2:5">
      <c r="B5895" s="43" t="s">
        <v>24</v>
      </c>
      <c r="C5895" s="43" t="s">
        <v>25</v>
      </c>
      <c r="D5895" s="44">
        <v>45966</v>
      </c>
      <c r="E5895" s="45">
        <v>6042</v>
      </c>
    </row>
    <row r="5896" spans="2:5">
      <c r="B5896" s="43" t="s">
        <v>26</v>
      </c>
      <c r="C5896" s="43" t="s">
        <v>27</v>
      </c>
      <c r="D5896" s="44">
        <v>45966</v>
      </c>
      <c r="E5896" s="45">
        <v>2705.7</v>
      </c>
    </row>
    <row r="5897" spans="2:5">
      <c r="B5897" s="43" t="s">
        <v>62</v>
      </c>
      <c r="C5897" s="43" t="s">
        <v>63</v>
      </c>
      <c r="D5897" s="44">
        <v>45966</v>
      </c>
      <c r="E5897" s="45">
        <v>840.5</v>
      </c>
    </row>
    <row r="5898" spans="2:5">
      <c r="B5898" s="43" t="s">
        <v>148</v>
      </c>
      <c r="C5898" s="43" t="s">
        <v>149</v>
      </c>
      <c r="D5898" s="44">
        <v>45966</v>
      </c>
      <c r="E5898" s="45">
        <v>45.8</v>
      </c>
    </row>
    <row r="5899" spans="2:5">
      <c r="B5899" s="43" t="s">
        <v>64</v>
      </c>
      <c r="C5899" s="43" t="s">
        <v>65</v>
      </c>
      <c r="D5899" s="44">
        <v>45966</v>
      </c>
      <c r="E5899" s="45">
        <v>500</v>
      </c>
    </row>
    <row r="5900" spans="2:5">
      <c r="B5900" s="43" t="s">
        <v>84</v>
      </c>
      <c r="C5900" s="43" t="s">
        <v>85</v>
      </c>
      <c r="D5900" s="44">
        <v>45966</v>
      </c>
      <c r="E5900" s="45">
        <v>174.65</v>
      </c>
    </row>
    <row r="5901" spans="2:5">
      <c r="B5901" s="43" t="s">
        <v>66</v>
      </c>
      <c r="C5901" s="43" t="s">
        <v>67</v>
      </c>
      <c r="D5901" s="44">
        <v>45966</v>
      </c>
      <c r="E5901" s="45">
        <v>526.3</v>
      </c>
    </row>
    <row r="5902" spans="2:5">
      <c r="B5902" s="43" t="s">
        <v>150</v>
      </c>
      <c r="C5902" s="43" t="s">
        <v>151</v>
      </c>
      <c r="D5902" s="44">
        <v>45966</v>
      </c>
      <c r="E5902" s="45">
        <v>81.15</v>
      </c>
    </row>
    <row r="5903" spans="2:5">
      <c r="B5903" s="43" t="s">
        <v>142</v>
      </c>
      <c r="C5903" s="43" t="s">
        <v>143</v>
      </c>
      <c r="D5903" s="44">
        <v>45966</v>
      </c>
      <c r="E5903" s="45">
        <v>1</v>
      </c>
    </row>
    <row r="5904" spans="2:5">
      <c r="B5904" s="43" t="s">
        <v>96</v>
      </c>
      <c r="C5904" s="43" t="s">
        <v>97</v>
      </c>
      <c r="D5904" s="44">
        <v>45966</v>
      </c>
      <c r="E5904" s="45">
        <v>77</v>
      </c>
    </row>
    <row r="5905" spans="2:5">
      <c r="B5905" s="43" t="s">
        <v>224</v>
      </c>
      <c r="C5905" s="43" t="s">
        <v>225</v>
      </c>
      <c r="D5905" s="44">
        <v>45966</v>
      </c>
      <c r="E5905" s="45">
        <v>3</v>
      </c>
    </row>
    <row r="5906" spans="2:5">
      <c r="B5906" s="43" t="s">
        <v>32</v>
      </c>
      <c r="C5906" s="43" t="s">
        <v>33</v>
      </c>
      <c r="D5906" s="44">
        <v>45966</v>
      </c>
      <c r="E5906" s="45">
        <v>10</v>
      </c>
    </row>
    <row r="5907" spans="2:5">
      <c r="B5907" s="43" t="s">
        <v>160</v>
      </c>
      <c r="C5907" s="43" t="s">
        <v>161</v>
      </c>
      <c r="D5907" s="44">
        <v>45966</v>
      </c>
      <c r="E5907" s="45">
        <v>2</v>
      </c>
    </row>
    <row r="5908" spans="2:5">
      <c r="B5908" s="43" t="s">
        <v>232</v>
      </c>
      <c r="C5908" s="43" t="s">
        <v>233</v>
      </c>
      <c r="D5908" s="44">
        <v>45966</v>
      </c>
      <c r="E5908" s="45">
        <v>7</v>
      </c>
    </row>
    <row r="5909" spans="2:5">
      <c r="B5909" s="43" t="s">
        <v>36</v>
      </c>
      <c r="C5909" s="43" t="s">
        <v>37</v>
      </c>
      <c r="D5909" s="44">
        <v>45966</v>
      </c>
      <c r="E5909" s="45">
        <v>3</v>
      </c>
    </row>
    <row r="5910" spans="2:5">
      <c r="B5910" s="43" t="s">
        <v>38</v>
      </c>
      <c r="C5910" s="43" t="s">
        <v>39</v>
      </c>
      <c r="D5910" s="44">
        <v>45966</v>
      </c>
      <c r="E5910" s="45">
        <v>11</v>
      </c>
    </row>
    <row r="5911" spans="2:5">
      <c r="B5911" s="43" t="s">
        <v>102</v>
      </c>
      <c r="C5911" s="43" t="s">
        <v>103</v>
      </c>
      <c r="D5911" s="44">
        <v>45967</v>
      </c>
      <c r="E5911" s="45">
        <v>14</v>
      </c>
    </row>
    <row r="5912" spans="2:5">
      <c r="B5912" s="43" t="s">
        <v>42</v>
      </c>
      <c r="C5912" s="43" t="s">
        <v>43</v>
      </c>
      <c r="D5912" s="44">
        <v>45967</v>
      </c>
      <c r="E5912" s="45">
        <v>36.3</v>
      </c>
    </row>
    <row r="5913" spans="2:5">
      <c r="B5913" s="43" t="s">
        <v>156</v>
      </c>
      <c r="C5913" s="43" t="s">
        <v>157</v>
      </c>
      <c r="D5913" s="44">
        <v>45967</v>
      </c>
      <c r="E5913" s="45">
        <v>15.6</v>
      </c>
    </row>
    <row r="5914" spans="2:5">
      <c r="B5914" s="43" t="s">
        <v>8</v>
      </c>
      <c r="C5914" s="43" t="s">
        <v>9</v>
      </c>
      <c r="D5914" s="44">
        <v>45967</v>
      </c>
      <c r="E5914" s="45">
        <v>147.9</v>
      </c>
    </row>
    <row r="5915" spans="2:5">
      <c r="B5915" s="43" t="s">
        <v>44</v>
      </c>
      <c r="C5915" s="43" t="s">
        <v>45</v>
      </c>
      <c r="D5915" s="44">
        <v>45967</v>
      </c>
      <c r="E5915" s="45">
        <v>297.5</v>
      </c>
    </row>
    <row r="5916" spans="2:5">
      <c r="B5916" s="43" t="s">
        <v>46</v>
      </c>
      <c r="C5916" s="43" t="s">
        <v>47</v>
      </c>
      <c r="D5916" s="44">
        <v>45967</v>
      </c>
      <c r="E5916" s="45">
        <v>1525.5</v>
      </c>
    </row>
    <row r="5917" spans="2:5">
      <c r="B5917" s="43" t="s">
        <v>10</v>
      </c>
      <c r="C5917" s="43" t="s">
        <v>11</v>
      </c>
      <c r="D5917" s="44">
        <v>45967</v>
      </c>
      <c r="E5917" s="45">
        <v>110.5</v>
      </c>
    </row>
    <row r="5918" spans="2:5">
      <c r="B5918" s="43" t="s">
        <v>206</v>
      </c>
      <c r="C5918" s="43" t="s">
        <v>207</v>
      </c>
      <c r="D5918" s="44">
        <v>45967</v>
      </c>
      <c r="E5918" s="45">
        <v>60.6</v>
      </c>
    </row>
    <row r="5919" spans="2:5">
      <c r="B5919" s="43" t="s">
        <v>12</v>
      </c>
      <c r="C5919" s="43" t="s">
        <v>13</v>
      </c>
      <c r="D5919" s="44">
        <v>45967</v>
      </c>
      <c r="E5919" s="45">
        <v>1904.4</v>
      </c>
    </row>
    <row r="5920" spans="2:5">
      <c r="B5920" s="43" t="s">
        <v>48</v>
      </c>
      <c r="C5920" s="43" t="s">
        <v>49</v>
      </c>
      <c r="D5920" s="44">
        <v>45967</v>
      </c>
      <c r="E5920" s="45">
        <v>126</v>
      </c>
    </row>
    <row r="5921" spans="2:5">
      <c r="B5921" s="43" t="s">
        <v>14</v>
      </c>
      <c r="C5921" s="43" t="s">
        <v>15</v>
      </c>
      <c r="D5921" s="44">
        <v>45967</v>
      </c>
      <c r="E5921" s="45">
        <v>796.5</v>
      </c>
    </row>
    <row r="5922" spans="2:5">
      <c r="B5922" s="43" t="s">
        <v>134</v>
      </c>
      <c r="C5922" s="43" t="s">
        <v>135</v>
      </c>
      <c r="D5922" s="44">
        <v>45967</v>
      </c>
      <c r="E5922" s="45">
        <v>416.5</v>
      </c>
    </row>
    <row r="5923" spans="2:5">
      <c r="B5923" s="43" t="s">
        <v>50</v>
      </c>
      <c r="C5923" s="43" t="s">
        <v>51</v>
      </c>
      <c r="D5923" s="44">
        <v>45967</v>
      </c>
      <c r="E5923" s="45">
        <v>136</v>
      </c>
    </row>
    <row r="5924" spans="2:5">
      <c r="B5924" s="43" t="s">
        <v>138</v>
      </c>
      <c r="C5924" s="43" t="s">
        <v>139</v>
      </c>
      <c r="D5924" s="44">
        <v>45967</v>
      </c>
      <c r="E5924" s="45">
        <v>15.85</v>
      </c>
    </row>
    <row r="5925" spans="2:5">
      <c r="B5925" s="43" t="s">
        <v>56</v>
      </c>
      <c r="C5925" s="43" t="s">
        <v>57</v>
      </c>
      <c r="D5925" s="44">
        <v>45967</v>
      </c>
      <c r="E5925" s="45">
        <v>181</v>
      </c>
    </row>
    <row r="5926" spans="2:5">
      <c r="B5926" s="43" t="s">
        <v>176</v>
      </c>
      <c r="C5926" s="43" t="s">
        <v>177</v>
      </c>
      <c r="D5926" s="44">
        <v>45967</v>
      </c>
      <c r="E5926" s="45">
        <v>81</v>
      </c>
    </row>
    <row r="5927" spans="2:5">
      <c r="B5927" s="43" t="s">
        <v>152</v>
      </c>
      <c r="C5927" s="43" t="s">
        <v>153</v>
      </c>
      <c r="D5927" s="44">
        <v>45967</v>
      </c>
      <c r="E5927" s="45">
        <v>93</v>
      </c>
    </row>
    <row r="5928" spans="2:5">
      <c r="B5928" s="43" t="s">
        <v>200</v>
      </c>
      <c r="C5928" s="43" t="s">
        <v>201</v>
      </c>
      <c r="D5928" s="44">
        <v>45967</v>
      </c>
      <c r="E5928" s="45">
        <v>55</v>
      </c>
    </row>
    <row r="5929" spans="2:5">
      <c r="B5929" s="43" t="s">
        <v>78</v>
      </c>
      <c r="C5929" s="43" t="s">
        <v>79</v>
      </c>
      <c r="D5929" s="44">
        <v>45967</v>
      </c>
      <c r="E5929" s="45">
        <v>8.85</v>
      </c>
    </row>
    <row r="5930" spans="2:5">
      <c r="B5930" s="43" t="s">
        <v>20</v>
      </c>
      <c r="C5930" s="43" t="s">
        <v>21</v>
      </c>
      <c r="D5930" s="44">
        <v>45967</v>
      </c>
      <c r="E5930" s="45">
        <v>9.8</v>
      </c>
    </row>
    <row r="5931" spans="2:5">
      <c r="B5931" s="43" t="s">
        <v>22</v>
      </c>
      <c r="C5931" s="43" t="s">
        <v>23</v>
      </c>
      <c r="D5931" s="44">
        <v>45967</v>
      </c>
      <c r="E5931" s="45">
        <v>115.2</v>
      </c>
    </row>
    <row r="5932" spans="2:5">
      <c r="B5932" s="43" t="s">
        <v>80</v>
      </c>
      <c r="C5932" s="43" t="s">
        <v>81</v>
      </c>
      <c r="D5932" s="44">
        <v>45967</v>
      </c>
      <c r="E5932" s="45">
        <v>143.5</v>
      </c>
    </row>
    <row r="5933" spans="2:5">
      <c r="B5933" s="43" t="s">
        <v>24</v>
      </c>
      <c r="C5933" s="43" t="s">
        <v>25</v>
      </c>
      <c r="D5933" s="44">
        <v>45967</v>
      </c>
      <c r="E5933" s="45">
        <v>4817.7</v>
      </c>
    </row>
    <row r="5934" spans="2:5">
      <c r="B5934" s="43" t="s">
        <v>26</v>
      </c>
      <c r="C5934" s="43" t="s">
        <v>27</v>
      </c>
      <c r="D5934" s="44">
        <v>45967</v>
      </c>
      <c r="E5934" s="45">
        <v>1041.85</v>
      </c>
    </row>
    <row r="5935" spans="2:5">
      <c r="B5935" s="43" t="s">
        <v>60</v>
      </c>
      <c r="C5935" s="43" t="s">
        <v>61</v>
      </c>
      <c r="D5935" s="44">
        <v>45967</v>
      </c>
      <c r="E5935" s="45">
        <v>73.2</v>
      </c>
    </row>
    <row r="5936" spans="2:5">
      <c r="B5936" s="43" t="s">
        <v>62</v>
      </c>
      <c r="C5936" s="43" t="s">
        <v>63</v>
      </c>
      <c r="D5936" s="44">
        <v>45967</v>
      </c>
      <c r="E5936" s="45">
        <v>164</v>
      </c>
    </row>
    <row r="5937" spans="2:5">
      <c r="B5937" s="43" t="s">
        <v>90</v>
      </c>
      <c r="C5937" s="43" t="s">
        <v>91</v>
      </c>
      <c r="D5937" s="44">
        <v>45967</v>
      </c>
      <c r="E5937" s="45">
        <v>80.1</v>
      </c>
    </row>
    <row r="5938" spans="2:5">
      <c r="B5938" s="43" t="s">
        <v>64</v>
      </c>
      <c r="C5938" s="43" t="s">
        <v>65</v>
      </c>
      <c r="D5938" s="44">
        <v>45967</v>
      </c>
      <c r="E5938" s="45">
        <v>760</v>
      </c>
    </row>
    <row r="5939" spans="2:5">
      <c r="B5939" s="43" t="s">
        <v>238</v>
      </c>
      <c r="C5939" s="43" t="s">
        <v>239</v>
      </c>
      <c r="D5939" s="44">
        <v>45967</v>
      </c>
      <c r="E5939" s="45">
        <v>25.2</v>
      </c>
    </row>
    <row r="5940" spans="2:5">
      <c r="B5940" s="43" t="s">
        <v>66</v>
      </c>
      <c r="C5940" s="43" t="s">
        <v>67</v>
      </c>
      <c r="D5940" s="44">
        <v>45967</v>
      </c>
      <c r="E5940" s="45">
        <v>110.8</v>
      </c>
    </row>
    <row r="5941" spans="2:5">
      <c r="B5941" s="43" t="s">
        <v>132</v>
      </c>
      <c r="C5941" s="43" t="s">
        <v>133</v>
      </c>
      <c r="D5941" s="44">
        <v>45967</v>
      </c>
      <c r="E5941" s="45">
        <v>61.8</v>
      </c>
    </row>
    <row r="5942" spans="2:5">
      <c r="B5942" s="43" t="s">
        <v>96</v>
      </c>
      <c r="C5942" s="43" t="s">
        <v>97</v>
      </c>
      <c r="D5942" s="44">
        <v>45967</v>
      </c>
      <c r="E5942" s="45">
        <v>26</v>
      </c>
    </row>
    <row r="5943" spans="2:5">
      <c r="B5943" s="43" t="s">
        <v>32</v>
      </c>
      <c r="C5943" s="43" t="s">
        <v>33</v>
      </c>
      <c r="D5943" s="44">
        <v>45967</v>
      </c>
      <c r="E5943" s="45">
        <v>4</v>
      </c>
    </row>
    <row r="5944" spans="2:5">
      <c r="B5944" s="43" t="s">
        <v>34</v>
      </c>
      <c r="C5944" s="43" t="s">
        <v>35</v>
      </c>
      <c r="D5944" s="44">
        <v>45967</v>
      </c>
      <c r="E5944" s="45">
        <v>5</v>
      </c>
    </row>
    <row r="5945" spans="2:5">
      <c r="B5945" s="43" t="s">
        <v>36</v>
      </c>
      <c r="C5945" s="43" t="s">
        <v>37</v>
      </c>
      <c r="D5945" s="44">
        <v>45967</v>
      </c>
      <c r="E5945" s="45">
        <v>5</v>
      </c>
    </row>
    <row r="5946" spans="2:5">
      <c r="B5946" s="43" t="s">
        <v>38</v>
      </c>
      <c r="C5946" s="43" t="s">
        <v>39</v>
      </c>
      <c r="D5946" s="44">
        <v>45967</v>
      </c>
      <c r="E5946" s="45">
        <v>15</v>
      </c>
    </row>
    <row r="5947" spans="2:5">
      <c r="B5947" s="43" t="s">
        <v>102</v>
      </c>
      <c r="C5947" s="43" t="s">
        <v>103</v>
      </c>
      <c r="D5947" s="44">
        <v>45968</v>
      </c>
      <c r="E5947" s="45">
        <v>13</v>
      </c>
    </row>
    <row r="5948" spans="2:5">
      <c r="B5948" s="43" t="s">
        <v>4</v>
      </c>
      <c r="C5948" s="43" t="s">
        <v>5</v>
      </c>
      <c r="D5948" s="44">
        <v>45968</v>
      </c>
      <c r="E5948" s="45">
        <v>187.6</v>
      </c>
    </row>
    <row r="5949" spans="2:5">
      <c r="B5949" s="43" t="s">
        <v>6</v>
      </c>
      <c r="C5949" s="43" t="s">
        <v>7</v>
      </c>
      <c r="D5949" s="44">
        <v>45968</v>
      </c>
      <c r="E5949" s="45">
        <v>26.2</v>
      </c>
    </row>
    <row r="5950" spans="2:5">
      <c r="B5950" s="43" t="s">
        <v>8</v>
      </c>
      <c r="C5950" s="43" t="s">
        <v>9</v>
      </c>
      <c r="D5950" s="44">
        <v>45968</v>
      </c>
      <c r="E5950" s="45">
        <v>304.5</v>
      </c>
    </row>
    <row r="5951" spans="2:5">
      <c r="B5951" s="43" t="s">
        <v>44</v>
      </c>
      <c r="C5951" s="43" t="s">
        <v>45</v>
      </c>
      <c r="D5951" s="44">
        <v>45968</v>
      </c>
      <c r="E5951" s="45">
        <v>25.5</v>
      </c>
    </row>
    <row r="5952" spans="2:5">
      <c r="B5952" s="43" t="s">
        <v>72</v>
      </c>
      <c r="C5952" s="43" t="s">
        <v>73</v>
      </c>
      <c r="D5952" s="44">
        <v>45968</v>
      </c>
      <c r="E5952" s="45">
        <v>1122</v>
      </c>
    </row>
    <row r="5953" spans="2:5">
      <c r="B5953" s="43" t="s">
        <v>46</v>
      </c>
      <c r="C5953" s="43" t="s">
        <v>47</v>
      </c>
      <c r="D5953" s="44">
        <v>45968</v>
      </c>
      <c r="E5953" s="45">
        <v>1130</v>
      </c>
    </row>
    <row r="5954" spans="2:5">
      <c r="B5954" s="43" t="s">
        <v>12</v>
      </c>
      <c r="C5954" s="43" t="s">
        <v>13</v>
      </c>
      <c r="D5954" s="44">
        <v>45968</v>
      </c>
      <c r="E5954" s="45">
        <v>1545.63</v>
      </c>
    </row>
    <row r="5955" spans="2:5">
      <c r="B5955" s="43" t="s">
        <v>108</v>
      </c>
      <c r="C5955" s="43" t="s">
        <v>109</v>
      </c>
      <c r="D5955" s="44">
        <v>45968</v>
      </c>
      <c r="E5955" s="45">
        <v>930</v>
      </c>
    </row>
    <row r="5956" spans="2:5">
      <c r="B5956" s="43" t="s">
        <v>14</v>
      </c>
      <c r="C5956" s="43" t="s">
        <v>15</v>
      </c>
      <c r="D5956" s="44">
        <v>45968</v>
      </c>
      <c r="E5956" s="45">
        <v>148.5</v>
      </c>
    </row>
    <row r="5957" spans="2:5">
      <c r="B5957" s="43" t="s">
        <v>134</v>
      </c>
      <c r="C5957" s="43" t="s">
        <v>135</v>
      </c>
      <c r="D5957" s="44">
        <v>45968</v>
      </c>
      <c r="E5957" s="45">
        <v>612.5</v>
      </c>
    </row>
    <row r="5958" spans="2:5">
      <c r="B5958" s="43" t="s">
        <v>50</v>
      </c>
      <c r="C5958" s="43" t="s">
        <v>51</v>
      </c>
      <c r="D5958" s="44">
        <v>45968</v>
      </c>
      <c r="E5958" s="45">
        <v>1060.8</v>
      </c>
    </row>
    <row r="5959" spans="2:5">
      <c r="B5959" s="43" t="s">
        <v>56</v>
      </c>
      <c r="C5959" s="43" t="s">
        <v>57</v>
      </c>
      <c r="D5959" s="44">
        <v>45968</v>
      </c>
      <c r="E5959" s="45">
        <v>36.2</v>
      </c>
    </row>
    <row r="5960" spans="2:5">
      <c r="B5960" s="43" t="s">
        <v>162</v>
      </c>
      <c r="C5960" s="43" t="s">
        <v>163</v>
      </c>
      <c r="D5960" s="44">
        <v>45968</v>
      </c>
      <c r="E5960" s="45">
        <v>606</v>
      </c>
    </row>
    <row r="5961" spans="2:5">
      <c r="B5961" s="43" t="s">
        <v>126</v>
      </c>
      <c r="C5961" s="43" t="s">
        <v>127</v>
      </c>
      <c r="D5961" s="44">
        <v>45968</v>
      </c>
      <c r="E5961" s="45">
        <v>708</v>
      </c>
    </row>
    <row r="5962" spans="2:5">
      <c r="B5962" s="43" t="s">
        <v>152</v>
      </c>
      <c r="C5962" s="43" t="s">
        <v>153</v>
      </c>
      <c r="D5962" s="44">
        <v>45968</v>
      </c>
      <c r="E5962" s="45">
        <v>232.5</v>
      </c>
    </row>
    <row r="5963" spans="2:5">
      <c r="B5963" s="43" t="s">
        <v>16</v>
      </c>
      <c r="C5963" s="43" t="s">
        <v>17</v>
      </c>
      <c r="D5963" s="44">
        <v>45968</v>
      </c>
      <c r="E5963" s="45">
        <v>91.2</v>
      </c>
    </row>
    <row r="5964" spans="2:5">
      <c r="B5964" s="43" t="s">
        <v>18</v>
      </c>
      <c r="C5964" s="43" t="s">
        <v>19</v>
      </c>
      <c r="D5964" s="44">
        <v>45968</v>
      </c>
      <c r="E5964" s="45">
        <v>155.75</v>
      </c>
    </row>
    <row r="5965" spans="2:5">
      <c r="B5965" s="43" t="s">
        <v>78</v>
      </c>
      <c r="C5965" s="43" t="s">
        <v>79</v>
      </c>
      <c r="D5965" s="44">
        <v>45968</v>
      </c>
      <c r="E5965" s="45">
        <v>115.05</v>
      </c>
    </row>
    <row r="5966" spans="2:5">
      <c r="B5966" s="43" t="s">
        <v>22</v>
      </c>
      <c r="C5966" s="43" t="s">
        <v>23</v>
      </c>
      <c r="D5966" s="44">
        <v>45968</v>
      </c>
      <c r="E5966" s="45">
        <v>384</v>
      </c>
    </row>
    <row r="5967" spans="2:5">
      <c r="B5967" s="43" t="s">
        <v>80</v>
      </c>
      <c r="C5967" s="43" t="s">
        <v>81</v>
      </c>
      <c r="D5967" s="44">
        <v>45968</v>
      </c>
      <c r="E5967" s="45">
        <v>1635.9</v>
      </c>
    </row>
    <row r="5968" spans="2:5">
      <c r="B5968" s="43" t="s">
        <v>24</v>
      </c>
      <c r="C5968" s="43" t="s">
        <v>25</v>
      </c>
      <c r="D5968" s="44">
        <v>45968</v>
      </c>
      <c r="E5968" s="45">
        <v>2146.5</v>
      </c>
    </row>
    <row r="5969" spans="2:5">
      <c r="B5969" s="43" t="s">
        <v>58</v>
      </c>
      <c r="C5969" s="43" t="s">
        <v>59</v>
      </c>
      <c r="D5969" s="44">
        <v>45968</v>
      </c>
      <c r="E5969" s="45">
        <v>885</v>
      </c>
    </row>
    <row r="5970" spans="2:5">
      <c r="B5970" s="43" t="s">
        <v>26</v>
      </c>
      <c r="C5970" s="43" t="s">
        <v>27</v>
      </c>
      <c r="D5970" s="44">
        <v>45968</v>
      </c>
      <c r="E5970" s="45">
        <v>901.9</v>
      </c>
    </row>
    <row r="5971" spans="2:5">
      <c r="B5971" s="43" t="s">
        <v>28</v>
      </c>
      <c r="C5971" s="43" t="s">
        <v>29</v>
      </c>
      <c r="D5971" s="44">
        <v>45968</v>
      </c>
      <c r="E5971" s="45">
        <v>447.5</v>
      </c>
    </row>
    <row r="5972" spans="2:5">
      <c r="B5972" s="43" t="s">
        <v>62</v>
      </c>
      <c r="C5972" s="43" t="s">
        <v>63</v>
      </c>
      <c r="D5972" s="44">
        <v>45968</v>
      </c>
      <c r="E5972" s="45">
        <v>1988.5</v>
      </c>
    </row>
    <row r="5973" spans="2:5">
      <c r="B5973" s="43" t="s">
        <v>148</v>
      </c>
      <c r="C5973" s="43" t="s">
        <v>149</v>
      </c>
      <c r="D5973" s="44">
        <v>45968</v>
      </c>
      <c r="E5973" s="45">
        <v>687</v>
      </c>
    </row>
    <row r="5974" spans="2:5">
      <c r="B5974" s="43" t="s">
        <v>64</v>
      </c>
      <c r="C5974" s="43" t="s">
        <v>65</v>
      </c>
      <c r="D5974" s="44">
        <v>45968</v>
      </c>
      <c r="E5974" s="45">
        <v>680</v>
      </c>
    </row>
    <row r="5975" spans="2:5">
      <c r="B5975" s="43" t="s">
        <v>166</v>
      </c>
      <c r="C5975" s="43" t="s">
        <v>167</v>
      </c>
      <c r="D5975" s="44">
        <v>45968</v>
      </c>
      <c r="E5975" s="45">
        <v>567.6</v>
      </c>
    </row>
    <row r="5976" spans="2:5">
      <c r="B5976" s="43" t="s">
        <v>172</v>
      </c>
      <c r="C5976" s="43" t="s">
        <v>173</v>
      </c>
      <c r="D5976" s="44">
        <v>45968</v>
      </c>
      <c r="E5976" s="45">
        <v>270.6</v>
      </c>
    </row>
    <row r="5977" spans="2:5">
      <c r="B5977" s="43" t="s">
        <v>238</v>
      </c>
      <c r="C5977" s="43" t="s">
        <v>239</v>
      </c>
      <c r="D5977" s="44">
        <v>45968</v>
      </c>
      <c r="E5977" s="45">
        <v>201.6</v>
      </c>
    </row>
    <row r="5978" spans="2:5">
      <c r="B5978" s="43" t="s">
        <v>132</v>
      </c>
      <c r="C5978" s="43" t="s">
        <v>133</v>
      </c>
      <c r="D5978" s="44">
        <v>45968</v>
      </c>
      <c r="E5978" s="45">
        <v>123.6</v>
      </c>
    </row>
    <row r="5979" spans="2:5">
      <c r="B5979" s="43" t="s">
        <v>150</v>
      </c>
      <c r="C5979" s="43" t="s">
        <v>151</v>
      </c>
      <c r="D5979" s="44">
        <v>45968</v>
      </c>
      <c r="E5979" s="45">
        <v>54.1</v>
      </c>
    </row>
    <row r="5980" spans="2:5">
      <c r="B5980" s="43" t="s">
        <v>94</v>
      </c>
      <c r="C5980" s="43" t="s">
        <v>95</v>
      </c>
      <c r="D5980" s="44">
        <v>45968</v>
      </c>
      <c r="E5980" s="45">
        <v>609.7</v>
      </c>
    </row>
    <row r="5981" spans="2:5">
      <c r="B5981" s="43" t="s">
        <v>106</v>
      </c>
      <c r="C5981" s="43" t="s">
        <v>107</v>
      </c>
      <c r="D5981" s="44">
        <v>45968</v>
      </c>
      <c r="E5981" s="45">
        <v>7.7</v>
      </c>
    </row>
    <row r="5982" spans="2:5">
      <c r="B5982" s="43" t="s">
        <v>96</v>
      </c>
      <c r="C5982" s="43" t="s">
        <v>97</v>
      </c>
      <c r="D5982" s="44">
        <v>45968</v>
      </c>
      <c r="E5982" s="45">
        <v>18</v>
      </c>
    </row>
    <row r="5983" spans="2:5">
      <c r="B5983" s="43" t="s">
        <v>32</v>
      </c>
      <c r="C5983" s="43" t="s">
        <v>33</v>
      </c>
      <c r="D5983" s="44">
        <v>45968</v>
      </c>
      <c r="E5983" s="45">
        <v>8</v>
      </c>
    </row>
    <row r="5984" spans="2:5">
      <c r="B5984" s="43" t="s">
        <v>160</v>
      </c>
      <c r="C5984" s="43" t="s">
        <v>161</v>
      </c>
      <c r="D5984" s="44">
        <v>45968</v>
      </c>
      <c r="E5984" s="45">
        <v>2</v>
      </c>
    </row>
    <row r="5985" spans="2:5">
      <c r="B5985" s="43" t="s">
        <v>36</v>
      </c>
      <c r="C5985" s="43" t="s">
        <v>37</v>
      </c>
      <c r="D5985" s="44">
        <v>45968</v>
      </c>
      <c r="E5985" s="45">
        <v>10</v>
      </c>
    </row>
    <row r="5986" spans="2:5">
      <c r="B5986" s="43" t="s">
        <v>38</v>
      </c>
      <c r="C5986" s="43" t="s">
        <v>39</v>
      </c>
      <c r="D5986" s="44">
        <v>45968</v>
      </c>
      <c r="E5986" s="45">
        <v>12</v>
      </c>
    </row>
    <row r="5987" spans="2:5">
      <c r="B5987" s="43" t="s">
        <v>42</v>
      </c>
      <c r="C5987" s="43" t="s">
        <v>43</v>
      </c>
      <c r="D5987" s="44">
        <v>45971</v>
      </c>
      <c r="E5987" s="45">
        <v>272.25</v>
      </c>
    </row>
    <row r="5988" spans="2:5">
      <c r="B5988" s="43" t="s">
        <v>156</v>
      </c>
      <c r="C5988" s="43" t="s">
        <v>157</v>
      </c>
      <c r="D5988" s="44">
        <v>45971</v>
      </c>
      <c r="E5988" s="45">
        <v>358.8</v>
      </c>
    </row>
    <row r="5989" spans="2:5">
      <c r="B5989" s="43" t="s">
        <v>8</v>
      </c>
      <c r="C5989" s="43" t="s">
        <v>9</v>
      </c>
      <c r="D5989" s="44">
        <v>45971</v>
      </c>
      <c r="E5989" s="45">
        <v>174</v>
      </c>
    </row>
    <row r="5990" spans="2:5">
      <c r="B5990" s="43" t="s">
        <v>44</v>
      </c>
      <c r="C5990" s="43" t="s">
        <v>45</v>
      </c>
      <c r="D5990" s="44">
        <v>45971</v>
      </c>
      <c r="E5990" s="45">
        <v>8.5</v>
      </c>
    </row>
    <row r="5991" spans="2:5">
      <c r="B5991" s="43" t="s">
        <v>46</v>
      </c>
      <c r="C5991" s="43" t="s">
        <v>47</v>
      </c>
      <c r="D5991" s="44">
        <v>45971</v>
      </c>
      <c r="E5991" s="45">
        <v>395.5</v>
      </c>
    </row>
    <row r="5992" spans="2:5">
      <c r="B5992" s="43" t="s">
        <v>206</v>
      </c>
      <c r="C5992" s="43" t="s">
        <v>207</v>
      </c>
      <c r="D5992" s="44">
        <v>45971</v>
      </c>
      <c r="E5992" s="45">
        <v>60.6</v>
      </c>
    </row>
    <row r="5993" spans="2:5">
      <c r="B5993" s="43" t="s">
        <v>12</v>
      </c>
      <c r="C5993" s="43" t="s">
        <v>13</v>
      </c>
      <c r="D5993" s="44">
        <v>45971</v>
      </c>
      <c r="E5993" s="45">
        <v>96.6</v>
      </c>
    </row>
    <row r="5994" spans="2:5">
      <c r="B5994" s="43" t="s">
        <v>108</v>
      </c>
      <c r="C5994" s="43" t="s">
        <v>109</v>
      </c>
      <c r="D5994" s="44">
        <v>45971</v>
      </c>
      <c r="E5994" s="45">
        <v>527</v>
      </c>
    </row>
    <row r="5995" spans="2:5">
      <c r="B5995" s="43" t="s">
        <v>178</v>
      </c>
      <c r="C5995" s="43" t="s">
        <v>179</v>
      </c>
      <c r="D5995" s="44">
        <v>45971</v>
      </c>
      <c r="E5995" s="45">
        <v>54</v>
      </c>
    </row>
    <row r="5996" spans="2:5">
      <c r="B5996" s="43" t="s">
        <v>50</v>
      </c>
      <c r="C5996" s="43" t="s">
        <v>51</v>
      </c>
      <c r="D5996" s="44">
        <v>45971</v>
      </c>
      <c r="E5996" s="45">
        <v>258.4</v>
      </c>
    </row>
    <row r="5997" spans="2:5">
      <c r="B5997" s="43" t="s">
        <v>56</v>
      </c>
      <c r="C5997" s="43" t="s">
        <v>57</v>
      </c>
      <c r="D5997" s="44">
        <v>45971</v>
      </c>
      <c r="E5997" s="45">
        <v>325.8</v>
      </c>
    </row>
    <row r="5998" spans="2:5">
      <c r="B5998" s="43" t="s">
        <v>188</v>
      </c>
      <c r="C5998" s="43" t="s">
        <v>189</v>
      </c>
      <c r="D5998" s="44">
        <v>45971</v>
      </c>
      <c r="E5998" s="45">
        <v>46.2</v>
      </c>
    </row>
    <row r="5999" spans="2:5">
      <c r="B5999" s="43" t="s">
        <v>190</v>
      </c>
      <c r="C5999" s="43" t="s">
        <v>191</v>
      </c>
      <c r="D5999" s="44">
        <v>45971</v>
      </c>
      <c r="E5999" s="45">
        <v>432</v>
      </c>
    </row>
    <row r="6000" spans="2:5">
      <c r="B6000" s="43" t="s">
        <v>146</v>
      </c>
      <c r="C6000" s="43" t="s">
        <v>147</v>
      </c>
      <c r="D6000" s="44">
        <v>45971</v>
      </c>
      <c r="E6000" s="45">
        <v>81.4</v>
      </c>
    </row>
    <row r="6001" spans="2:5">
      <c r="B6001" s="43" t="s">
        <v>80</v>
      </c>
      <c r="C6001" s="43" t="s">
        <v>81</v>
      </c>
      <c r="D6001" s="44">
        <v>45971</v>
      </c>
      <c r="E6001" s="45">
        <v>861</v>
      </c>
    </row>
    <row r="6002" spans="2:5">
      <c r="B6002" s="43" t="s">
        <v>24</v>
      </c>
      <c r="C6002" s="43" t="s">
        <v>25</v>
      </c>
      <c r="D6002" s="44">
        <v>45971</v>
      </c>
      <c r="E6002" s="45">
        <v>1987.5</v>
      </c>
    </row>
    <row r="6003" spans="2:5">
      <c r="B6003" s="43" t="s">
        <v>58</v>
      </c>
      <c r="C6003" s="43" t="s">
        <v>59</v>
      </c>
      <c r="D6003" s="44">
        <v>45971</v>
      </c>
      <c r="E6003" s="45">
        <v>2230.2</v>
      </c>
    </row>
    <row r="6004" spans="2:5">
      <c r="B6004" s="43" t="s">
        <v>26</v>
      </c>
      <c r="C6004" s="43" t="s">
        <v>27</v>
      </c>
      <c r="D6004" s="44">
        <v>45971</v>
      </c>
      <c r="E6004" s="45">
        <v>2239.2</v>
      </c>
    </row>
    <row r="6005" spans="2:5">
      <c r="B6005" s="43" t="s">
        <v>28</v>
      </c>
      <c r="C6005" s="43" t="s">
        <v>29</v>
      </c>
      <c r="D6005" s="44">
        <v>45971</v>
      </c>
      <c r="E6005" s="45">
        <v>393.8</v>
      </c>
    </row>
    <row r="6006" spans="2:5">
      <c r="B6006" s="43" t="s">
        <v>82</v>
      </c>
      <c r="C6006" s="43" t="s">
        <v>83</v>
      </c>
      <c r="D6006" s="44">
        <v>45971</v>
      </c>
      <c r="E6006" s="45">
        <v>461.25</v>
      </c>
    </row>
    <row r="6007" spans="2:5">
      <c r="B6007" s="43" t="s">
        <v>62</v>
      </c>
      <c r="C6007" s="43" t="s">
        <v>63</v>
      </c>
      <c r="D6007" s="44">
        <v>45971</v>
      </c>
      <c r="E6007" s="45">
        <v>266.5</v>
      </c>
    </row>
    <row r="6008" spans="2:5">
      <c r="B6008" s="43" t="s">
        <v>90</v>
      </c>
      <c r="C6008" s="43" t="s">
        <v>91</v>
      </c>
      <c r="D6008" s="44">
        <v>45971</v>
      </c>
      <c r="E6008" s="45">
        <v>80.1</v>
      </c>
    </row>
    <row r="6009" spans="2:5">
      <c r="B6009" s="43" t="s">
        <v>64</v>
      </c>
      <c r="C6009" s="43" t="s">
        <v>65</v>
      </c>
      <c r="D6009" s="44">
        <v>45971</v>
      </c>
      <c r="E6009" s="45">
        <v>340</v>
      </c>
    </row>
    <row r="6010" spans="2:5">
      <c r="B6010" s="43" t="s">
        <v>92</v>
      </c>
      <c r="C6010" s="43" t="s">
        <v>93</v>
      </c>
      <c r="D6010" s="44">
        <v>45971</v>
      </c>
      <c r="E6010" s="45">
        <v>722</v>
      </c>
    </row>
    <row r="6011" spans="2:5">
      <c r="B6011" s="43" t="s">
        <v>106</v>
      </c>
      <c r="C6011" s="43" t="s">
        <v>107</v>
      </c>
      <c r="D6011" s="44">
        <v>45971</v>
      </c>
      <c r="E6011" s="45">
        <v>7.7</v>
      </c>
    </row>
    <row r="6012" spans="2:5">
      <c r="B6012" s="43" t="s">
        <v>142</v>
      </c>
      <c r="C6012" s="43" t="s">
        <v>143</v>
      </c>
      <c r="D6012" s="44">
        <v>45971</v>
      </c>
      <c r="E6012" s="45">
        <v>11</v>
      </c>
    </row>
    <row r="6013" spans="2:5">
      <c r="B6013" s="43" t="s">
        <v>96</v>
      </c>
      <c r="C6013" s="43" t="s">
        <v>97</v>
      </c>
      <c r="D6013" s="44">
        <v>45971</v>
      </c>
      <c r="E6013" s="45">
        <v>20</v>
      </c>
    </row>
    <row r="6014" spans="2:5">
      <c r="B6014" s="43" t="s">
        <v>32</v>
      </c>
      <c r="C6014" s="43" t="s">
        <v>33</v>
      </c>
      <c r="D6014" s="44">
        <v>45971</v>
      </c>
      <c r="E6014" s="45">
        <v>15</v>
      </c>
    </row>
    <row r="6015" spans="2:5">
      <c r="B6015" s="43" t="s">
        <v>36</v>
      </c>
      <c r="C6015" s="43" t="s">
        <v>37</v>
      </c>
      <c r="D6015" s="44">
        <v>45971</v>
      </c>
      <c r="E6015" s="45">
        <v>2</v>
      </c>
    </row>
    <row r="6016" spans="2:5">
      <c r="B6016" s="43" t="s">
        <v>38</v>
      </c>
      <c r="C6016" s="43" t="s">
        <v>39</v>
      </c>
      <c r="D6016" s="44">
        <v>45971</v>
      </c>
      <c r="E6016" s="45">
        <v>17</v>
      </c>
    </row>
    <row r="6017" spans="2:5">
      <c r="B6017" s="43" t="s">
        <v>156</v>
      </c>
      <c r="C6017" s="43" t="s">
        <v>157</v>
      </c>
      <c r="D6017" s="44">
        <v>45972</v>
      </c>
      <c r="E6017" s="45">
        <v>23.4</v>
      </c>
    </row>
    <row r="6018" spans="2:5">
      <c r="B6018" s="43" t="s">
        <v>8</v>
      </c>
      <c r="C6018" s="43" t="s">
        <v>9</v>
      </c>
      <c r="D6018" s="44">
        <v>45972</v>
      </c>
      <c r="E6018" s="45">
        <v>69.6</v>
      </c>
    </row>
    <row r="6019" spans="2:5">
      <c r="B6019" s="43" t="s">
        <v>44</v>
      </c>
      <c r="C6019" s="43" t="s">
        <v>45</v>
      </c>
      <c r="D6019" s="44">
        <v>45972</v>
      </c>
      <c r="E6019" s="45">
        <v>187</v>
      </c>
    </row>
    <row r="6020" spans="2:5">
      <c r="B6020" s="43" t="s">
        <v>46</v>
      </c>
      <c r="C6020" s="43" t="s">
        <v>47</v>
      </c>
      <c r="D6020" s="44">
        <v>45972</v>
      </c>
      <c r="E6020" s="45">
        <v>610.2</v>
      </c>
    </row>
    <row r="6021" spans="2:5">
      <c r="B6021" s="43" t="s">
        <v>10</v>
      </c>
      <c r="C6021" s="43" t="s">
        <v>11</v>
      </c>
      <c r="D6021" s="44">
        <v>45972</v>
      </c>
      <c r="E6021" s="45">
        <v>66.3</v>
      </c>
    </row>
    <row r="6022" spans="2:5">
      <c r="B6022" s="43" t="s">
        <v>12</v>
      </c>
      <c r="C6022" s="43" t="s">
        <v>13</v>
      </c>
      <c r="D6022" s="44">
        <v>45972</v>
      </c>
      <c r="E6022" s="45">
        <v>772.8</v>
      </c>
    </row>
    <row r="6023" spans="2:5">
      <c r="B6023" s="43" t="s">
        <v>14</v>
      </c>
      <c r="C6023" s="43" t="s">
        <v>15</v>
      </c>
      <c r="D6023" s="44">
        <v>45972</v>
      </c>
      <c r="E6023" s="45">
        <v>634.5</v>
      </c>
    </row>
    <row r="6024" spans="2:5">
      <c r="B6024" s="43" t="s">
        <v>138</v>
      </c>
      <c r="C6024" s="43" t="s">
        <v>139</v>
      </c>
      <c r="D6024" s="44">
        <v>45972</v>
      </c>
      <c r="E6024" s="45">
        <v>317</v>
      </c>
    </row>
    <row r="6025" spans="2:5">
      <c r="B6025" s="43" t="s">
        <v>126</v>
      </c>
      <c r="C6025" s="43" t="s">
        <v>127</v>
      </c>
      <c r="D6025" s="44">
        <v>45972</v>
      </c>
      <c r="E6025" s="45">
        <v>188.8</v>
      </c>
    </row>
    <row r="6026" spans="2:5">
      <c r="B6026" s="43" t="s">
        <v>76</v>
      </c>
      <c r="C6026" s="43" t="s">
        <v>77</v>
      </c>
      <c r="D6026" s="44">
        <v>45972</v>
      </c>
      <c r="E6026" s="45">
        <v>158.85</v>
      </c>
    </row>
    <row r="6027" spans="2:5">
      <c r="B6027" s="43" t="s">
        <v>16</v>
      </c>
      <c r="C6027" s="43" t="s">
        <v>17</v>
      </c>
      <c r="D6027" s="44">
        <v>45972</v>
      </c>
      <c r="E6027" s="45">
        <v>45.6</v>
      </c>
    </row>
    <row r="6028" spans="2:5">
      <c r="B6028" s="43" t="s">
        <v>192</v>
      </c>
      <c r="C6028" s="43" t="s">
        <v>193</v>
      </c>
      <c r="D6028" s="44">
        <v>45972</v>
      </c>
      <c r="E6028" s="45">
        <v>369.6</v>
      </c>
    </row>
    <row r="6029" spans="2:5">
      <c r="B6029" s="43" t="s">
        <v>78</v>
      </c>
      <c r="C6029" s="43" t="s">
        <v>79</v>
      </c>
      <c r="D6029" s="44">
        <v>45972</v>
      </c>
      <c r="E6029" s="45">
        <v>97.35</v>
      </c>
    </row>
    <row r="6030" spans="2:5">
      <c r="B6030" s="43" t="s">
        <v>20</v>
      </c>
      <c r="C6030" s="43" t="s">
        <v>21</v>
      </c>
      <c r="D6030" s="44">
        <v>45972</v>
      </c>
      <c r="E6030" s="45">
        <v>29.4</v>
      </c>
    </row>
    <row r="6031" spans="2:5">
      <c r="B6031" s="43" t="s">
        <v>22</v>
      </c>
      <c r="C6031" s="43" t="s">
        <v>23</v>
      </c>
      <c r="D6031" s="44">
        <v>45972</v>
      </c>
      <c r="E6031" s="45">
        <v>48</v>
      </c>
    </row>
    <row r="6032" spans="2:5">
      <c r="B6032" s="43" t="s">
        <v>24</v>
      </c>
      <c r="C6032" s="43" t="s">
        <v>25</v>
      </c>
      <c r="D6032" s="44">
        <v>45972</v>
      </c>
      <c r="E6032" s="45">
        <v>2210.1</v>
      </c>
    </row>
    <row r="6033" spans="2:5">
      <c r="B6033" s="43" t="s">
        <v>58</v>
      </c>
      <c r="C6033" s="43" t="s">
        <v>59</v>
      </c>
      <c r="D6033" s="44">
        <v>45972</v>
      </c>
      <c r="E6033" s="45">
        <v>230.1</v>
      </c>
    </row>
    <row r="6034" spans="2:5">
      <c r="B6034" s="43" t="s">
        <v>26</v>
      </c>
      <c r="C6034" s="43" t="s">
        <v>27</v>
      </c>
      <c r="D6034" s="44">
        <v>45972</v>
      </c>
      <c r="E6034" s="45">
        <v>2332.5</v>
      </c>
    </row>
    <row r="6035" spans="2:5">
      <c r="B6035" s="43" t="s">
        <v>28</v>
      </c>
      <c r="C6035" s="43" t="s">
        <v>29</v>
      </c>
      <c r="D6035" s="44">
        <v>45972</v>
      </c>
      <c r="E6035" s="45">
        <v>823.4</v>
      </c>
    </row>
    <row r="6036" spans="2:5">
      <c r="B6036" s="43" t="s">
        <v>62</v>
      </c>
      <c r="C6036" s="43" t="s">
        <v>63</v>
      </c>
      <c r="D6036" s="44">
        <v>45972</v>
      </c>
      <c r="E6036" s="45">
        <v>164</v>
      </c>
    </row>
    <row r="6037" spans="2:5">
      <c r="B6037" s="43" t="s">
        <v>64</v>
      </c>
      <c r="C6037" s="43" t="s">
        <v>65</v>
      </c>
      <c r="D6037" s="44">
        <v>45972</v>
      </c>
      <c r="E6037" s="45">
        <v>2020</v>
      </c>
    </row>
    <row r="6038" spans="2:5">
      <c r="B6038" s="43" t="s">
        <v>198</v>
      </c>
      <c r="C6038" s="43" t="s">
        <v>199</v>
      </c>
      <c r="D6038" s="44">
        <v>45972</v>
      </c>
      <c r="E6038" s="45">
        <v>23.1</v>
      </c>
    </row>
    <row r="6039" spans="2:5">
      <c r="B6039" s="43" t="s">
        <v>166</v>
      </c>
      <c r="C6039" s="43" t="s">
        <v>167</v>
      </c>
      <c r="D6039" s="44">
        <v>45972</v>
      </c>
      <c r="E6039" s="45">
        <v>129</v>
      </c>
    </row>
    <row r="6040" spans="2:5">
      <c r="B6040" s="43" t="s">
        <v>172</v>
      </c>
      <c r="C6040" s="43" t="s">
        <v>173</v>
      </c>
      <c r="D6040" s="44">
        <v>45972</v>
      </c>
      <c r="E6040" s="45">
        <v>45.1</v>
      </c>
    </row>
    <row r="6041" spans="2:5">
      <c r="B6041" s="43" t="s">
        <v>94</v>
      </c>
      <c r="C6041" s="43" t="s">
        <v>95</v>
      </c>
      <c r="D6041" s="44">
        <v>45972</v>
      </c>
      <c r="E6041" s="45">
        <v>46.9</v>
      </c>
    </row>
    <row r="6042" spans="2:5">
      <c r="B6042" s="43" t="s">
        <v>106</v>
      </c>
      <c r="C6042" s="43" t="s">
        <v>107</v>
      </c>
      <c r="D6042" s="44">
        <v>45972</v>
      </c>
      <c r="E6042" s="45">
        <v>30.8</v>
      </c>
    </row>
    <row r="6043" spans="2:5">
      <c r="B6043" s="43" t="s">
        <v>142</v>
      </c>
      <c r="C6043" s="43" t="s">
        <v>143</v>
      </c>
      <c r="D6043" s="44">
        <v>45972</v>
      </c>
      <c r="E6043" s="45">
        <v>28</v>
      </c>
    </row>
    <row r="6044" spans="2:5">
      <c r="B6044" s="43" t="s">
        <v>96</v>
      </c>
      <c r="C6044" s="43" t="s">
        <v>97</v>
      </c>
      <c r="D6044" s="44">
        <v>45972</v>
      </c>
      <c r="E6044" s="45">
        <v>105</v>
      </c>
    </row>
    <row r="6045" spans="2:5">
      <c r="B6045" s="43" t="s">
        <v>32</v>
      </c>
      <c r="C6045" s="43" t="s">
        <v>33</v>
      </c>
      <c r="D6045" s="44">
        <v>45972</v>
      </c>
      <c r="E6045" s="45">
        <v>4</v>
      </c>
    </row>
    <row r="6046" spans="2:5">
      <c r="B6046" s="43" t="s">
        <v>38</v>
      </c>
      <c r="C6046" s="43" t="s">
        <v>39</v>
      </c>
      <c r="D6046" s="44">
        <v>45972</v>
      </c>
      <c r="E6046" s="45">
        <v>8</v>
      </c>
    </row>
    <row r="6047" spans="2:5">
      <c r="B6047" s="43" t="s">
        <v>8</v>
      </c>
      <c r="C6047" s="43" t="s">
        <v>9</v>
      </c>
      <c r="D6047" s="44">
        <v>45973</v>
      </c>
      <c r="E6047" s="45">
        <v>17.4</v>
      </c>
    </row>
    <row r="6048" spans="2:5">
      <c r="B6048" s="43" t="s">
        <v>46</v>
      </c>
      <c r="C6048" s="43" t="s">
        <v>47</v>
      </c>
      <c r="D6048" s="44">
        <v>45973</v>
      </c>
      <c r="E6048" s="45">
        <v>632.8</v>
      </c>
    </row>
    <row r="6049" spans="2:5">
      <c r="B6049" s="43" t="s">
        <v>10</v>
      </c>
      <c r="C6049" s="43" t="s">
        <v>11</v>
      </c>
      <c r="D6049" s="44">
        <v>45973</v>
      </c>
      <c r="E6049" s="45">
        <v>176.8</v>
      </c>
    </row>
    <row r="6050" spans="2:5">
      <c r="B6050" s="43" t="s">
        <v>12</v>
      </c>
      <c r="C6050" s="43" t="s">
        <v>13</v>
      </c>
      <c r="D6050" s="44">
        <v>45973</v>
      </c>
      <c r="E6050" s="45">
        <v>483</v>
      </c>
    </row>
    <row r="6051" spans="2:5">
      <c r="B6051" s="43" t="s">
        <v>48</v>
      </c>
      <c r="C6051" s="43" t="s">
        <v>49</v>
      </c>
      <c r="D6051" s="44">
        <v>45973</v>
      </c>
      <c r="E6051" s="45">
        <v>63</v>
      </c>
    </row>
    <row r="6052" spans="2:5">
      <c r="B6052" s="43" t="s">
        <v>14</v>
      </c>
      <c r="C6052" s="43" t="s">
        <v>15</v>
      </c>
      <c r="D6052" s="44">
        <v>45973</v>
      </c>
      <c r="E6052" s="45">
        <v>634.5</v>
      </c>
    </row>
    <row r="6053" spans="2:5">
      <c r="B6053" s="43" t="s">
        <v>50</v>
      </c>
      <c r="C6053" s="43" t="s">
        <v>51</v>
      </c>
      <c r="D6053" s="44">
        <v>45973</v>
      </c>
      <c r="E6053" s="45">
        <v>1591.2</v>
      </c>
    </row>
    <row r="6054" spans="2:5">
      <c r="B6054" s="43" t="s">
        <v>138</v>
      </c>
      <c r="C6054" s="43" t="s">
        <v>139</v>
      </c>
      <c r="D6054" s="44">
        <v>45973</v>
      </c>
      <c r="E6054" s="45">
        <v>158.5</v>
      </c>
    </row>
    <row r="6055" spans="2:5">
      <c r="B6055" s="43" t="s">
        <v>54</v>
      </c>
      <c r="C6055" s="43" t="s">
        <v>55</v>
      </c>
      <c r="D6055" s="44">
        <v>45973</v>
      </c>
      <c r="E6055" s="45">
        <v>877.8</v>
      </c>
    </row>
    <row r="6056" spans="2:5">
      <c r="B6056" s="43" t="s">
        <v>56</v>
      </c>
      <c r="C6056" s="43" t="s">
        <v>57</v>
      </c>
      <c r="D6056" s="44">
        <v>45973</v>
      </c>
      <c r="E6056" s="45">
        <v>199.1</v>
      </c>
    </row>
    <row r="6057" spans="2:5">
      <c r="B6057" s="43" t="s">
        <v>18</v>
      </c>
      <c r="C6057" s="43" t="s">
        <v>19</v>
      </c>
      <c r="D6057" s="44">
        <v>45973</v>
      </c>
      <c r="E6057" s="45">
        <v>178</v>
      </c>
    </row>
    <row r="6058" spans="2:5">
      <c r="B6058" s="43" t="s">
        <v>78</v>
      </c>
      <c r="C6058" s="43" t="s">
        <v>79</v>
      </c>
      <c r="D6058" s="44">
        <v>45973</v>
      </c>
      <c r="E6058" s="45">
        <v>486.75</v>
      </c>
    </row>
    <row r="6059" spans="2:5">
      <c r="B6059" s="43" t="s">
        <v>22</v>
      </c>
      <c r="C6059" s="43" t="s">
        <v>23</v>
      </c>
      <c r="D6059" s="44">
        <v>45973</v>
      </c>
      <c r="E6059" s="45">
        <v>83.1</v>
      </c>
    </row>
    <row r="6060" spans="2:5">
      <c r="B6060" s="43" t="s">
        <v>24</v>
      </c>
      <c r="C6060" s="43" t="s">
        <v>25</v>
      </c>
      <c r="D6060" s="44">
        <v>45973</v>
      </c>
      <c r="E6060" s="45">
        <v>2607.6</v>
      </c>
    </row>
    <row r="6061" spans="2:5">
      <c r="B6061" s="43" t="s">
        <v>26</v>
      </c>
      <c r="C6061" s="43" t="s">
        <v>27</v>
      </c>
      <c r="D6061" s="44">
        <v>45973</v>
      </c>
      <c r="E6061" s="45">
        <v>2970.05</v>
      </c>
    </row>
    <row r="6062" spans="2:5">
      <c r="B6062" s="43" t="s">
        <v>62</v>
      </c>
      <c r="C6062" s="43" t="s">
        <v>63</v>
      </c>
      <c r="D6062" s="44">
        <v>45973</v>
      </c>
      <c r="E6062" s="45">
        <v>20.5</v>
      </c>
    </row>
    <row r="6063" spans="2:5">
      <c r="B6063" s="43" t="s">
        <v>64</v>
      </c>
      <c r="C6063" s="43" t="s">
        <v>65</v>
      </c>
      <c r="D6063" s="44">
        <v>45973</v>
      </c>
      <c r="E6063" s="45">
        <v>4840</v>
      </c>
    </row>
    <row r="6064" spans="2:5">
      <c r="B6064" s="43" t="s">
        <v>96</v>
      </c>
      <c r="C6064" s="43" t="s">
        <v>97</v>
      </c>
      <c r="D6064" s="44">
        <v>45973</v>
      </c>
      <c r="E6064" s="45">
        <v>67</v>
      </c>
    </row>
    <row r="6065" spans="2:5">
      <c r="B6065" s="43" t="s">
        <v>32</v>
      </c>
      <c r="C6065" s="43" t="s">
        <v>33</v>
      </c>
      <c r="D6065" s="44">
        <v>45973</v>
      </c>
      <c r="E6065" s="45">
        <v>3</v>
      </c>
    </row>
    <row r="6066" spans="2:5">
      <c r="B6066" s="43" t="s">
        <v>160</v>
      </c>
      <c r="C6066" s="43" t="s">
        <v>161</v>
      </c>
      <c r="D6066" s="44">
        <v>45973</v>
      </c>
      <c r="E6066" s="45">
        <v>2</v>
      </c>
    </row>
    <row r="6067" spans="2:5">
      <c r="B6067" s="43" t="s">
        <v>34</v>
      </c>
      <c r="C6067" s="43" t="s">
        <v>35</v>
      </c>
      <c r="D6067" s="44">
        <v>45973</v>
      </c>
      <c r="E6067" s="45">
        <v>2</v>
      </c>
    </row>
    <row r="6068" spans="2:5">
      <c r="B6068" s="43" t="s">
        <v>36</v>
      </c>
      <c r="C6068" s="43" t="s">
        <v>37</v>
      </c>
      <c r="D6068" s="44">
        <v>45973</v>
      </c>
      <c r="E6068" s="45">
        <v>1</v>
      </c>
    </row>
    <row r="6069" spans="2:5">
      <c r="B6069" s="43" t="s">
        <v>156</v>
      </c>
      <c r="C6069" s="43" t="s">
        <v>157</v>
      </c>
      <c r="D6069" s="44">
        <v>45974</v>
      </c>
      <c r="E6069" s="45">
        <v>23.4</v>
      </c>
    </row>
    <row r="6070" spans="2:5">
      <c r="B6070" s="43" t="s">
        <v>8</v>
      </c>
      <c r="C6070" s="43" t="s">
        <v>9</v>
      </c>
      <c r="D6070" s="44">
        <v>45974</v>
      </c>
      <c r="E6070" s="45">
        <v>43.5</v>
      </c>
    </row>
    <row r="6071" spans="2:5">
      <c r="B6071" s="43" t="s">
        <v>44</v>
      </c>
      <c r="C6071" s="43" t="s">
        <v>45</v>
      </c>
      <c r="D6071" s="44">
        <v>45974</v>
      </c>
      <c r="E6071" s="45">
        <v>25.5</v>
      </c>
    </row>
    <row r="6072" spans="2:5">
      <c r="B6072" s="43" t="s">
        <v>46</v>
      </c>
      <c r="C6072" s="43" t="s">
        <v>47</v>
      </c>
      <c r="D6072" s="44">
        <v>45974</v>
      </c>
      <c r="E6072" s="45">
        <v>158.2</v>
      </c>
    </row>
    <row r="6073" spans="2:5">
      <c r="B6073" s="43" t="s">
        <v>206</v>
      </c>
      <c r="C6073" s="43" t="s">
        <v>207</v>
      </c>
      <c r="D6073" s="44">
        <v>45974</v>
      </c>
      <c r="E6073" s="45">
        <v>60.6</v>
      </c>
    </row>
    <row r="6074" spans="2:5">
      <c r="B6074" s="43" t="s">
        <v>12</v>
      </c>
      <c r="C6074" s="43" t="s">
        <v>13</v>
      </c>
      <c r="D6074" s="44">
        <v>45974</v>
      </c>
      <c r="E6074" s="45">
        <v>234.6</v>
      </c>
    </row>
    <row r="6075" spans="2:5">
      <c r="B6075" s="43" t="s">
        <v>14</v>
      </c>
      <c r="C6075" s="43" t="s">
        <v>15</v>
      </c>
      <c r="D6075" s="44">
        <v>45974</v>
      </c>
      <c r="E6075" s="45">
        <v>405</v>
      </c>
    </row>
    <row r="6076" spans="2:5">
      <c r="B6076" s="43" t="s">
        <v>50</v>
      </c>
      <c r="C6076" s="43" t="s">
        <v>51</v>
      </c>
      <c r="D6076" s="44">
        <v>45974</v>
      </c>
      <c r="E6076" s="45">
        <v>13.6</v>
      </c>
    </row>
    <row r="6077" spans="2:5">
      <c r="B6077" s="43" t="s">
        <v>114</v>
      </c>
      <c r="C6077" s="43" t="s">
        <v>115</v>
      </c>
      <c r="D6077" s="44">
        <v>45974</v>
      </c>
      <c r="E6077" s="45">
        <v>266</v>
      </c>
    </row>
    <row r="6078" spans="2:5">
      <c r="B6078" s="43" t="s">
        <v>138</v>
      </c>
      <c r="C6078" s="43" t="s">
        <v>139</v>
      </c>
      <c r="D6078" s="44">
        <v>45974</v>
      </c>
      <c r="E6078" s="45">
        <v>269.45</v>
      </c>
    </row>
    <row r="6079" spans="2:5">
      <c r="B6079" s="43" t="s">
        <v>54</v>
      </c>
      <c r="C6079" s="43" t="s">
        <v>55</v>
      </c>
      <c r="D6079" s="44">
        <v>45974</v>
      </c>
      <c r="E6079" s="45">
        <v>79.8</v>
      </c>
    </row>
    <row r="6080" spans="2:5">
      <c r="B6080" s="43" t="s">
        <v>176</v>
      </c>
      <c r="C6080" s="43" t="s">
        <v>177</v>
      </c>
      <c r="D6080" s="44">
        <v>45974</v>
      </c>
      <c r="E6080" s="45">
        <v>40.5</v>
      </c>
    </row>
    <row r="6081" spans="2:5">
      <c r="B6081" s="43" t="s">
        <v>76</v>
      </c>
      <c r="C6081" s="43" t="s">
        <v>77</v>
      </c>
      <c r="D6081" s="44">
        <v>45974</v>
      </c>
      <c r="E6081" s="45">
        <v>370.65</v>
      </c>
    </row>
    <row r="6082" spans="2:5">
      <c r="B6082" s="43" t="s">
        <v>152</v>
      </c>
      <c r="C6082" s="43" t="s">
        <v>153</v>
      </c>
      <c r="D6082" s="44">
        <v>45974</v>
      </c>
      <c r="E6082" s="45">
        <v>93</v>
      </c>
    </row>
    <row r="6083" spans="2:5">
      <c r="B6083" s="43" t="s">
        <v>78</v>
      </c>
      <c r="C6083" s="43" t="s">
        <v>79</v>
      </c>
      <c r="D6083" s="44">
        <v>45974</v>
      </c>
      <c r="E6083" s="45">
        <v>238.95</v>
      </c>
    </row>
    <row r="6084" spans="2:5">
      <c r="B6084" s="43" t="s">
        <v>22</v>
      </c>
      <c r="C6084" s="43" t="s">
        <v>23</v>
      </c>
      <c r="D6084" s="44">
        <v>45974</v>
      </c>
      <c r="E6084" s="45">
        <v>9.6</v>
      </c>
    </row>
    <row r="6085" spans="2:5">
      <c r="B6085" s="43" t="s">
        <v>24</v>
      </c>
      <c r="C6085" s="43" t="s">
        <v>25</v>
      </c>
      <c r="D6085" s="44">
        <v>45974</v>
      </c>
      <c r="E6085" s="45">
        <v>969.9</v>
      </c>
    </row>
    <row r="6086" spans="2:5">
      <c r="B6086" s="43" t="s">
        <v>26</v>
      </c>
      <c r="C6086" s="43" t="s">
        <v>27</v>
      </c>
      <c r="D6086" s="44">
        <v>45974</v>
      </c>
      <c r="E6086" s="45">
        <v>1881.55</v>
      </c>
    </row>
    <row r="6087" spans="2:5">
      <c r="B6087" s="43" t="s">
        <v>28</v>
      </c>
      <c r="C6087" s="43" t="s">
        <v>29</v>
      </c>
      <c r="D6087" s="44">
        <v>45974</v>
      </c>
      <c r="E6087" s="45">
        <v>53.7</v>
      </c>
    </row>
    <row r="6088" spans="2:5">
      <c r="B6088" s="43" t="s">
        <v>62</v>
      </c>
      <c r="C6088" s="43" t="s">
        <v>63</v>
      </c>
      <c r="D6088" s="44">
        <v>45974</v>
      </c>
      <c r="E6088" s="45">
        <v>410</v>
      </c>
    </row>
    <row r="6089" spans="2:5">
      <c r="B6089" s="43" t="s">
        <v>148</v>
      </c>
      <c r="C6089" s="43" t="s">
        <v>149</v>
      </c>
      <c r="D6089" s="44">
        <v>45974</v>
      </c>
      <c r="E6089" s="45">
        <v>1145</v>
      </c>
    </row>
    <row r="6090" spans="2:5">
      <c r="B6090" s="43" t="s">
        <v>64</v>
      </c>
      <c r="C6090" s="43" t="s">
        <v>65</v>
      </c>
      <c r="D6090" s="44">
        <v>45974</v>
      </c>
      <c r="E6090" s="45">
        <v>780</v>
      </c>
    </row>
    <row r="6091" spans="2:5">
      <c r="B6091" s="43" t="s">
        <v>172</v>
      </c>
      <c r="C6091" s="43" t="s">
        <v>173</v>
      </c>
      <c r="D6091" s="44">
        <v>45974</v>
      </c>
      <c r="E6091" s="45">
        <v>22.55</v>
      </c>
    </row>
    <row r="6092" spans="2:5">
      <c r="B6092" s="43" t="s">
        <v>68</v>
      </c>
      <c r="C6092" s="43" t="s">
        <v>69</v>
      </c>
      <c r="D6092" s="44">
        <v>45974</v>
      </c>
      <c r="E6092" s="45">
        <v>143.6</v>
      </c>
    </row>
    <row r="6093" spans="2:5">
      <c r="B6093" s="43" t="s">
        <v>106</v>
      </c>
      <c r="C6093" s="43" t="s">
        <v>107</v>
      </c>
      <c r="D6093" s="44">
        <v>45974</v>
      </c>
      <c r="E6093" s="45">
        <v>15.4</v>
      </c>
    </row>
    <row r="6094" spans="2:5">
      <c r="B6094" s="43" t="s">
        <v>142</v>
      </c>
      <c r="C6094" s="43" t="s">
        <v>143</v>
      </c>
      <c r="D6094" s="44">
        <v>45974</v>
      </c>
      <c r="E6094" s="45">
        <v>15</v>
      </c>
    </row>
    <row r="6095" spans="2:5">
      <c r="B6095" s="43" t="s">
        <v>96</v>
      </c>
      <c r="C6095" s="43" t="s">
        <v>97</v>
      </c>
      <c r="D6095" s="44">
        <v>45974</v>
      </c>
      <c r="E6095" s="45">
        <v>44</v>
      </c>
    </row>
    <row r="6096" spans="2:5">
      <c r="B6096" s="43" t="s">
        <v>32</v>
      </c>
      <c r="C6096" s="43" t="s">
        <v>33</v>
      </c>
      <c r="D6096" s="44">
        <v>45974</v>
      </c>
      <c r="E6096" s="45">
        <v>6</v>
      </c>
    </row>
    <row r="6097" spans="2:5">
      <c r="B6097" s="43" t="s">
        <v>36</v>
      </c>
      <c r="C6097" s="43" t="s">
        <v>37</v>
      </c>
      <c r="D6097" s="44">
        <v>45974</v>
      </c>
      <c r="E6097" s="45">
        <v>10</v>
      </c>
    </row>
    <row r="6098" spans="2:5">
      <c r="B6098" s="43" t="s">
        <v>38</v>
      </c>
      <c r="C6098" s="43" t="s">
        <v>39</v>
      </c>
      <c r="D6098" s="44">
        <v>45974</v>
      </c>
      <c r="E6098" s="45">
        <v>83</v>
      </c>
    </row>
    <row r="6099" spans="2:5">
      <c r="B6099" s="43" t="s">
        <v>42</v>
      </c>
      <c r="C6099" s="43" t="s">
        <v>43</v>
      </c>
      <c r="D6099" s="44">
        <v>45975</v>
      </c>
      <c r="E6099" s="45">
        <v>417.45</v>
      </c>
    </row>
    <row r="6100" spans="2:5">
      <c r="B6100" s="43" t="s">
        <v>4</v>
      </c>
      <c r="C6100" s="43" t="s">
        <v>5</v>
      </c>
      <c r="D6100" s="44">
        <v>45975</v>
      </c>
      <c r="E6100" s="45">
        <v>87.1</v>
      </c>
    </row>
    <row r="6101" spans="2:5">
      <c r="B6101" s="43" t="s">
        <v>156</v>
      </c>
      <c r="C6101" s="43" t="s">
        <v>157</v>
      </c>
      <c r="D6101" s="44">
        <v>45975</v>
      </c>
      <c r="E6101" s="45">
        <v>655.2</v>
      </c>
    </row>
    <row r="6102" spans="2:5">
      <c r="B6102" s="43" t="s">
        <v>8</v>
      </c>
      <c r="C6102" s="43" t="s">
        <v>9</v>
      </c>
      <c r="D6102" s="44">
        <v>45975</v>
      </c>
      <c r="E6102" s="45">
        <v>113.1</v>
      </c>
    </row>
    <row r="6103" spans="2:5">
      <c r="B6103" s="43" t="s">
        <v>72</v>
      </c>
      <c r="C6103" s="43" t="s">
        <v>73</v>
      </c>
      <c r="D6103" s="44">
        <v>45975</v>
      </c>
      <c r="E6103" s="45">
        <v>20.4</v>
      </c>
    </row>
    <row r="6104" spans="2:5">
      <c r="B6104" s="43" t="s">
        <v>46</v>
      </c>
      <c r="C6104" s="43" t="s">
        <v>47</v>
      </c>
      <c r="D6104" s="44">
        <v>45975</v>
      </c>
      <c r="E6104" s="45">
        <v>858.8</v>
      </c>
    </row>
    <row r="6105" spans="2:5">
      <c r="B6105" s="43" t="s">
        <v>10</v>
      </c>
      <c r="C6105" s="43" t="s">
        <v>11</v>
      </c>
      <c r="D6105" s="44">
        <v>45975</v>
      </c>
      <c r="E6105" s="45">
        <v>187.85</v>
      </c>
    </row>
    <row r="6106" spans="2:5">
      <c r="B6106" s="43" t="s">
        <v>74</v>
      </c>
      <c r="C6106" s="43" t="s">
        <v>75</v>
      </c>
      <c r="D6106" s="44">
        <v>45975</v>
      </c>
      <c r="E6106" s="45">
        <v>2116.5</v>
      </c>
    </row>
    <row r="6107" spans="2:5">
      <c r="B6107" s="43" t="s">
        <v>12</v>
      </c>
      <c r="C6107" s="43" t="s">
        <v>13</v>
      </c>
      <c r="D6107" s="44">
        <v>45975</v>
      </c>
      <c r="E6107" s="45">
        <v>427.8</v>
      </c>
    </row>
    <row r="6108" spans="2:5">
      <c r="B6108" s="43" t="s">
        <v>14</v>
      </c>
      <c r="C6108" s="43" t="s">
        <v>15</v>
      </c>
      <c r="D6108" s="44">
        <v>45975</v>
      </c>
      <c r="E6108" s="45">
        <v>216</v>
      </c>
    </row>
    <row r="6109" spans="2:5">
      <c r="B6109" s="43" t="s">
        <v>134</v>
      </c>
      <c r="C6109" s="43" t="s">
        <v>135</v>
      </c>
      <c r="D6109" s="44">
        <v>45975</v>
      </c>
      <c r="E6109" s="45">
        <v>367.5</v>
      </c>
    </row>
    <row r="6110" spans="2:5">
      <c r="B6110" s="43" t="s">
        <v>50</v>
      </c>
      <c r="C6110" s="43" t="s">
        <v>51</v>
      </c>
      <c r="D6110" s="44">
        <v>45975</v>
      </c>
      <c r="E6110" s="45">
        <v>367.2</v>
      </c>
    </row>
    <row r="6111" spans="2:5">
      <c r="B6111" s="43" t="s">
        <v>144</v>
      </c>
      <c r="C6111" s="43" t="s">
        <v>145</v>
      </c>
      <c r="D6111" s="44">
        <v>45975</v>
      </c>
      <c r="E6111" s="45">
        <v>1053</v>
      </c>
    </row>
    <row r="6112" spans="2:5">
      <c r="B6112" s="43" t="s">
        <v>54</v>
      </c>
      <c r="C6112" s="43" t="s">
        <v>55</v>
      </c>
      <c r="D6112" s="44">
        <v>45975</v>
      </c>
      <c r="E6112" s="45">
        <v>26.6</v>
      </c>
    </row>
    <row r="6113" spans="2:5">
      <c r="B6113" s="43" t="s">
        <v>176</v>
      </c>
      <c r="C6113" s="43" t="s">
        <v>177</v>
      </c>
      <c r="D6113" s="44">
        <v>45975</v>
      </c>
      <c r="E6113" s="45">
        <v>81</v>
      </c>
    </row>
    <row r="6114" spans="2:5">
      <c r="B6114" s="43" t="s">
        <v>16</v>
      </c>
      <c r="C6114" s="43" t="s">
        <v>17</v>
      </c>
      <c r="D6114" s="44">
        <v>45975</v>
      </c>
      <c r="E6114" s="45">
        <v>319.2</v>
      </c>
    </row>
    <row r="6115" spans="2:5">
      <c r="B6115" s="43" t="s">
        <v>130</v>
      </c>
      <c r="C6115" s="43" t="s">
        <v>131</v>
      </c>
      <c r="D6115" s="44">
        <v>45975</v>
      </c>
      <c r="E6115" s="45">
        <v>413.6</v>
      </c>
    </row>
    <row r="6116" spans="2:5">
      <c r="B6116" s="43" t="s">
        <v>78</v>
      </c>
      <c r="C6116" s="43" t="s">
        <v>79</v>
      </c>
      <c r="D6116" s="44">
        <v>45975</v>
      </c>
      <c r="E6116" s="45">
        <v>8.85</v>
      </c>
    </row>
    <row r="6117" spans="2:5">
      <c r="B6117" s="43" t="s">
        <v>80</v>
      </c>
      <c r="C6117" s="43" t="s">
        <v>81</v>
      </c>
      <c r="D6117" s="44">
        <v>45975</v>
      </c>
      <c r="E6117" s="45">
        <v>3339.05</v>
      </c>
    </row>
    <row r="6118" spans="2:5">
      <c r="B6118" s="43" t="s">
        <v>24</v>
      </c>
      <c r="C6118" s="43" t="s">
        <v>25</v>
      </c>
      <c r="D6118" s="44">
        <v>45975</v>
      </c>
      <c r="E6118" s="45">
        <v>2178.3</v>
      </c>
    </row>
    <row r="6119" spans="2:5">
      <c r="B6119" s="43" t="s">
        <v>58</v>
      </c>
      <c r="C6119" s="43" t="s">
        <v>59</v>
      </c>
      <c r="D6119" s="44">
        <v>45975</v>
      </c>
      <c r="E6119" s="45">
        <v>1649.3</v>
      </c>
    </row>
    <row r="6120" spans="2:5">
      <c r="B6120" s="43" t="s">
        <v>26</v>
      </c>
      <c r="C6120" s="43" t="s">
        <v>27</v>
      </c>
      <c r="D6120" s="44">
        <v>45975</v>
      </c>
      <c r="E6120" s="45">
        <v>870.8</v>
      </c>
    </row>
    <row r="6121" spans="2:5">
      <c r="B6121" s="43" t="s">
        <v>110</v>
      </c>
      <c r="C6121" s="43" t="s">
        <v>111</v>
      </c>
      <c r="D6121" s="44">
        <v>45975</v>
      </c>
      <c r="E6121" s="45">
        <v>396</v>
      </c>
    </row>
    <row r="6122" spans="2:5">
      <c r="B6122" s="43" t="s">
        <v>60</v>
      </c>
      <c r="C6122" s="43" t="s">
        <v>61</v>
      </c>
      <c r="D6122" s="44">
        <v>45975</v>
      </c>
      <c r="E6122" s="45">
        <v>494.1</v>
      </c>
    </row>
    <row r="6123" spans="2:5">
      <c r="B6123" s="43" t="s">
        <v>28</v>
      </c>
      <c r="C6123" s="43" t="s">
        <v>29</v>
      </c>
      <c r="D6123" s="44">
        <v>45975</v>
      </c>
      <c r="E6123" s="45">
        <v>196.9</v>
      </c>
    </row>
    <row r="6124" spans="2:5">
      <c r="B6124" s="43" t="s">
        <v>62</v>
      </c>
      <c r="C6124" s="43" t="s">
        <v>63</v>
      </c>
      <c r="D6124" s="44">
        <v>45975</v>
      </c>
      <c r="E6124" s="45">
        <v>102.5</v>
      </c>
    </row>
    <row r="6125" spans="2:5">
      <c r="B6125" s="43" t="s">
        <v>148</v>
      </c>
      <c r="C6125" s="43" t="s">
        <v>149</v>
      </c>
      <c r="D6125" s="44">
        <v>45975</v>
      </c>
      <c r="E6125" s="45">
        <v>206.1</v>
      </c>
    </row>
    <row r="6126" spans="2:5">
      <c r="B6126" s="43" t="s">
        <v>64</v>
      </c>
      <c r="C6126" s="43" t="s">
        <v>65</v>
      </c>
      <c r="D6126" s="44">
        <v>45975</v>
      </c>
      <c r="E6126" s="45">
        <v>1520</v>
      </c>
    </row>
    <row r="6127" spans="2:5">
      <c r="B6127" s="43" t="s">
        <v>66</v>
      </c>
      <c r="C6127" s="43" t="s">
        <v>67</v>
      </c>
      <c r="D6127" s="44">
        <v>45975</v>
      </c>
      <c r="E6127" s="45">
        <v>27.7</v>
      </c>
    </row>
    <row r="6128" spans="2:5">
      <c r="B6128" s="43" t="s">
        <v>94</v>
      </c>
      <c r="C6128" s="43" t="s">
        <v>95</v>
      </c>
      <c r="D6128" s="44">
        <v>45975</v>
      </c>
      <c r="E6128" s="45">
        <v>286.8</v>
      </c>
    </row>
    <row r="6129" spans="2:5">
      <c r="B6129" s="43" t="s">
        <v>142</v>
      </c>
      <c r="C6129" s="43" t="s">
        <v>143</v>
      </c>
      <c r="D6129" s="44">
        <v>45975</v>
      </c>
      <c r="E6129" s="45">
        <v>20</v>
      </c>
    </row>
    <row r="6130" spans="2:5">
      <c r="B6130" s="43" t="s">
        <v>96</v>
      </c>
      <c r="C6130" s="43" t="s">
        <v>97</v>
      </c>
      <c r="D6130" s="44">
        <v>45975</v>
      </c>
      <c r="E6130" s="45">
        <v>16</v>
      </c>
    </row>
    <row r="6131" spans="2:5">
      <c r="B6131" s="43" t="s">
        <v>32</v>
      </c>
      <c r="C6131" s="43" t="s">
        <v>33</v>
      </c>
      <c r="D6131" s="44">
        <v>45975</v>
      </c>
      <c r="E6131" s="45">
        <v>8</v>
      </c>
    </row>
    <row r="6132" spans="2:5">
      <c r="B6132" s="43" t="s">
        <v>160</v>
      </c>
      <c r="C6132" s="43" t="s">
        <v>161</v>
      </c>
      <c r="D6132" s="44">
        <v>45975</v>
      </c>
      <c r="E6132" s="45">
        <v>2</v>
      </c>
    </row>
    <row r="6133" spans="2:5">
      <c r="B6133" s="43" t="s">
        <v>34</v>
      </c>
      <c r="C6133" s="43" t="s">
        <v>35</v>
      </c>
      <c r="D6133" s="44">
        <v>45975</v>
      </c>
      <c r="E6133" s="45">
        <v>3</v>
      </c>
    </row>
    <row r="6134" spans="2:5">
      <c r="B6134" s="43" t="s">
        <v>36</v>
      </c>
      <c r="C6134" s="43" t="s">
        <v>37</v>
      </c>
      <c r="D6134" s="44">
        <v>45975</v>
      </c>
      <c r="E6134" s="45">
        <v>1</v>
      </c>
    </row>
    <row r="6135" spans="2:5">
      <c r="B6135" s="43" t="s">
        <v>42</v>
      </c>
      <c r="C6135" s="43" t="s">
        <v>43</v>
      </c>
      <c r="D6135" s="44">
        <v>45978</v>
      </c>
      <c r="E6135" s="45">
        <v>36.3</v>
      </c>
    </row>
    <row r="6136" spans="2:5">
      <c r="B6136" s="43" t="s">
        <v>4</v>
      </c>
      <c r="C6136" s="43" t="s">
        <v>5</v>
      </c>
      <c r="D6136" s="44">
        <v>45978</v>
      </c>
      <c r="E6136" s="45">
        <v>6.7</v>
      </c>
    </row>
    <row r="6137" spans="2:5">
      <c r="B6137" s="43" t="s">
        <v>156</v>
      </c>
      <c r="C6137" s="43" t="s">
        <v>157</v>
      </c>
      <c r="D6137" s="44">
        <v>45978</v>
      </c>
      <c r="E6137" s="45">
        <v>210.6</v>
      </c>
    </row>
    <row r="6138" spans="2:5">
      <c r="B6138" s="43" t="s">
        <v>8</v>
      </c>
      <c r="C6138" s="43" t="s">
        <v>9</v>
      </c>
      <c r="D6138" s="44">
        <v>45978</v>
      </c>
      <c r="E6138" s="45">
        <v>443.7</v>
      </c>
    </row>
    <row r="6139" spans="2:5">
      <c r="B6139" s="43" t="s">
        <v>44</v>
      </c>
      <c r="C6139" s="43" t="s">
        <v>45</v>
      </c>
      <c r="D6139" s="44">
        <v>45978</v>
      </c>
      <c r="E6139" s="45">
        <v>8.5</v>
      </c>
    </row>
    <row r="6140" spans="2:5">
      <c r="B6140" s="43" t="s">
        <v>72</v>
      </c>
      <c r="C6140" s="43" t="s">
        <v>73</v>
      </c>
      <c r="D6140" s="44">
        <v>45978</v>
      </c>
      <c r="E6140" s="45">
        <v>255</v>
      </c>
    </row>
    <row r="6141" spans="2:5">
      <c r="B6141" s="43" t="s">
        <v>46</v>
      </c>
      <c r="C6141" s="43" t="s">
        <v>47</v>
      </c>
      <c r="D6141" s="44">
        <v>45978</v>
      </c>
      <c r="E6141" s="45">
        <v>327.697</v>
      </c>
    </row>
    <row r="6142" spans="2:5">
      <c r="B6142" s="43" t="s">
        <v>74</v>
      </c>
      <c r="C6142" s="43" t="s">
        <v>75</v>
      </c>
      <c r="D6142" s="44">
        <v>45978</v>
      </c>
      <c r="E6142" s="45">
        <v>1058.25</v>
      </c>
    </row>
    <row r="6143" spans="2:5">
      <c r="B6143" s="43" t="s">
        <v>12</v>
      </c>
      <c r="C6143" s="43" t="s">
        <v>13</v>
      </c>
      <c r="D6143" s="44">
        <v>45978</v>
      </c>
      <c r="E6143" s="45">
        <v>414</v>
      </c>
    </row>
    <row r="6144" spans="2:5">
      <c r="B6144" s="43" t="s">
        <v>178</v>
      </c>
      <c r="C6144" s="43" t="s">
        <v>179</v>
      </c>
      <c r="D6144" s="44">
        <v>45978</v>
      </c>
      <c r="E6144" s="45">
        <v>270</v>
      </c>
    </row>
    <row r="6145" spans="2:5">
      <c r="B6145" s="43" t="s">
        <v>50</v>
      </c>
      <c r="C6145" s="43" t="s">
        <v>51</v>
      </c>
      <c r="D6145" s="44">
        <v>45978</v>
      </c>
      <c r="E6145" s="45">
        <v>761.6</v>
      </c>
    </row>
    <row r="6146" spans="2:5">
      <c r="B6146" s="43" t="s">
        <v>144</v>
      </c>
      <c r="C6146" s="43" t="s">
        <v>145</v>
      </c>
      <c r="D6146" s="44">
        <v>45978</v>
      </c>
      <c r="E6146" s="45">
        <v>907.2</v>
      </c>
    </row>
    <row r="6147" spans="2:5">
      <c r="B6147" s="43" t="s">
        <v>56</v>
      </c>
      <c r="C6147" s="43" t="s">
        <v>57</v>
      </c>
      <c r="D6147" s="44">
        <v>45978</v>
      </c>
      <c r="E6147" s="45">
        <v>72.4</v>
      </c>
    </row>
    <row r="6148" spans="2:5">
      <c r="B6148" s="43" t="s">
        <v>128</v>
      </c>
      <c r="C6148" s="43" t="s">
        <v>129</v>
      </c>
      <c r="D6148" s="44">
        <v>45978</v>
      </c>
      <c r="E6148" s="45">
        <v>29.8</v>
      </c>
    </row>
    <row r="6149" spans="2:5">
      <c r="B6149" s="43" t="s">
        <v>18</v>
      </c>
      <c r="C6149" s="43" t="s">
        <v>19</v>
      </c>
      <c r="D6149" s="44">
        <v>45978</v>
      </c>
      <c r="E6149" s="45">
        <v>89</v>
      </c>
    </row>
    <row r="6150" spans="2:5">
      <c r="B6150" s="43" t="s">
        <v>200</v>
      </c>
      <c r="C6150" s="43" t="s">
        <v>201</v>
      </c>
      <c r="D6150" s="44">
        <v>45978</v>
      </c>
      <c r="E6150" s="45">
        <v>577.5</v>
      </c>
    </row>
    <row r="6151" spans="2:5">
      <c r="B6151" s="43" t="s">
        <v>78</v>
      </c>
      <c r="C6151" s="43" t="s">
        <v>79</v>
      </c>
      <c r="D6151" s="44">
        <v>45978</v>
      </c>
      <c r="E6151" s="45">
        <v>8.85</v>
      </c>
    </row>
    <row r="6152" spans="2:5">
      <c r="B6152" s="43" t="s">
        <v>20</v>
      </c>
      <c r="C6152" s="43" t="s">
        <v>21</v>
      </c>
      <c r="D6152" s="44">
        <v>45978</v>
      </c>
      <c r="E6152" s="45">
        <v>9.8</v>
      </c>
    </row>
    <row r="6153" spans="2:5">
      <c r="B6153" s="43" t="s">
        <v>24</v>
      </c>
      <c r="C6153" s="43" t="s">
        <v>25</v>
      </c>
      <c r="D6153" s="44">
        <v>45978</v>
      </c>
      <c r="E6153" s="45">
        <v>4404.3</v>
      </c>
    </row>
    <row r="6154" spans="2:5">
      <c r="B6154" s="43" t="s">
        <v>26</v>
      </c>
      <c r="C6154" s="43" t="s">
        <v>27</v>
      </c>
      <c r="D6154" s="44">
        <v>45978</v>
      </c>
      <c r="E6154" s="45">
        <v>1523.9</v>
      </c>
    </row>
    <row r="6155" spans="2:5">
      <c r="B6155" s="43" t="s">
        <v>60</v>
      </c>
      <c r="C6155" s="43" t="s">
        <v>61</v>
      </c>
      <c r="D6155" s="44">
        <v>45978</v>
      </c>
      <c r="E6155" s="45">
        <v>256.2</v>
      </c>
    </row>
    <row r="6156" spans="2:5">
      <c r="B6156" s="43" t="s">
        <v>82</v>
      </c>
      <c r="C6156" s="43" t="s">
        <v>83</v>
      </c>
      <c r="D6156" s="44">
        <v>45978</v>
      </c>
      <c r="E6156" s="45">
        <v>553.5</v>
      </c>
    </row>
    <row r="6157" spans="2:5">
      <c r="B6157" s="43" t="s">
        <v>62</v>
      </c>
      <c r="C6157" s="43" t="s">
        <v>63</v>
      </c>
      <c r="D6157" s="44">
        <v>45978</v>
      </c>
      <c r="E6157" s="45">
        <v>492</v>
      </c>
    </row>
    <row r="6158" spans="2:5">
      <c r="B6158" s="43" t="s">
        <v>64</v>
      </c>
      <c r="C6158" s="43" t="s">
        <v>65</v>
      </c>
      <c r="D6158" s="44">
        <v>45978</v>
      </c>
      <c r="E6158" s="45">
        <v>240</v>
      </c>
    </row>
    <row r="6159" spans="2:5">
      <c r="B6159" s="43" t="s">
        <v>198</v>
      </c>
      <c r="C6159" s="43" t="s">
        <v>199</v>
      </c>
      <c r="D6159" s="44">
        <v>45978</v>
      </c>
      <c r="E6159" s="45">
        <v>115.5</v>
      </c>
    </row>
    <row r="6160" spans="2:5">
      <c r="B6160" s="43" t="s">
        <v>166</v>
      </c>
      <c r="C6160" s="43" t="s">
        <v>167</v>
      </c>
      <c r="D6160" s="44">
        <v>45978</v>
      </c>
      <c r="E6160" s="45">
        <v>154.8</v>
      </c>
    </row>
    <row r="6161" spans="2:5">
      <c r="B6161" s="43" t="s">
        <v>68</v>
      </c>
      <c r="C6161" s="43" t="s">
        <v>69</v>
      </c>
      <c r="D6161" s="44">
        <v>45978</v>
      </c>
      <c r="E6161" s="45">
        <v>35.9</v>
      </c>
    </row>
    <row r="6162" spans="2:5">
      <c r="B6162" s="43" t="s">
        <v>96</v>
      </c>
      <c r="C6162" s="43" t="s">
        <v>97</v>
      </c>
      <c r="D6162" s="44">
        <v>45978</v>
      </c>
      <c r="E6162" s="45">
        <v>252</v>
      </c>
    </row>
    <row r="6163" spans="2:5">
      <c r="B6163" s="43" t="s">
        <v>32</v>
      </c>
      <c r="C6163" s="43" t="s">
        <v>33</v>
      </c>
      <c r="D6163" s="44">
        <v>45978</v>
      </c>
      <c r="E6163" s="45">
        <v>29</v>
      </c>
    </row>
    <row r="6164" spans="2:5">
      <c r="B6164" s="43" t="s">
        <v>160</v>
      </c>
      <c r="C6164" s="43" t="s">
        <v>161</v>
      </c>
      <c r="D6164" s="44">
        <v>45978</v>
      </c>
      <c r="E6164" s="45">
        <v>11</v>
      </c>
    </row>
    <row r="6165" spans="2:5">
      <c r="B6165" s="43" t="s">
        <v>36</v>
      </c>
      <c r="C6165" s="43" t="s">
        <v>37</v>
      </c>
      <c r="D6165" s="44">
        <v>45978</v>
      </c>
      <c r="E6165" s="45">
        <v>2</v>
      </c>
    </row>
    <row r="6166" spans="2:5">
      <c r="B6166" s="43" t="s">
        <v>38</v>
      </c>
      <c r="C6166" s="43" t="s">
        <v>39</v>
      </c>
      <c r="D6166" s="44">
        <v>45978</v>
      </c>
      <c r="E6166" s="45">
        <v>6</v>
      </c>
    </row>
    <row r="6167" spans="2:5">
      <c r="B6167" s="43" t="s">
        <v>8</v>
      </c>
      <c r="C6167" s="43" t="s">
        <v>9</v>
      </c>
      <c r="D6167" s="44">
        <v>45979</v>
      </c>
      <c r="E6167" s="45">
        <v>121.8</v>
      </c>
    </row>
    <row r="6168" spans="2:5">
      <c r="B6168" s="43" t="s">
        <v>44</v>
      </c>
      <c r="C6168" s="43" t="s">
        <v>45</v>
      </c>
      <c r="D6168" s="44">
        <v>45979</v>
      </c>
      <c r="E6168" s="45">
        <v>297.5</v>
      </c>
    </row>
    <row r="6169" spans="2:5">
      <c r="B6169" s="43" t="s">
        <v>72</v>
      </c>
      <c r="C6169" s="43" t="s">
        <v>73</v>
      </c>
      <c r="D6169" s="44">
        <v>45979</v>
      </c>
      <c r="E6169" s="45">
        <v>173.4</v>
      </c>
    </row>
    <row r="6170" spans="2:5">
      <c r="B6170" s="43" t="s">
        <v>10</v>
      </c>
      <c r="C6170" s="43" t="s">
        <v>11</v>
      </c>
      <c r="D6170" s="44">
        <v>45979</v>
      </c>
      <c r="E6170" s="45">
        <v>221</v>
      </c>
    </row>
    <row r="6171" spans="2:5">
      <c r="B6171" s="43" t="s">
        <v>12</v>
      </c>
      <c r="C6171" s="43" t="s">
        <v>13</v>
      </c>
      <c r="D6171" s="44">
        <v>45979</v>
      </c>
      <c r="E6171" s="45">
        <v>841.8</v>
      </c>
    </row>
    <row r="6172" spans="2:5">
      <c r="B6172" s="43" t="s">
        <v>14</v>
      </c>
      <c r="C6172" s="43" t="s">
        <v>15</v>
      </c>
      <c r="D6172" s="44">
        <v>45979</v>
      </c>
      <c r="E6172" s="45">
        <v>1039.5</v>
      </c>
    </row>
    <row r="6173" spans="2:5">
      <c r="B6173" s="43" t="s">
        <v>50</v>
      </c>
      <c r="C6173" s="43" t="s">
        <v>51</v>
      </c>
      <c r="D6173" s="44">
        <v>45979</v>
      </c>
      <c r="E6173" s="45">
        <v>924.8</v>
      </c>
    </row>
    <row r="6174" spans="2:5">
      <c r="B6174" s="43" t="s">
        <v>114</v>
      </c>
      <c r="C6174" s="43" t="s">
        <v>115</v>
      </c>
      <c r="D6174" s="44">
        <v>45979</v>
      </c>
      <c r="E6174" s="45">
        <v>212.8</v>
      </c>
    </row>
    <row r="6175" spans="2:5">
      <c r="B6175" s="43" t="s">
        <v>52</v>
      </c>
      <c r="C6175" s="43" t="s">
        <v>53</v>
      </c>
      <c r="D6175" s="44">
        <v>45979</v>
      </c>
      <c r="E6175" s="45">
        <v>189.6</v>
      </c>
    </row>
    <row r="6176" spans="2:5">
      <c r="B6176" s="43" t="s">
        <v>144</v>
      </c>
      <c r="C6176" s="43" t="s">
        <v>145</v>
      </c>
      <c r="D6176" s="44">
        <v>45979</v>
      </c>
      <c r="E6176" s="45">
        <v>113.4</v>
      </c>
    </row>
    <row r="6177" spans="2:5">
      <c r="B6177" s="43" t="s">
        <v>138</v>
      </c>
      <c r="C6177" s="43" t="s">
        <v>139</v>
      </c>
      <c r="D6177" s="44">
        <v>45979</v>
      </c>
      <c r="E6177" s="45">
        <v>380.4</v>
      </c>
    </row>
    <row r="6178" spans="2:5">
      <c r="B6178" s="43" t="s">
        <v>54</v>
      </c>
      <c r="C6178" s="43" t="s">
        <v>55</v>
      </c>
      <c r="D6178" s="44">
        <v>45979</v>
      </c>
      <c r="E6178" s="45">
        <v>212.8</v>
      </c>
    </row>
    <row r="6179" spans="2:5">
      <c r="B6179" s="43" t="s">
        <v>56</v>
      </c>
      <c r="C6179" s="43" t="s">
        <v>57</v>
      </c>
      <c r="D6179" s="44">
        <v>45979</v>
      </c>
      <c r="E6179" s="45">
        <v>760.2</v>
      </c>
    </row>
    <row r="6180" spans="2:5">
      <c r="B6180" s="43" t="s">
        <v>76</v>
      </c>
      <c r="C6180" s="43" t="s">
        <v>77</v>
      </c>
      <c r="D6180" s="44">
        <v>45979</v>
      </c>
      <c r="E6180" s="45">
        <v>88.25</v>
      </c>
    </row>
    <row r="6181" spans="2:5">
      <c r="B6181" s="43" t="s">
        <v>152</v>
      </c>
      <c r="C6181" s="43" t="s">
        <v>153</v>
      </c>
      <c r="D6181" s="44">
        <v>45979</v>
      </c>
      <c r="E6181" s="45">
        <v>372</v>
      </c>
    </row>
    <row r="6182" spans="2:5">
      <c r="B6182" s="43" t="s">
        <v>16</v>
      </c>
      <c r="C6182" s="43" t="s">
        <v>17</v>
      </c>
      <c r="D6182" s="44">
        <v>45979</v>
      </c>
      <c r="E6182" s="45">
        <v>45.6</v>
      </c>
    </row>
    <row r="6183" spans="2:5">
      <c r="B6183" s="43" t="s">
        <v>78</v>
      </c>
      <c r="C6183" s="43" t="s">
        <v>79</v>
      </c>
      <c r="D6183" s="44">
        <v>45979</v>
      </c>
      <c r="E6183" s="45">
        <v>203.55</v>
      </c>
    </row>
    <row r="6184" spans="2:5">
      <c r="B6184" s="43" t="s">
        <v>20</v>
      </c>
      <c r="C6184" s="43" t="s">
        <v>21</v>
      </c>
      <c r="D6184" s="44">
        <v>45979</v>
      </c>
      <c r="E6184" s="45">
        <v>9.8</v>
      </c>
    </row>
    <row r="6185" spans="2:5">
      <c r="B6185" s="43" t="s">
        <v>22</v>
      </c>
      <c r="C6185" s="43" t="s">
        <v>23</v>
      </c>
      <c r="D6185" s="44">
        <v>45979</v>
      </c>
      <c r="E6185" s="45">
        <v>19.2</v>
      </c>
    </row>
    <row r="6186" spans="2:5">
      <c r="B6186" s="43" t="s">
        <v>80</v>
      </c>
      <c r="C6186" s="43" t="s">
        <v>81</v>
      </c>
      <c r="D6186" s="44">
        <v>45979</v>
      </c>
      <c r="E6186" s="45">
        <v>1578.5</v>
      </c>
    </row>
    <row r="6187" spans="2:5">
      <c r="B6187" s="43" t="s">
        <v>24</v>
      </c>
      <c r="C6187" s="43" t="s">
        <v>25</v>
      </c>
      <c r="D6187" s="44">
        <v>45979</v>
      </c>
      <c r="E6187" s="45">
        <v>3927.3</v>
      </c>
    </row>
    <row r="6188" spans="2:5">
      <c r="B6188" s="43" t="s">
        <v>210</v>
      </c>
      <c r="C6188" s="43" t="s">
        <v>211</v>
      </c>
      <c r="D6188" s="44">
        <v>45979</v>
      </c>
      <c r="E6188" s="45">
        <v>164</v>
      </c>
    </row>
    <row r="6189" spans="2:5">
      <c r="B6189" s="43" t="s">
        <v>26</v>
      </c>
      <c r="C6189" s="43" t="s">
        <v>27</v>
      </c>
      <c r="D6189" s="44">
        <v>45979</v>
      </c>
      <c r="E6189" s="45">
        <v>2907.85</v>
      </c>
    </row>
    <row r="6190" spans="2:5">
      <c r="B6190" s="43" t="s">
        <v>60</v>
      </c>
      <c r="C6190" s="43" t="s">
        <v>61</v>
      </c>
      <c r="D6190" s="44">
        <v>45979</v>
      </c>
      <c r="E6190" s="45">
        <v>91.5</v>
      </c>
    </row>
    <row r="6191" spans="2:5">
      <c r="B6191" s="43" t="s">
        <v>28</v>
      </c>
      <c r="C6191" s="43" t="s">
        <v>29</v>
      </c>
      <c r="D6191" s="44">
        <v>45979</v>
      </c>
      <c r="E6191" s="45">
        <v>1270.9</v>
      </c>
    </row>
    <row r="6192" spans="2:5">
      <c r="B6192" s="43" t="s">
        <v>62</v>
      </c>
      <c r="C6192" s="43" t="s">
        <v>63</v>
      </c>
      <c r="D6192" s="44">
        <v>45979</v>
      </c>
      <c r="E6192" s="45">
        <v>656</v>
      </c>
    </row>
    <row r="6193" spans="2:5">
      <c r="B6193" s="43" t="s">
        <v>90</v>
      </c>
      <c r="C6193" s="43" t="s">
        <v>91</v>
      </c>
      <c r="D6193" s="44">
        <v>45979</v>
      </c>
      <c r="E6193" s="45">
        <v>106.8</v>
      </c>
    </row>
    <row r="6194" spans="2:5">
      <c r="B6194" s="43" t="s">
        <v>64</v>
      </c>
      <c r="C6194" s="43" t="s">
        <v>65</v>
      </c>
      <c r="D6194" s="44">
        <v>45979</v>
      </c>
      <c r="E6194" s="45">
        <v>1000</v>
      </c>
    </row>
    <row r="6195" spans="2:5">
      <c r="B6195" s="43" t="s">
        <v>238</v>
      </c>
      <c r="C6195" s="43" t="s">
        <v>239</v>
      </c>
      <c r="D6195" s="44">
        <v>45979</v>
      </c>
      <c r="E6195" s="45">
        <v>226.8</v>
      </c>
    </row>
    <row r="6196" spans="2:5">
      <c r="B6196" s="43" t="s">
        <v>68</v>
      </c>
      <c r="C6196" s="43" t="s">
        <v>69</v>
      </c>
      <c r="D6196" s="44">
        <v>45979</v>
      </c>
      <c r="E6196" s="45">
        <v>933.4</v>
      </c>
    </row>
    <row r="6197" spans="2:5">
      <c r="B6197" s="43" t="s">
        <v>142</v>
      </c>
      <c r="C6197" s="43" t="s">
        <v>143</v>
      </c>
      <c r="D6197" s="44">
        <v>45979</v>
      </c>
      <c r="E6197" s="45">
        <v>2</v>
      </c>
    </row>
    <row r="6198" spans="2:5">
      <c r="B6198" s="43" t="s">
        <v>96</v>
      </c>
      <c r="C6198" s="43" t="s">
        <v>97</v>
      </c>
      <c r="D6198" s="44">
        <v>45979</v>
      </c>
      <c r="E6198" s="45">
        <v>32</v>
      </c>
    </row>
    <row r="6199" spans="2:5">
      <c r="B6199" s="43" t="s">
        <v>160</v>
      </c>
      <c r="C6199" s="43" t="s">
        <v>161</v>
      </c>
      <c r="D6199" s="44">
        <v>45979</v>
      </c>
      <c r="E6199" s="45">
        <v>2</v>
      </c>
    </row>
    <row r="6200" spans="2:5">
      <c r="B6200" s="43" t="s">
        <v>34</v>
      </c>
      <c r="C6200" s="43" t="s">
        <v>35</v>
      </c>
      <c r="D6200" s="44">
        <v>45979</v>
      </c>
      <c r="E6200" s="45">
        <v>3</v>
      </c>
    </row>
    <row r="6201" spans="2:5">
      <c r="B6201" s="43" t="s">
        <v>36</v>
      </c>
      <c r="C6201" s="43" t="s">
        <v>37</v>
      </c>
      <c r="D6201" s="44">
        <v>45979</v>
      </c>
      <c r="E6201" s="45">
        <v>13</v>
      </c>
    </row>
    <row r="6202" spans="2:5">
      <c r="B6202" s="43" t="s">
        <v>4</v>
      </c>
      <c r="C6202" s="43" t="s">
        <v>5</v>
      </c>
      <c r="D6202" s="44">
        <v>45980</v>
      </c>
      <c r="E6202" s="45">
        <v>502.5</v>
      </c>
    </row>
    <row r="6203" spans="2:5">
      <c r="B6203" s="43" t="s">
        <v>6</v>
      </c>
      <c r="C6203" s="43" t="s">
        <v>7</v>
      </c>
      <c r="D6203" s="44">
        <v>45980</v>
      </c>
      <c r="E6203" s="45">
        <v>78.6</v>
      </c>
    </row>
    <row r="6204" spans="2:5">
      <c r="B6204" s="43" t="s">
        <v>8</v>
      </c>
      <c r="C6204" s="43" t="s">
        <v>9</v>
      </c>
      <c r="D6204" s="44">
        <v>45980</v>
      </c>
      <c r="E6204" s="45">
        <v>765.6</v>
      </c>
    </row>
    <row r="6205" spans="2:5">
      <c r="B6205" s="43" t="s">
        <v>44</v>
      </c>
      <c r="C6205" s="43" t="s">
        <v>45</v>
      </c>
      <c r="D6205" s="44">
        <v>45980</v>
      </c>
      <c r="E6205" s="45">
        <v>76.5</v>
      </c>
    </row>
    <row r="6206" spans="2:5">
      <c r="B6206" s="43" t="s">
        <v>12</v>
      </c>
      <c r="C6206" s="43" t="s">
        <v>13</v>
      </c>
      <c r="D6206" s="44">
        <v>45980</v>
      </c>
      <c r="E6206" s="45">
        <v>814.2</v>
      </c>
    </row>
    <row r="6207" spans="2:5">
      <c r="B6207" s="43" t="s">
        <v>14</v>
      </c>
      <c r="C6207" s="43" t="s">
        <v>15</v>
      </c>
      <c r="D6207" s="44">
        <v>45980</v>
      </c>
      <c r="E6207" s="45">
        <v>121.5</v>
      </c>
    </row>
    <row r="6208" spans="2:5">
      <c r="B6208" s="43" t="s">
        <v>54</v>
      </c>
      <c r="C6208" s="43" t="s">
        <v>55</v>
      </c>
      <c r="D6208" s="44">
        <v>45980</v>
      </c>
      <c r="E6208" s="45">
        <v>106.4</v>
      </c>
    </row>
    <row r="6209" spans="2:5">
      <c r="B6209" s="43" t="s">
        <v>176</v>
      </c>
      <c r="C6209" s="43" t="s">
        <v>177</v>
      </c>
      <c r="D6209" s="44">
        <v>45980</v>
      </c>
      <c r="E6209" s="45">
        <v>40.5</v>
      </c>
    </row>
    <row r="6210" spans="2:5">
      <c r="B6210" s="43" t="s">
        <v>118</v>
      </c>
      <c r="C6210" s="43" t="s">
        <v>119</v>
      </c>
      <c r="D6210" s="44">
        <v>45980</v>
      </c>
      <c r="E6210" s="45">
        <v>30.4</v>
      </c>
    </row>
    <row r="6211" spans="2:5">
      <c r="B6211" s="43" t="s">
        <v>152</v>
      </c>
      <c r="C6211" s="43" t="s">
        <v>153</v>
      </c>
      <c r="D6211" s="44">
        <v>45980</v>
      </c>
      <c r="E6211" s="45">
        <v>232.5</v>
      </c>
    </row>
    <row r="6212" spans="2:5">
      <c r="B6212" s="43" t="s">
        <v>18</v>
      </c>
      <c r="C6212" s="43" t="s">
        <v>19</v>
      </c>
      <c r="D6212" s="44">
        <v>45980</v>
      </c>
      <c r="E6212" s="45">
        <v>44.5</v>
      </c>
    </row>
    <row r="6213" spans="2:5">
      <c r="B6213" s="43" t="s">
        <v>78</v>
      </c>
      <c r="C6213" s="43" t="s">
        <v>79</v>
      </c>
      <c r="D6213" s="44">
        <v>45980</v>
      </c>
      <c r="E6213" s="45">
        <v>681.45</v>
      </c>
    </row>
    <row r="6214" spans="2:5">
      <c r="B6214" s="43" t="s">
        <v>20</v>
      </c>
      <c r="C6214" s="43" t="s">
        <v>21</v>
      </c>
      <c r="D6214" s="44">
        <v>45980</v>
      </c>
      <c r="E6214" s="45">
        <v>9.8</v>
      </c>
    </row>
    <row r="6215" spans="2:5">
      <c r="B6215" s="43" t="s">
        <v>22</v>
      </c>
      <c r="C6215" s="43" t="s">
        <v>23</v>
      </c>
      <c r="D6215" s="44">
        <v>45980</v>
      </c>
      <c r="E6215" s="45">
        <v>1238.4</v>
      </c>
    </row>
    <row r="6216" spans="2:5">
      <c r="B6216" s="43" t="s">
        <v>140</v>
      </c>
      <c r="C6216" s="43" t="s">
        <v>141</v>
      </c>
      <c r="D6216" s="44">
        <v>45980</v>
      </c>
      <c r="E6216" s="45">
        <v>371.2</v>
      </c>
    </row>
    <row r="6217" spans="2:5">
      <c r="B6217" s="43" t="s">
        <v>24</v>
      </c>
      <c r="C6217" s="43" t="s">
        <v>25</v>
      </c>
      <c r="D6217" s="44">
        <v>45980</v>
      </c>
      <c r="E6217" s="45">
        <v>4102.2</v>
      </c>
    </row>
    <row r="6218" spans="2:5">
      <c r="B6218" s="43" t="s">
        <v>26</v>
      </c>
      <c r="C6218" s="43" t="s">
        <v>27</v>
      </c>
      <c r="D6218" s="44">
        <v>45980</v>
      </c>
      <c r="E6218" s="45">
        <v>1523.9</v>
      </c>
    </row>
    <row r="6219" spans="2:5">
      <c r="B6219" s="43" t="s">
        <v>60</v>
      </c>
      <c r="C6219" s="43" t="s">
        <v>61</v>
      </c>
      <c r="D6219" s="44">
        <v>45980</v>
      </c>
      <c r="E6219" s="45">
        <v>988.06</v>
      </c>
    </row>
    <row r="6220" spans="2:5">
      <c r="B6220" s="43" t="s">
        <v>28</v>
      </c>
      <c r="C6220" s="43" t="s">
        <v>29</v>
      </c>
      <c r="D6220" s="44">
        <v>45980</v>
      </c>
      <c r="E6220" s="45">
        <v>250.6</v>
      </c>
    </row>
    <row r="6221" spans="2:5">
      <c r="B6221" s="43" t="s">
        <v>62</v>
      </c>
      <c r="C6221" s="43" t="s">
        <v>63</v>
      </c>
      <c r="D6221" s="44">
        <v>45980</v>
      </c>
      <c r="E6221" s="45">
        <v>1209.5</v>
      </c>
    </row>
    <row r="6222" spans="2:5">
      <c r="B6222" s="43" t="s">
        <v>148</v>
      </c>
      <c r="C6222" s="43" t="s">
        <v>149</v>
      </c>
      <c r="D6222" s="44">
        <v>45980</v>
      </c>
      <c r="E6222" s="45">
        <v>1190.8</v>
      </c>
    </row>
    <row r="6223" spans="2:5">
      <c r="B6223" s="43" t="s">
        <v>64</v>
      </c>
      <c r="C6223" s="43" t="s">
        <v>65</v>
      </c>
      <c r="D6223" s="44">
        <v>45980</v>
      </c>
      <c r="E6223" s="45">
        <v>1080</v>
      </c>
    </row>
    <row r="6224" spans="2:5">
      <c r="B6224" s="43" t="s">
        <v>198</v>
      </c>
      <c r="C6224" s="43" t="s">
        <v>199</v>
      </c>
      <c r="D6224" s="44">
        <v>45980</v>
      </c>
      <c r="E6224" s="45">
        <v>161.7</v>
      </c>
    </row>
    <row r="6225" spans="2:5">
      <c r="B6225" s="43" t="s">
        <v>132</v>
      </c>
      <c r="C6225" s="43" t="s">
        <v>133</v>
      </c>
      <c r="D6225" s="44">
        <v>45980</v>
      </c>
      <c r="E6225" s="45">
        <v>309</v>
      </c>
    </row>
    <row r="6226" spans="2:5">
      <c r="B6226" s="43" t="s">
        <v>68</v>
      </c>
      <c r="C6226" s="43" t="s">
        <v>69</v>
      </c>
      <c r="D6226" s="44">
        <v>45980</v>
      </c>
      <c r="E6226" s="45">
        <v>538.5</v>
      </c>
    </row>
    <row r="6227" spans="2:5">
      <c r="B6227" s="43" t="s">
        <v>196</v>
      </c>
      <c r="C6227" s="43" t="s">
        <v>197</v>
      </c>
      <c r="D6227" s="44">
        <v>45980</v>
      </c>
      <c r="E6227" s="45">
        <v>4</v>
      </c>
    </row>
    <row r="6228" spans="2:5">
      <c r="B6228" s="43" t="s">
        <v>96</v>
      </c>
      <c r="C6228" s="43" t="s">
        <v>97</v>
      </c>
      <c r="D6228" s="44">
        <v>45980</v>
      </c>
      <c r="E6228" s="45">
        <v>23</v>
      </c>
    </row>
    <row r="6229" spans="2:5">
      <c r="B6229" s="43" t="s">
        <v>32</v>
      </c>
      <c r="C6229" s="43" t="s">
        <v>33</v>
      </c>
      <c r="D6229" s="44">
        <v>45980</v>
      </c>
      <c r="E6229" s="45">
        <v>4</v>
      </c>
    </row>
    <row r="6230" spans="2:5">
      <c r="B6230" s="43" t="s">
        <v>160</v>
      </c>
      <c r="C6230" s="43" t="s">
        <v>161</v>
      </c>
      <c r="D6230" s="44">
        <v>45980</v>
      </c>
      <c r="E6230" s="45">
        <v>5</v>
      </c>
    </row>
    <row r="6231" spans="2:5">
      <c r="B6231" s="43" t="s">
        <v>34</v>
      </c>
      <c r="C6231" s="43" t="s">
        <v>35</v>
      </c>
      <c r="D6231" s="44">
        <v>45980</v>
      </c>
      <c r="E6231" s="45">
        <v>3</v>
      </c>
    </row>
    <row r="6232" spans="2:5">
      <c r="B6232" s="43" t="s">
        <v>232</v>
      </c>
      <c r="C6232" s="43" t="s">
        <v>233</v>
      </c>
      <c r="D6232" s="44">
        <v>45980</v>
      </c>
      <c r="E6232" s="45">
        <v>1</v>
      </c>
    </row>
    <row r="6233" spans="2:5">
      <c r="B6233" s="43" t="s">
        <v>36</v>
      </c>
      <c r="C6233" s="43" t="s">
        <v>37</v>
      </c>
      <c r="D6233" s="44">
        <v>45980</v>
      </c>
      <c r="E6233" s="45">
        <v>20</v>
      </c>
    </row>
    <row r="6234" spans="2:5">
      <c r="B6234" s="43" t="s">
        <v>38</v>
      </c>
      <c r="C6234" s="43" t="s">
        <v>39</v>
      </c>
      <c r="D6234" s="44">
        <v>45980</v>
      </c>
      <c r="E6234" s="45">
        <v>15</v>
      </c>
    </row>
    <row r="6235" spans="2:5">
      <c r="B6235" s="43" t="s">
        <v>4</v>
      </c>
      <c r="C6235" s="43" t="s">
        <v>5</v>
      </c>
      <c r="D6235" s="44">
        <v>45982</v>
      </c>
      <c r="E6235" s="45">
        <v>6.7</v>
      </c>
    </row>
    <row r="6236" spans="2:5">
      <c r="B6236" s="43" t="s">
        <v>8</v>
      </c>
      <c r="C6236" s="43" t="s">
        <v>9</v>
      </c>
      <c r="D6236" s="44">
        <v>45982</v>
      </c>
      <c r="E6236" s="45">
        <v>69.6</v>
      </c>
    </row>
    <row r="6237" spans="2:5">
      <c r="B6237" s="43" t="s">
        <v>44</v>
      </c>
      <c r="C6237" s="43" t="s">
        <v>45</v>
      </c>
      <c r="D6237" s="44">
        <v>45982</v>
      </c>
      <c r="E6237" s="45">
        <v>34</v>
      </c>
    </row>
    <row r="6238" spans="2:5">
      <c r="B6238" s="43" t="s">
        <v>12</v>
      </c>
      <c r="C6238" s="43" t="s">
        <v>13</v>
      </c>
      <c r="D6238" s="44">
        <v>45982</v>
      </c>
      <c r="E6238" s="45">
        <v>1186.8</v>
      </c>
    </row>
    <row r="6239" spans="2:5">
      <c r="B6239" s="43" t="s">
        <v>48</v>
      </c>
      <c r="C6239" s="43" t="s">
        <v>49</v>
      </c>
      <c r="D6239" s="44">
        <v>45982</v>
      </c>
      <c r="E6239" s="45">
        <v>315</v>
      </c>
    </row>
    <row r="6240" spans="2:5">
      <c r="B6240" s="43" t="s">
        <v>14</v>
      </c>
      <c r="C6240" s="43" t="s">
        <v>15</v>
      </c>
      <c r="D6240" s="44">
        <v>45982</v>
      </c>
      <c r="E6240" s="45">
        <v>445.5</v>
      </c>
    </row>
    <row r="6241" spans="2:5">
      <c r="B6241" s="43" t="s">
        <v>50</v>
      </c>
      <c r="C6241" s="43" t="s">
        <v>51</v>
      </c>
      <c r="D6241" s="44">
        <v>45982</v>
      </c>
      <c r="E6241" s="45">
        <v>462.4</v>
      </c>
    </row>
    <row r="6242" spans="2:5">
      <c r="B6242" s="43" t="s">
        <v>138</v>
      </c>
      <c r="C6242" s="43" t="s">
        <v>139</v>
      </c>
      <c r="D6242" s="44">
        <v>45982</v>
      </c>
      <c r="E6242" s="45">
        <v>63.4</v>
      </c>
    </row>
    <row r="6243" spans="2:5">
      <c r="B6243" s="43" t="s">
        <v>54</v>
      </c>
      <c r="C6243" s="43" t="s">
        <v>55</v>
      </c>
      <c r="D6243" s="44">
        <v>45982</v>
      </c>
      <c r="E6243" s="45">
        <v>399</v>
      </c>
    </row>
    <row r="6244" spans="2:5">
      <c r="B6244" s="43" t="s">
        <v>56</v>
      </c>
      <c r="C6244" s="43" t="s">
        <v>57</v>
      </c>
      <c r="D6244" s="44">
        <v>45982</v>
      </c>
      <c r="E6244" s="45">
        <v>18.1</v>
      </c>
    </row>
    <row r="6245" spans="2:5">
      <c r="B6245" s="43" t="s">
        <v>162</v>
      </c>
      <c r="C6245" s="43" t="s">
        <v>163</v>
      </c>
      <c r="D6245" s="44">
        <v>45982</v>
      </c>
      <c r="E6245" s="45">
        <v>666.6</v>
      </c>
    </row>
    <row r="6246" spans="2:5">
      <c r="B6246" s="43" t="s">
        <v>176</v>
      </c>
      <c r="C6246" s="43" t="s">
        <v>177</v>
      </c>
      <c r="D6246" s="44">
        <v>45982</v>
      </c>
      <c r="E6246" s="45">
        <v>202.5</v>
      </c>
    </row>
    <row r="6247" spans="2:5">
      <c r="B6247" s="43" t="s">
        <v>152</v>
      </c>
      <c r="C6247" s="43" t="s">
        <v>153</v>
      </c>
      <c r="D6247" s="44">
        <v>45982</v>
      </c>
      <c r="E6247" s="45">
        <v>139.5</v>
      </c>
    </row>
    <row r="6248" spans="2:5">
      <c r="B6248" s="43" t="s">
        <v>78</v>
      </c>
      <c r="C6248" s="43" t="s">
        <v>79</v>
      </c>
      <c r="D6248" s="44">
        <v>45982</v>
      </c>
      <c r="E6248" s="45">
        <v>88.5</v>
      </c>
    </row>
    <row r="6249" spans="2:5">
      <c r="B6249" s="43" t="s">
        <v>20</v>
      </c>
      <c r="C6249" s="43" t="s">
        <v>21</v>
      </c>
      <c r="D6249" s="44">
        <v>45982</v>
      </c>
      <c r="E6249" s="45">
        <v>58.8</v>
      </c>
    </row>
    <row r="6250" spans="2:5">
      <c r="B6250" s="43" t="s">
        <v>24</v>
      </c>
      <c r="C6250" s="43" t="s">
        <v>25</v>
      </c>
      <c r="D6250" s="44">
        <v>45982</v>
      </c>
      <c r="E6250" s="45">
        <v>2798.4</v>
      </c>
    </row>
    <row r="6251" spans="2:5">
      <c r="B6251" s="43" t="s">
        <v>210</v>
      </c>
      <c r="C6251" s="43" t="s">
        <v>211</v>
      </c>
      <c r="D6251" s="44">
        <v>45982</v>
      </c>
      <c r="E6251" s="45">
        <v>717.5</v>
      </c>
    </row>
    <row r="6252" spans="2:5">
      <c r="B6252" s="43" t="s">
        <v>26</v>
      </c>
      <c r="C6252" s="43" t="s">
        <v>27</v>
      </c>
      <c r="D6252" s="44">
        <v>45982</v>
      </c>
      <c r="E6252" s="45">
        <v>2332.5</v>
      </c>
    </row>
    <row r="6253" spans="2:5">
      <c r="B6253" s="43" t="s">
        <v>60</v>
      </c>
      <c r="C6253" s="43" t="s">
        <v>61</v>
      </c>
      <c r="D6253" s="44">
        <v>45982</v>
      </c>
      <c r="E6253" s="45">
        <v>292.8</v>
      </c>
    </row>
    <row r="6254" spans="2:5">
      <c r="B6254" s="43" t="s">
        <v>28</v>
      </c>
      <c r="C6254" s="43" t="s">
        <v>29</v>
      </c>
      <c r="D6254" s="44">
        <v>45982</v>
      </c>
      <c r="E6254" s="45">
        <v>1396.2</v>
      </c>
    </row>
    <row r="6255" spans="2:5">
      <c r="B6255" s="43" t="s">
        <v>122</v>
      </c>
      <c r="C6255" s="43" t="s">
        <v>123</v>
      </c>
      <c r="D6255" s="44">
        <v>45982</v>
      </c>
      <c r="E6255" s="45">
        <v>120.8</v>
      </c>
    </row>
    <row r="6256" spans="2:5">
      <c r="B6256" s="43" t="s">
        <v>62</v>
      </c>
      <c r="C6256" s="43" t="s">
        <v>63</v>
      </c>
      <c r="D6256" s="44">
        <v>45982</v>
      </c>
      <c r="E6256" s="45">
        <v>287</v>
      </c>
    </row>
    <row r="6257" spans="2:5">
      <c r="B6257" s="43" t="s">
        <v>90</v>
      </c>
      <c r="C6257" s="43" t="s">
        <v>91</v>
      </c>
      <c r="D6257" s="44">
        <v>45982</v>
      </c>
      <c r="E6257" s="45">
        <v>106.8</v>
      </c>
    </row>
    <row r="6258" spans="2:5">
      <c r="B6258" s="43" t="s">
        <v>64</v>
      </c>
      <c r="C6258" s="43" t="s">
        <v>65</v>
      </c>
      <c r="D6258" s="44">
        <v>45982</v>
      </c>
      <c r="E6258" s="45">
        <v>40</v>
      </c>
    </row>
    <row r="6259" spans="2:5">
      <c r="B6259" s="43" t="s">
        <v>96</v>
      </c>
      <c r="C6259" s="43" t="s">
        <v>97</v>
      </c>
      <c r="D6259" s="44">
        <v>45982</v>
      </c>
      <c r="E6259" s="45">
        <v>26</v>
      </c>
    </row>
    <row r="6260" spans="2:5">
      <c r="B6260" s="43" t="s">
        <v>32</v>
      </c>
      <c r="C6260" s="43" t="s">
        <v>33</v>
      </c>
      <c r="D6260" s="44">
        <v>45982</v>
      </c>
      <c r="E6260" s="45">
        <v>10</v>
      </c>
    </row>
    <row r="6261" spans="2:5">
      <c r="B6261" s="43" t="s">
        <v>160</v>
      </c>
      <c r="C6261" s="43" t="s">
        <v>161</v>
      </c>
      <c r="D6261" s="44">
        <v>45982</v>
      </c>
      <c r="E6261" s="45">
        <v>7</v>
      </c>
    </row>
    <row r="6262" spans="2:5">
      <c r="B6262" s="43" t="s">
        <v>34</v>
      </c>
      <c r="C6262" s="43" t="s">
        <v>35</v>
      </c>
      <c r="D6262" s="44">
        <v>45982</v>
      </c>
      <c r="E6262" s="45">
        <v>11</v>
      </c>
    </row>
    <row r="6263" spans="2:5">
      <c r="B6263" s="43" t="s">
        <v>38</v>
      </c>
      <c r="C6263" s="43" t="s">
        <v>39</v>
      </c>
      <c r="D6263" s="44">
        <v>45982</v>
      </c>
      <c r="E6263" s="45">
        <v>5</v>
      </c>
    </row>
    <row r="6264" spans="2:5">
      <c r="B6264" s="43" t="s">
        <v>100</v>
      </c>
      <c r="C6264" s="43" t="s">
        <v>101</v>
      </c>
      <c r="D6264" s="44">
        <v>45985</v>
      </c>
      <c r="E6264" s="45">
        <v>17</v>
      </c>
    </row>
    <row r="6265" spans="2:5">
      <c r="B6265" s="43" t="s">
        <v>42</v>
      </c>
      <c r="C6265" s="43" t="s">
        <v>43</v>
      </c>
      <c r="D6265" s="44">
        <v>45985</v>
      </c>
      <c r="E6265" s="45">
        <v>102.85</v>
      </c>
    </row>
    <row r="6266" spans="2:5">
      <c r="B6266" s="43" t="s">
        <v>4</v>
      </c>
      <c r="C6266" s="43" t="s">
        <v>5</v>
      </c>
      <c r="D6266" s="44">
        <v>45985</v>
      </c>
      <c r="E6266" s="45">
        <v>67</v>
      </c>
    </row>
    <row r="6267" spans="2:5">
      <c r="B6267" s="43" t="s">
        <v>156</v>
      </c>
      <c r="C6267" s="43" t="s">
        <v>157</v>
      </c>
      <c r="D6267" s="44">
        <v>45985</v>
      </c>
      <c r="E6267" s="45">
        <v>210.6</v>
      </c>
    </row>
    <row r="6268" spans="2:5">
      <c r="B6268" s="43" t="s">
        <v>8</v>
      </c>
      <c r="C6268" s="43" t="s">
        <v>9</v>
      </c>
      <c r="D6268" s="44">
        <v>45985</v>
      </c>
      <c r="E6268" s="45">
        <v>104.4</v>
      </c>
    </row>
    <row r="6269" spans="2:5">
      <c r="B6269" s="43" t="s">
        <v>72</v>
      </c>
      <c r="C6269" s="43" t="s">
        <v>73</v>
      </c>
      <c r="D6269" s="44">
        <v>45985</v>
      </c>
      <c r="E6269" s="45">
        <v>142.8</v>
      </c>
    </row>
    <row r="6270" spans="2:5">
      <c r="B6270" s="43" t="s">
        <v>74</v>
      </c>
      <c r="C6270" s="43" t="s">
        <v>75</v>
      </c>
      <c r="D6270" s="44">
        <v>45985</v>
      </c>
      <c r="E6270" s="45">
        <v>796.8</v>
      </c>
    </row>
    <row r="6271" spans="2:5">
      <c r="B6271" s="43" t="s">
        <v>12</v>
      </c>
      <c r="C6271" s="43" t="s">
        <v>13</v>
      </c>
      <c r="D6271" s="44">
        <v>45985</v>
      </c>
      <c r="E6271" s="45">
        <v>414</v>
      </c>
    </row>
    <row r="6272" spans="2:5">
      <c r="B6272" s="43" t="s">
        <v>134</v>
      </c>
      <c r="C6272" s="43" t="s">
        <v>135</v>
      </c>
      <c r="D6272" s="44">
        <v>45985</v>
      </c>
      <c r="E6272" s="45">
        <v>122.5</v>
      </c>
    </row>
    <row r="6273" spans="2:5">
      <c r="B6273" s="43" t="s">
        <v>144</v>
      </c>
      <c r="C6273" s="43" t="s">
        <v>145</v>
      </c>
      <c r="D6273" s="44">
        <v>45985</v>
      </c>
      <c r="E6273" s="45">
        <v>1571</v>
      </c>
    </row>
    <row r="6274" spans="2:5">
      <c r="B6274" s="43" t="s">
        <v>138</v>
      </c>
      <c r="C6274" s="43" t="s">
        <v>139</v>
      </c>
      <c r="D6274" s="44">
        <v>45985</v>
      </c>
      <c r="E6274" s="45">
        <v>63.4</v>
      </c>
    </row>
    <row r="6275" spans="2:5">
      <c r="B6275" s="43" t="s">
        <v>116</v>
      </c>
      <c r="C6275" s="43" t="s">
        <v>117</v>
      </c>
      <c r="D6275" s="44">
        <v>45985</v>
      </c>
      <c r="E6275" s="45">
        <v>16.3</v>
      </c>
    </row>
    <row r="6276" spans="2:5">
      <c r="B6276" s="43" t="s">
        <v>16</v>
      </c>
      <c r="C6276" s="43" t="s">
        <v>17</v>
      </c>
      <c r="D6276" s="44">
        <v>45985</v>
      </c>
      <c r="E6276" s="45">
        <v>45.6</v>
      </c>
    </row>
    <row r="6277" spans="2:5">
      <c r="B6277" s="43" t="s">
        <v>78</v>
      </c>
      <c r="C6277" s="43" t="s">
        <v>79</v>
      </c>
      <c r="D6277" s="44">
        <v>45985</v>
      </c>
      <c r="E6277" s="45">
        <v>44.25</v>
      </c>
    </row>
    <row r="6278" spans="2:5">
      <c r="B6278" s="43" t="s">
        <v>22</v>
      </c>
      <c r="C6278" s="43" t="s">
        <v>23</v>
      </c>
      <c r="D6278" s="44">
        <v>45985</v>
      </c>
      <c r="E6278" s="45">
        <v>19.2</v>
      </c>
    </row>
    <row r="6279" spans="2:5">
      <c r="B6279" s="43" t="s">
        <v>80</v>
      </c>
      <c r="C6279" s="43" t="s">
        <v>81</v>
      </c>
      <c r="D6279" s="44">
        <v>45985</v>
      </c>
      <c r="E6279" s="45">
        <v>1693.3</v>
      </c>
    </row>
    <row r="6280" spans="2:5">
      <c r="B6280" s="43" t="s">
        <v>24</v>
      </c>
      <c r="C6280" s="43" t="s">
        <v>25</v>
      </c>
      <c r="D6280" s="44">
        <v>45985</v>
      </c>
      <c r="E6280" s="45">
        <v>1844.4</v>
      </c>
    </row>
    <row r="6281" spans="2:5">
      <c r="B6281" s="43" t="s">
        <v>26</v>
      </c>
      <c r="C6281" s="43" t="s">
        <v>27</v>
      </c>
      <c r="D6281" s="44">
        <v>45985</v>
      </c>
      <c r="E6281" s="45">
        <v>2441.35</v>
      </c>
    </row>
    <row r="6282" spans="2:5">
      <c r="B6282" s="43" t="s">
        <v>28</v>
      </c>
      <c r="C6282" s="43" t="s">
        <v>29</v>
      </c>
      <c r="D6282" s="44">
        <v>45985</v>
      </c>
      <c r="E6282" s="45">
        <v>214.8</v>
      </c>
    </row>
    <row r="6283" spans="2:5">
      <c r="B6283" s="43" t="s">
        <v>82</v>
      </c>
      <c r="C6283" s="43" t="s">
        <v>83</v>
      </c>
      <c r="D6283" s="44">
        <v>45985</v>
      </c>
      <c r="E6283" s="45">
        <v>221.4</v>
      </c>
    </row>
    <row r="6284" spans="2:5">
      <c r="B6284" s="43" t="s">
        <v>62</v>
      </c>
      <c r="C6284" s="43" t="s">
        <v>63</v>
      </c>
      <c r="D6284" s="44">
        <v>45985</v>
      </c>
      <c r="E6284" s="45">
        <v>369</v>
      </c>
    </row>
    <row r="6285" spans="2:5">
      <c r="B6285" s="43" t="s">
        <v>64</v>
      </c>
      <c r="C6285" s="43" t="s">
        <v>65</v>
      </c>
      <c r="D6285" s="44">
        <v>45985</v>
      </c>
      <c r="E6285" s="45">
        <v>400</v>
      </c>
    </row>
    <row r="6286" spans="2:5">
      <c r="B6286" s="43" t="s">
        <v>84</v>
      </c>
      <c r="C6286" s="43" t="s">
        <v>85</v>
      </c>
      <c r="D6286" s="44">
        <v>45985</v>
      </c>
      <c r="E6286" s="45">
        <v>648.7</v>
      </c>
    </row>
    <row r="6287" spans="2:5">
      <c r="B6287" s="43" t="s">
        <v>132</v>
      </c>
      <c r="C6287" s="43" t="s">
        <v>133</v>
      </c>
      <c r="D6287" s="44">
        <v>45985</v>
      </c>
      <c r="E6287" s="45">
        <v>61.8</v>
      </c>
    </row>
    <row r="6288" spans="2:5">
      <c r="B6288" s="43" t="s">
        <v>150</v>
      </c>
      <c r="C6288" s="43" t="s">
        <v>151</v>
      </c>
      <c r="D6288" s="44">
        <v>45985</v>
      </c>
      <c r="E6288" s="45">
        <v>486.9</v>
      </c>
    </row>
    <row r="6289" spans="2:5">
      <c r="B6289" s="43" t="s">
        <v>196</v>
      </c>
      <c r="C6289" s="43" t="s">
        <v>197</v>
      </c>
      <c r="D6289" s="44">
        <v>45985</v>
      </c>
      <c r="E6289" s="45">
        <v>18</v>
      </c>
    </row>
    <row r="6290" spans="2:5">
      <c r="B6290" s="43" t="s">
        <v>96</v>
      </c>
      <c r="C6290" s="43" t="s">
        <v>97</v>
      </c>
      <c r="D6290" s="44">
        <v>45985</v>
      </c>
      <c r="E6290" s="45">
        <v>21</v>
      </c>
    </row>
    <row r="6291" spans="2:5">
      <c r="B6291" s="43" t="s">
        <v>32</v>
      </c>
      <c r="C6291" s="43" t="s">
        <v>33</v>
      </c>
      <c r="D6291" s="44">
        <v>45985</v>
      </c>
      <c r="E6291" s="45">
        <v>16</v>
      </c>
    </row>
    <row r="6292" spans="2:5">
      <c r="B6292" s="43" t="s">
        <v>160</v>
      </c>
      <c r="C6292" s="43" t="s">
        <v>161</v>
      </c>
      <c r="D6292" s="44">
        <v>45985</v>
      </c>
      <c r="E6292" s="45">
        <v>2</v>
      </c>
    </row>
    <row r="6293" spans="2:5">
      <c r="B6293" s="43" t="s">
        <v>34</v>
      </c>
      <c r="C6293" s="43" t="s">
        <v>35</v>
      </c>
      <c r="D6293" s="44">
        <v>45985</v>
      </c>
      <c r="E6293" s="45">
        <v>5</v>
      </c>
    </row>
    <row r="6294" spans="2:5">
      <c r="B6294" s="43" t="s">
        <v>36</v>
      </c>
      <c r="C6294" s="43" t="s">
        <v>37</v>
      </c>
      <c r="D6294" s="44">
        <v>45985</v>
      </c>
      <c r="E6294" s="45">
        <v>12</v>
      </c>
    </row>
    <row r="6295" spans="2:5">
      <c r="B6295" s="43" t="s">
        <v>38</v>
      </c>
      <c r="C6295" s="43" t="s">
        <v>39</v>
      </c>
      <c r="D6295" s="44">
        <v>45985</v>
      </c>
      <c r="E6295" s="45">
        <v>12</v>
      </c>
    </row>
    <row r="6296" spans="2:5">
      <c r="B6296" s="43" t="s">
        <v>154</v>
      </c>
      <c r="C6296" s="43" t="s">
        <v>155</v>
      </c>
      <c r="D6296" s="44">
        <v>45986</v>
      </c>
      <c r="E6296" s="45">
        <v>1</v>
      </c>
    </row>
    <row r="6297" spans="2:5">
      <c r="B6297" s="43" t="s">
        <v>40</v>
      </c>
      <c r="C6297" s="43" t="s">
        <v>41</v>
      </c>
      <c r="D6297" s="44">
        <v>45986</v>
      </c>
      <c r="E6297" s="45">
        <v>15</v>
      </c>
    </row>
    <row r="6298" spans="2:5">
      <c r="B6298" s="43" t="s">
        <v>86</v>
      </c>
      <c r="C6298" s="43" t="s">
        <v>87</v>
      </c>
      <c r="D6298" s="44">
        <v>45986</v>
      </c>
      <c r="E6298" s="45">
        <v>2</v>
      </c>
    </row>
    <row r="6299" spans="2:5">
      <c r="B6299" s="43" t="s">
        <v>8</v>
      </c>
      <c r="C6299" s="43" t="s">
        <v>9</v>
      </c>
      <c r="D6299" s="44">
        <v>45986</v>
      </c>
      <c r="E6299" s="45">
        <v>69.6</v>
      </c>
    </row>
    <row r="6300" spans="2:5">
      <c r="B6300" s="43" t="s">
        <v>44</v>
      </c>
      <c r="C6300" s="43" t="s">
        <v>45</v>
      </c>
      <c r="D6300" s="44">
        <v>45986</v>
      </c>
      <c r="E6300" s="45">
        <v>229.5</v>
      </c>
    </row>
    <row r="6301" spans="2:5">
      <c r="B6301" s="43" t="s">
        <v>46</v>
      </c>
      <c r="C6301" s="43" t="s">
        <v>47</v>
      </c>
      <c r="D6301" s="44">
        <v>45986</v>
      </c>
      <c r="E6301" s="45">
        <v>1469</v>
      </c>
    </row>
    <row r="6302" spans="2:5">
      <c r="B6302" s="43" t="s">
        <v>10</v>
      </c>
      <c r="C6302" s="43" t="s">
        <v>11</v>
      </c>
      <c r="D6302" s="44">
        <v>45986</v>
      </c>
      <c r="E6302" s="45">
        <v>198.9</v>
      </c>
    </row>
    <row r="6303" spans="2:5">
      <c r="B6303" s="43" t="s">
        <v>74</v>
      </c>
      <c r="C6303" s="43" t="s">
        <v>75</v>
      </c>
      <c r="D6303" s="44">
        <v>45986</v>
      </c>
      <c r="E6303" s="45">
        <v>348.6</v>
      </c>
    </row>
    <row r="6304" spans="2:5">
      <c r="B6304" s="43" t="s">
        <v>12</v>
      </c>
      <c r="C6304" s="43" t="s">
        <v>13</v>
      </c>
      <c r="D6304" s="44">
        <v>45986</v>
      </c>
      <c r="E6304" s="45">
        <v>966</v>
      </c>
    </row>
    <row r="6305" spans="2:5">
      <c r="B6305" s="43" t="s">
        <v>48</v>
      </c>
      <c r="C6305" s="43" t="s">
        <v>49</v>
      </c>
      <c r="D6305" s="44">
        <v>45986</v>
      </c>
      <c r="E6305" s="45">
        <v>31.5</v>
      </c>
    </row>
    <row r="6306" spans="2:5">
      <c r="B6306" s="43" t="s">
        <v>14</v>
      </c>
      <c r="C6306" s="43" t="s">
        <v>15</v>
      </c>
      <c r="D6306" s="44">
        <v>45986</v>
      </c>
      <c r="E6306" s="45">
        <v>1215</v>
      </c>
    </row>
    <row r="6307" spans="2:5">
      <c r="B6307" s="43" t="s">
        <v>50</v>
      </c>
      <c r="C6307" s="43" t="s">
        <v>51</v>
      </c>
      <c r="D6307" s="44">
        <v>45986</v>
      </c>
      <c r="E6307" s="45">
        <v>489.6</v>
      </c>
    </row>
    <row r="6308" spans="2:5">
      <c r="B6308" s="43" t="s">
        <v>114</v>
      </c>
      <c r="C6308" s="43" t="s">
        <v>115</v>
      </c>
      <c r="D6308" s="44">
        <v>45986</v>
      </c>
      <c r="E6308" s="45">
        <v>279.3</v>
      </c>
    </row>
    <row r="6309" spans="2:5">
      <c r="B6309" s="43" t="s">
        <v>138</v>
      </c>
      <c r="C6309" s="43" t="s">
        <v>139</v>
      </c>
      <c r="D6309" s="44">
        <v>45986</v>
      </c>
      <c r="E6309" s="45">
        <v>126.8</v>
      </c>
    </row>
    <row r="6310" spans="2:5">
      <c r="B6310" s="43" t="s">
        <v>56</v>
      </c>
      <c r="C6310" s="43" t="s">
        <v>57</v>
      </c>
      <c r="D6310" s="44">
        <v>45986</v>
      </c>
      <c r="E6310" s="45">
        <v>814.5</v>
      </c>
    </row>
    <row r="6311" spans="2:5">
      <c r="B6311" s="43" t="s">
        <v>162</v>
      </c>
      <c r="C6311" s="43" t="s">
        <v>163</v>
      </c>
      <c r="D6311" s="44">
        <v>45986</v>
      </c>
      <c r="E6311" s="45">
        <v>464.6</v>
      </c>
    </row>
    <row r="6312" spans="2:5">
      <c r="B6312" s="43" t="s">
        <v>176</v>
      </c>
      <c r="C6312" s="43" t="s">
        <v>177</v>
      </c>
      <c r="D6312" s="44">
        <v>45986</v>
      </c>
      <c r="E6312" s="45">
        <v>40.5</v>
      </c>
    </row>
    <row r="6313" spans="2:5">
      <c r="B6313" s="43" t="s">
        <v>76</v>
      </c>
      <c r="C6313" s="43" t="s">
        <v>77</v>
      </c>
      <c r="D6313" s="44">
        <v>45986</v>
      </c>
      <c r="E6313" s="45">
        <v>458.9</v>
      </c>
    </row>
    <row r="6314" spans="2:5">
      <c r="B6314" s="43" t="s">
        <v>188</v>
      </c>
      <c r="C6314" s="43" t="s">
        <v>189</v>
      </c>
      <c r="D6314" s="44">
        <v>45986</v>
      </c>
      <c r="E6314" s="45">
        <v>23.1</v>
      </c>
    </row>
    <row r="6315" spans="2:5">
      <c r="B6315" s="43" t="s">
        <v>152</v>
      </c>
      <c r="C6315" s="43" t="s">
        <v>153</v>
      </c>
      <c r="D6315" s="44">
        <v>45986</v>
      </c>
      <c r="E6315" s="45">
        <v>46.5</v>
      </c>
    </row>
    <row r="6316" spans="2:5">
      <c r="B6316" s="43" t="s">
        <v>78</v>
      </c>
      <c r="C6316" s="43" t="s">
        <v>79</v>
      </c>
      <c r="D6316" s="44">
        <v>45986</v>
      </c>
      <c r="E6316" s="45">
        <v>106.2</v>
      </c>
    </row>
    <row r="6317" spans="2:5">
      <c r="B6317" s="43" t="s">
        <v>22</v>
      </c>
      <c r="C6317" s="43" t="s">
        <v>23</v>
      </c>
      <c r="D6317" s="44">
        <v>45986</v>
      </c>
      <c r="E6317" s="45">
        <v>19.2</v>
      </c>
    </row>
    <row r="6318" spans="2:5">
      <c r="B6318" s="43" t="s">
        <v>80</v>
      </c>
      <c r="C6318" s="43" t="s">
        <v>81</v>
      </c>
      <c r="D6318" s="44">
        <v>45986</v>
      </c>
      <c r="E6318" s="45">
        <v>143.5</v>
      </c>
    </row>
    <row r="6319" spans="2:5">
      <c r="B6319" s="43" t="s">
        <v>24</v>
      </c>
      <c r="C6319" s="43" t="s">
        <v>25</v>
      </c>
      <c r="D6319" s="44">
        <v>45986</v>
      </c>
      <c r="E6319" s="45">
        <v>4579.26</v>
      </c>
    </row>
    <row r="6320" spans="2:5">
      <c r="B6320" s="43" t="s">
        <v>26</v>
      </c>
      <c r="C6320" s="43" t="s">
        <v>27</v>
      </c>
      <c r="D6320" s="44">
        <v>45986</v>
      </c>
      <c r="E6320" s="45">
        <v>1694.95</v>
      </c>
    </row>
    <row r="6321" spans="2:5">
      <c r="B6321" s="43" t="s">
        <v>60</v>
      </c>
      <c r="C6321" s="43" t="s">
        <v>61</v>
      </c>
      <c r="D6321" s="44">
        <v>45986</v>
      </c>
      <c r="E6321" s="45">
        <v>439.2</v>
      </c>
    </row>
    <row r="6322" spans="2:5">
      <c r="B6322" s="43" t="s">
        <v>28</v>
      </c>
      <c r="C6322" s="43" t="s">
        <v>29</v>
      </c>
      <c r="D6322" s="44">
        <v>45986</v>
      </c>
      <c r="E6322" s="45">
        <v>1038.2</v>
      </c>
    </row>
    <row r="6323" spans="2:5">
      <c r="B6323" s="43" t="s">
        <v>62</v>
      </c>
      <c r="C6323" s="43" t="s">
        <v>63</v>
      </c>
      <c r="D6323" s="44">
        <v>45986</v>
      </c>
      <c r="E6323" s="45">
        <v>41</v>
      </c>
    </row>
    <row r="6324" spans="2:5">
      <c r="B6324" s="43" t="s">
        <v>64</v>
      </c>
      <c r="C6324" s="43" t="s">
        <v>65</v>
      </c>
      <c r="D6324" s="44">
        <v>45986</v>
      </c>
      <c r="E6324" s="45">
        <v>420</v>
      </c>
    </row>
    <row r="6325" spans="2:5">
      <c r="B6325" s="43" t="s">
        <v>84</v>
      </c>
      <c r="C6325" s="43" t="s">
        <v>85</v>
      </c>
      <c r="D6325" s="44">
        <v>45986</v>
      </c>
      <c r="E6325" s="45">
        <v>598.8</v>
      </c>
    </row>
    <row r="6326" spans="2:5">
      <c r="B6326" s="43" t="s">
        <v>132</v>
      </c>
      <c r="C6326" s="43" t="s">
        <v>133</v>
      </c>
      <c r="D6326" s="44">
        <v>45986</v>
      </c>
      <c r="E6326" s="45">
        <v>216.3</v>
      </c>
    </row>
    <row r="6327" spans="2:5">
      <c r="B6327" s="43" t="s">
        <v>68</v>
      </c>
      <c r="C6327" s="43" t="s">
        <v>69</v>
      </c>
      <c r="D6327" s="44">
        <v>45986</v>
      </c>
      <c r="E6327" s="45">
        <v>215.4</v>
      </c>
    </row>
    <row r="6328" spans="2:5">
      <c r="B6328" s="43" t="s">
        <v>208</v>
      </c>
      <c r="C6328" s="43" t="s">
        <v>209</v>
      </c>
      <c r="D6328" s="44">
        <v>45986</v>
      </c>
      <c r="E6328" s="45">
        <v>210</v>
      </c>
    </row>
    <row r="6329" spans="2:5">
      <c r="B6329" s="43" t="s">
        <v>106</v>
      </c>
      <c r="C6329" s="43" t="s">
        <v>107</v>
      </c>
      <c r="D6329" s="44">
        <v>45986</v>
      </c>
      <c r="E6329" s="45">
        <v>61.6</v>
      </c>
    </row>
    <row r="6330" spans="2:5">
      <c r="B6330" s="43" t="s">
        <v>96</v>
      </c>
      <c r="C6330" s="43" t="s">
        <v>97</v>
      </c>
      <c r="D6330" s="44">
        <v>45986</v>
      </c>
      <c r="E6330" s="45">
        <v>39</v>
      </c>
    </row>
    <row r="6331" spans="2:5">
      <c r="B6331" s="43" t="s">
        <v>32</v>
      </c>
      <c r="C6331" s="43" t="s">
        <v>33</v>
      </c>
      <c r="D6331" s="44">
        <v>45986</v>
      </c>
      <c r="E6331" s="45">
        <v>1</v>
      </c>
    </row>
    <row r="6332" spans="2:5">
      <c r="B6332" s="43" t="s">
        <v>160</v>
      </c>
      <c r="C6332" s="43" t="s">
        <v>161</v>
      </c>
      <c r="D6332" s="44">
        <v>45986</v>
      </c>
      <c r="E6332" s="45">
        <v>17</v>
      </c>
    </row>
    <row r="6333" spans="2:5">
      <c r="B6333" s="43" t="s">
        <v>34</v>
      </c>
      <c r="C6333" s="43" t="s">
        <v>35</v>
      </c>
      <c r="D6333" s="44">
        <v>45986</v>
      </c>
      <c r="E6333" s="45">
        <v>6</v>
      </c>
    </row>
    <row r="6334" spans="2:5">
      <c r="B6334" s="43" t="s">
        <v>232</v>
      </c>
      <c r="C6334" s="43" t="s">
        <v>233</v>
      </c>
      <c r="D6334" s="44">
        <v>45986</v>
      </c>
      <c r="E6334" s="45">
        <v>3</v>
      </c>
    </row>
    <row r="6335" spans="2:5">
      <c r="B6335" s="43" t="s">
        <v>36</v>
      </c>
      <c r="C6335" s="43" t="s">
        <v>37</v>
      </c>
      <c r="D6335" s="44">
        <v>45986</v>
      </c>
      <c r="E6335" s="45">
        <v>13</v>
      </c>
    </row>
    <row r="6336" spans="2:5">
      <c r="B6336" s="43" t="s">
        <v>86</v>
      </c>
      <c r="C6336" s="43" t="s">
        <v>87</v>
      </c>
      <c r="D6336" s="44">
        <v>45987</v>
      </c>
      <c r="E6336" s="45">
        <v>2</v>
      </c>
    </row>
    <row r="6337" spans="2:5">
      <c r="B6337" s="43" t="s">
        <v>4</v>
      </c>
      <c r="C6337" s="43" t="s">
        <v>5</v>
      </c>
      <c r="D6337" s="44">
        <v>45987</v>
      </c>
      <c r="E6337" s="45">
        <v>127.3</v>
      </c>
    </row>
    <row r="6338" spans="2:5">
      <c r="B6338" s="43" t="s">
        <v>156</v>
      </c>
      <c r="C6338" s="43" t="s">
        <v>157</v>
      </c>
      <c r="D6338" s="44">
        <v>45987</v>
      </c>
      <c r="E6338" s="45">
        <v>23.4</v>
      </c>
    </row>
    <row r="6339" spans="2:5">
      <c r="B6339" s="43" t="s">
        <v>8</v>
      </c>
      <c r="C6339" s="43" t="s">
        <v>9</v>
      </c>
      <c r="D6339" s="44">
        <v>45987</v>
      </c>
      <c r="E6339" s="45">
        <v>652.5</v>
      </c>
    </row>
    <row r="6340" spans="2:5">
      <c r="B6340" s="43" t="s">
        <v>44</v>
      </c>
      <c r="C6340" s="43" t="s">
        <v>45</v>
      </c>
      <c r="D6340" s="44">
        <v>45987</v>
      </c>
      <c r="E6340" s="45">
        <v>8.5</v>
      </c>
    </row>
    <row r="6341" spans="2:5">
      <c r="B6341" s="43" t="s">
        <v>46</v>
      </c>
      <c r="C6341" s="43" t="s">
        <v>47</v>
      </c>
      <c r="D6341" s="44">
        <v>45987</v>
      </c>
      <c r="E6341" s="45">
        <v>237.3</v>
      </c>
    </row>
    <row r="6342" spans="2:5">
      <c r="B6342" s="43" t="s">
        <v>74</v>
      </c>
      <c r="C6342" s="43" t="s">
        <v>75</v>
      </c>
      <c r="D6342" s="44">
        <v>45987</v>
      </c>
      <c r="E6342" s="45">
        <v>37.35</v>
      </c>
    </row>
    <row r="6343" spans="2:5">
      <c r="B6343" s="43" t="s">
        <v>12</v>
      </c>
      <c r="C6343" s="43" t="s">
        <v>13</v>
      </c>
      <c r="D6343" s="44">
        <v>45987</v>
      </c>
      <c r="E6343" s="45">
        <v>828</v>
      </c>
    </row>
    <row r="6344" spans="2:5">
      <c r="B6344" s="43" t="s">
        <v>108</v>
      </c>
      <c r="C6344" s="43" t="s">
        <v>109</v>
      </c>
      <c r="D6344" s="44">
        <v>45987</v>
      </c>
      <c r="E6344" s="45">
        <v>341</v>
      </c>
    </row>
    <row r="6345" spans="2:5">
      <c r="B6345" s="43" t="s">
        <v>50</v>
      </c>
      <c r="C6345" s="43" t="s">
        <v>51</v>
      </c>
      <c r="D6345" s="44">
        <v>45987</v>
      </c>
      <c r="E6345" s="45">
        <v>408</v>
      </c>
    </row>
    <row r="6346" spans="2:5">
      <c r="B6346" s="43" t="s">
        <v>54</v>
      </c>
      <c r="C6346" s="43" t="s">
        <v>55</v>
      </c>
      <c r="D6346" s="44">
        <v>45987</v>
      </c>
      <c r="E6346" s="45">
        <v>957.6</v>
      </c>
    </row>
    <row r="6347" spans="2:5">
      <c r="B6347" s="43" t="s">
        <v>126</v>
      </c>
      <c r="C6347" s="43" t="s">
        <v>127</v>
      </c>
      <c r="D6347" s="44">
        <v>45987</v>
      </c>
      <c r="E6347" s="45">
        <v>566.4</v>
      </c>
    </row>
    <row r="6348" spans="2:5">
      <c r="B6348" s="43" t="s">
        <v>188</v>
      </c>
      <c r="C6348" s="43" t="s">
        <v>189</v>
      </c>
      <c r="D6348" s="44">
        <v>45987</v>
      </c>
      <c r="E6348" s="45">
        <v>92.4</v>
      </c>
    </row>
    <row r="6349" spans="2:5">
      <c r="B6349" s="43" t="s">
        <v>190</v>
      </c>
      <c r="C6349" s="43" t="s">
        <v>191</v>
      </c>
      <c r="D6349" s="44">
        <v>45987</v>
      </c>
      <c r="E6349" s="45">
        <v>27</v>
      </c>
    </row>
    <row r="6350" spans="2:5">
      <c r="B6350" s="43" t="s">
        <v>140</v>
      </c>
      <c r="C6350" s="43" t="s">
        <v>141</v>
      </c>
      <c r="D6350" s="44">
        <v>45987</v>
      </c>
      <c r="E6350" s="45">
        <v>139.2</v>
      </c>
    </row>
    <row r="6351" spans="2:5">
      <c r="B6351" s="43" t="s">
        <v>80</v>
      </c>
      <c r="C6351" s="43" t="s">
        <v>81</v>
      </c>
      <c r="D6351" s="44">
        <v>45987</v>
      </c>
      <c r="E6351" s="45">
        <v>430.5</v>
      </c>
    </row>
    <row r="6352" spans="2:5">
      <c r="B6352" s="43" t="s">
        <v>24</v>
      </c>
      <c r="C6352" s="43" t="s">
        <v>25</v>
      </c>
      <c r="D6352" s="44">
        <v>45987</v>
      </c>
      <c r="E6352" s="45">
        <v>2432.7</v>
      </c>
    </row>
    <row r="6353" spans="2:5">
      <c r="B6353" s="43" t="s">
        <v>26</v>
      </c>
      <c r="C6353" s="43" t="s">
        <v>27</v>
      </c>
      <c r="D6353" s="44">
        <v>45987</v>
      </c>
      <c r="E6353" s="45">
        <v>964.1</v>
      </c>
    </row>
    <row r="6354" spans="2:5">
      <c r="B6354" s="43" t="s">
        <v>60</v>
      </c>
      <c r="C6354" s="43" t="s">
        <v>61</v>
      </c>
      <c r="D6354" s="44">
        <v>45987</v>
      </c>
      <c r="E6354" s="45">
        <v>146.4</v>
      </c>
    </row>
    <row r="6355" spans="2:5">
      <c r="B6355" s="43" t="s">
        <v>62</v>
      </c>
      <c r="C6355" s="43" t="s">
        <v>63</v>
      </c>
      <c r="D6355" s="44">
        <v>45987</v>
      </c>
      <c r="E6355" s="45">
        <v>1353</v>
      </c>
    </row>
    <row r="6356" spans="2:5">
      <c r="B6356" s="43" t="s">
        <v>148</v>
      </c>
      <c r="C6356" s="43" t="s">
        <v>149</v>
      </c>
      <c r="D6356" s="44">
        <v>45987</v>
      </c>
      <c r="E6356" s="45">
        <v>137.4</v>
      </c>
    </row>
    <row r="6357" spans="2:5">
      <c r="B6357" s="43" t="s">
        <v>198</v>
      </c>
      <c r="C6357" s="43" t="s">
        <v>199</v>
      </c>
      <c r="D6357" s="44">
        <v>45987</v>
      </c>
      <c r="E6357" s="45">
        <v>277.2</v>
      </c>
    </row>
    <row r="6358" spans="2:5">
      <c r="B6358" s="43" t="s">
        <v>166</v>
      </c>
      <c r="C6358" s="43" t="s">
        <v>167</v>
      </c>
      <c r="D6358" s="44">
        <v>45987</v>
      </c>
      <c r="E6358" s="45">
        <v>232.2</v>
      </c>
    </row>
    <row r="6359" spans="2:5">
      <c r="B6359" s="43" t="s">
        <v>186</v>
      </c>
      <c r="C6359" s="43" t="s">
        <v>187</v>
      </c>
      <c r="D6359" s="44">
        <v>45987</v>
      </c>
      <c r="E6359" s="45">
        <v>534.4</v>
      </c>
    </row>
    <row r="6360" spans="2:5">
      <c r="B6360" s="43" t="s">
        <v>92</v>
      </c>
      <c r="C6360" s="43" t="s">
        <v>93</v>
      </c>
      <c r="D6360" s="44">
        <v>45987</v>
      </c>
      <c r="E6360" s="45">
        <v>324.9</v>
      </c>
    </row>
    <row r="6361" spans="2:5">
      <c r="B6361" s="43" t="s">
        <v>142</v>
      </c>
      <c r="C6361" s="43" t="s">
        <v>143</v>
      </c>
      <c r="D6361" s="44">
        <v>45987</v>
      </c>
      <c r="E6361" s="45">
        <v>1</v>
      </c>
    </row>
    <row r="6362" spans="2:5">
      <c r="B6362" s="43" t="s">
        <v>196</v>
      </c>
      <c r="C6362" s="43" t="s">
        <v>197</v>
      </c>
      <c r="D6362" s="44">
        <v>45987</v>
      </c>
      <c r="E6362" s="45">
        <v>3</v>
      </c>
    </row>
    <row r="6363" spans="2:5">
      <c r="B6363" s="43" t="s">
        <v>96</v>
      </c>
      <c r="C6363" s="43" t="s">
        <v>97</v>
      </c>
      <c r="D6363" s="44">
        <v>45987</v>
      </c>
      <c r="E6363" s="45">
        <v>39</v>
      </c>
    </row>
    <row r="6364" spans="2:5">
      <c r="B6364" s="43" t="s">
        <v>32</v>
      </c>
      <c r="C6364" s="43" t="s">
        <v>33</v>
      </c>
      <c r="D6364" s="44">
        <v>45987</v>
      </c>
      <c r="E6364" s="45">
        <v>19</v>
      </c>
    </row>
    <row r="6365" spans="2:5">
      <c r="B6365" s="43" t="s">
        <v>160</v>
      </c>
      <c r="C6365" s="43" t="s">
        <v>161</v>
      </c>
      <c r="D6365" s="44">
        <v>45987</v>
      </c>
      <c r="E6365" s="45">
        <v>3</v>
      </c>
    </row>
    <row r="6366" spans="2:5">
      <c r="B6366" s="43" t="s">
        <v>34</v>
      </c>
      <c r="C6366" s="43" t="s">
        <v>35</v>
      </c>
      <c r="D6366" s="44">
        <v>45987</v>
      </c>
      <c r="E6366" s="45">
        <v>3</v>
      </c>
    </row>
    <row r="6367" spans="2:5">
      <c r="B6367" s="43" t="s">
        <v>36</v>
      </c>
      <c r="C6367" s="43" t="s">
        <v>37</v>
      </c>
      <c r="D6367" s="44">
        <v>45987</v>
      </c>
      <c r="E6367" s="45">
        <v>5</v>
      </c>
    </row>
    <row r="6368" spans="2:5">
      <c r="B6368" s="43" t="s">
        <v>38</v>
      </c>
      <c r="C6368" s="43" t="s">
        <v>39</v>
      </c>
      <c r="D6368" s="44">
        <v>45987</v>
      </c>
      <c r="E6368" s="45">
        <v>44</v>
      </c>
    </row>
    <row r="6369" spans="2:5">
      <c r="B6369" s="43" t="s">
        <v>86</v>
      </c>
      <c r="C6369" s="43" t="s">
        <v>87</v>
      </c>
      <c r="D6369" s="44">
        <v>45988</v>
      </c>
      <c r="E6369" s="45">
        <v>18</v>
      </c>
    </row>
    <row r="6370" spans="2:5">
      <c r="B6370" s="43" t="s">
        <v>8</v>
      </c>
      <c r="C6370" s="43" t="s">
        <v>9</v>
      </c>
      <c r="D6370" s="44">
        <v>45988</v>
      </c>
      <c r="E6370" s="45">
        <v>69.6</v>
      </c>
    </row>
    <row r="6371" spans="2:5">
      <c r="B6371" s="43" t="s">
        <v>44</v>
      </c>
      <c r="C6371" s="43" t="s">
        <v>45</v>
      </c>
      <c r="D6371" s="44">
        <v>45988</v>
      </c>
      <c r="E6371" s="45">
        <v>34</v>
      </c>
    </row>
    <row r="6372" spans="2:5">
      <c r="B6372" s="43" t="s">
        <v>46</v>
      </c>
      <c r="C6372" s="43" t="s">
        <v>47</v>
      </c>
      <c r="D6372" s="44">
        <v>45988</v>
      </c>
      <c r="E6372" s="45">
        <v>531.1</v>
      </c>
    </row>
    <row r="6373" spans="2:5">
      <c r="B6373" s="43" t="s">
        <v>10</v>
      </c>
      <c r="C6373" s="43" t="s">
        <v>11</v>
      </c>
      <c r="D6373" s="44">
        <v>45988</v>
      </c>
      <c r="E6373" s="45">
        <v>198.9</v>
      </c>
    </row>
    <row r="6374" spans="2:5">
      <c r="B6374" s="43" t="s">
        <v>74</v>
      </c>
      <c r="C6374" s="43" t="s">
        <v>75</v>
      </c>
      <c r="D6374" s="44">
        <v>45988</v>
      </c>
      <c r="E6374" s="45">
        <v>249</v>
      </c>
    </row>
    <row r="6375" spans="2:5">
      <c r="B6375" s="43" t="s">
        <v>12</v>
      </c>
      <c r="C6375" s="43" t="s">
        <v>13</v>
      </c>
      <c r="D6375" s="44">
        <v>45988</v>
      </c>
      <c r="E6375" s="45">
        <v>745.2</v>
      </c>
    </row>
    <row r="6376" spans="2:5">
      <c r="B6376" s="43" t="s">
        <v>108</v>
      </c>
      <c r="C6376" s="43" t="s">
        <v>109</v>
      </c>
      <c r="D6376" s="44">
        <v>45988</v>
      </c>
      <c r="E6376" s="45">
        <v>15.5</v>
      </c>
    </row>
    <row r="6377" spans="2:5">
      <c r="B6377" s="43" t="s">
        <v>14</v>
      </c>
      <c r="C6377" s="43" t="s">
        <v>15</v>
      </c>
      <c r="D6377" s="44">
        <v>45988</v>
      </c>
      <c r="E6377" s="45">
        <v>216</v>
      </c>
    </row>
    <row r="6378" spans="2:5">
      <c r="B6378" s="43" t="s">
        <v>50</v>
      </c>
      <c r="C6378" s="43" t="s">
        <v>51</v>
      </c>
      <c r="D6378" s="44">
        <v>45988</v>
      </c>
      <c r="E6378" s="45">
        <v>108.8</v>
      </c>
    </row>
    <row r="6379" spans="2:5">
      <c r="B6379" s="43" t="s">
        <v>138</v>
      </c>
      <c r="C6379" s="43" t="s">
        <v>139</v>
      </c>
      <c r="D6379" s="44">
        <v>45988</v>
      </c>
      <c r="E6379" s="45">
        <v>63.4</v>
      </c>
    </row>
    <row r="6380" spans="2:5">
      <c r="B6380" s="43" t="s">
        <v>56</v>
      </c>
      <c r="C6380" s="43" t="s">
        <v>57</v>
      </c>
      <c r="D6380" s="44">
        <v>45988</v>
      </c>
      <c r="E6380" s="45">
        <v>325.8</v>
      </c>
    </row>
    <row r="6381" spans="2:5">
      <c r="B6381" s="43" t="s">
        <v>176</v>
      </c>
      <c r="C6381" s="43" t="s">
        <v>177</v>
      </c>
      <c r="D6381" s="44">
        <v>45988</v>
      </c>
      <c r="E6381" s="45">
        <v>40.5</v>
      </c>
    </row>
    <row r="6382" spans="2:5">
      <c r="B6382" s="43" t="s">
        <v>18</v>
      </c>
      <c r="C6382" s="43" t="s">
        <v>19</v>
      </c>
      <c r="D6382" s="44">
        <v>45988</v>
      </c>
      <c r="E6382" s="45">
        <v>66.96</v>
      </c>
    </row>
    <row r="6383" spans="2:5">
      <c r="B6383" s="43" t="s">
        <v>192</v>
      </c>
      <c r="C6383" s="43" t="s">
        <v>193</v>
      </c>
      <c r="D6383" s="44">
        <v>45988</v>
      </c>
      <c r="E6383" s="45">
        <v>30.8</v>
      </c>
    </row>
    <row r="6384" spans="2:5">
      <c r="B6384" s="43" t="s">
        <v>78</v>
      </c>
      <c r="C6384" s="43" t="s">
        <v>79</v>
      </c>
      <c r="D6384" s="44">
        <v>45988</v>
      </c>
      <c r="E6384" s="45">
        <v>79.65</v>
      </c>
    </row>
    <row r="6385" spans="2:5">
      <c r="B6385" s="43" t="s">
        <v>20</v>
      </c>
      <c r="C6385" s="43" t="s">
        <v>21</v>
      </c>
      <c r="D6385" s="44">
        <v>45988</v>
      </c>
      <c r="E6385" s="45">
        <v>19.6</v>
      </c>
    </row>
    <row r="6386" spans="2:5">
      <c r="B6386" s="43" t="s">
        <v>22</v>
      </c>
      <c r="C6386" s="43" t="s">
        <v>23</v>
      </c>
      <c r="D6386" s="44">
        <v>45988</v>
      </c>
      <c r="E6386" s="45">
        <v>38.4</v>
      </c>
    </row>
    <row r="6387" spans="2:5">
      <c r="B6387" s="43" t="s">
        <v>140</v>
      </c>
      <c r="C6387" s="43" t="s">
        <v>141</v>
      </c>
      <c r="D6387" s="44">
        <v>45988</v>
      </c>
      <c r="E6387" s="45">
        <v>185.6</v>
      </c>
    </row>
    <row r="6388" spans="2:5">
      <c r="B6388" s="43" t="s">
        <v>80</v>
      </c>
      <c r="C6388" s="43" t="s">
        <v>81</v>
      </c>
      <c r="D6388" s="44">
        <v>45988</v>
      </c>
      <c r="E6388" s="45">
        <v>172.2</v>
      </c>
    </row>
    <row r="6389" spans="2:5">
      <c r="B6389" s="43" t="s">
        <v>24</v>
      </c>
      <c r="C6389" s="43" t="s">
        <v>25</v>
      </c>
      <c r="D6389" s="44">
        <v>45988</v>
      </c>
      <c r="E6389" s="45">
        <v>2385</v>
      </c>
    </row>
    <row r="6390" spans="2:5">
      <c r="B6390" s="43" t="s">
        <v>26</v>
      </c>
      <c r="C6390" s="43" t="s">
        <v>27</v>
      </c>
      <c r="D6390" s="44">
        <v>45988</v>
      </c>
      <c r="E6390" s="45">
        <v>2830.1</v>
      </c>
    </row>
    <row r="6391" spans="2:5">
      <c r="B6391" s="43" t="s">
        <v>28</v>
      </c>
      <c r="C6391" s="43" t="s">
        <v>29</v>
      </c>
      <c r="D6391" s="44">
        <v>45988</v>
      </c>
      <c r="E6391" s="45">
        <v>1915.3</v>
      </c>
    </row>
    <row r="6392" spans="2:5">
      <c r="B6392" s="43" t="s">
        <v>82</v>
      </c>
      <c r="C6392" s="43" t="s">
        <v>83</v>
      </c>
      <c r="D6392" s="44">
        <v>45988</v>
      </c>
      <c r="E6392" s="45">
        <v>608.85</v>
      </c>
    </row>
    <row r="6393" spans="2:5">
      <c r="B6393" s="43" t="s">
        <v>62</v>
      </c>
      <c r="C6393" s="43" t="s">
        <v>63</v>
      </c>
      <c r="D6393" s="44">
        <v>45988</v>
      </c>
      <c r="E6393" s="45">
        <v>82</v>
      </c>
    </row>
    <row r="6394" spans="2:5">
      <c r="B6394" s="43" t="s">
        <v>64</v>
      </c>
      <c r="C6394" s="43" t="s">
        <v>65</v>
      </c>
      <c r="D6394" s="44">
        <v>45988</v>
      </c>
      <c r="E6394" s="45">
        <v>200</v>
      </c>
    </row>
    <row r="6395" spans="2:5">
      <c r="B6395" s="43" t="s">
        <v>238</v>
      </c>
      <c r="C6395" s="43" t="s">
        <v>239</v>
      </c>
      <c r="D6395" s="44">
        <v>45988</v>
      </c>
      <c r="E6395" s="45">
        <v>176.4</v>
      </c>
    </row>
    <row r="6396" spans="2:5">
      <c r="B6396" s="43" t="s">
        <v>84</v>
      </c>
      <c r="C6396" s="43" t="s">
        <v>85</v>
      </c>
      <c r="D6396" s="44">
        <v>45988</v>
      </c>
      <c r="E6396" s="45">
        <v>374.25</v>
      </c>
    </row>
    <row r="6397" spans="2:5">
      <c r="B6397" s="43" t="s">
        <v>68</v>
      </c>
      <c r="C6397" s="43" t="s">
        <v>69</v>
      </c>
      <c r="D6397" s="44">
        <v>45988</v>
      </c>
      <c r="E6397" s="45">
        <v>359</v>
      </c>
    </row>
    <row r="6398" spans="2:5">
      <c r="B6398" s="43" t="s">
        <v>106</v>
      </c>
      <c r="C6398" s="43" t="s">
        <v>107</v>
      </c>
      <c r="D6398" s="44">
        <v>45988</v>
      </c>
      <c r="E6398" s="45">
        <v>7.7</v>
      </c>
    </row>
    <row r="6399" spans="2:5">
      <c r="B6399" s="43" t="s">
        <v>142</v>
      </c>
      <c r="C6399" s="43" t="s">
        <v>143</v>
      </c>
      <c r="D6399" s="44">
        <v>45988</v>
      </c>
      <c r="E6399" s="45">
        <v>22</v>
      </c>
    </row>
    <row r="6400" spans="2:5">
      <c r="B6400" s="43" t="s">
        <v>196</v>
      </c>
      <c r="C6400" s="43" t="s">
        <v>197</v>
      </c>
      <c r="D6400" s="44">
        <v>45988</v>
      </c>
      <c r="E6400" s="45">
        <v>4</v>
      </c>
    </row>
    <row r="6401" spans="2:5">
      <c r="B6401" s="43" t="s">
        <v>96</v>
      </c>
      <c r="C6401" s="43" t="s">
        <v>97</v>
      </c>
      <c r="D6401" s="44">
        <v>45988</v>
      </c>
      <c r="E6401" s="45">
        <v>38</v>
      </c>
    </row>
    <row r="6402" spans="2:5">
      <c r="B6402" s="43" t="s">
        <v>32</v>
      </c>
      <c r="C6402" s="43" t="s">
        <v>33</v>
      </c>
      <c r="D6402" s="44">
        <v>45988</v>
      </c>
      <c r="E6402" s="45">
        <v>18</v>
      </c>
    </row>
    <row r="6403" spans="2:5">
      <c r="B6403" s="43" t="s">
        <v>42</v>
      </c>
      <c r="C6403" s="43" t="s">
        <v>43</v>
      </c>
      <c r="D6403" s="44">
        <v>45989</v>
      </c>
      <c r="E6403" s="45">
        <v>181.5</v>
      </c>
    </row>
    <row r="6404" spans="2:5">
      <c r="B6404" s="43" t="s">
        <v>156</v>
      </c>
      <c r="C6404" s="43" t="s">
        <v>157</v>
      </c>
      <c r="D6404" s="44">
        <v>45989</v>
      </c>
      <c r="E6404" s="45">
        <v>273</v>
      </c>
    </row>
    <row r="6405" spans="2:5">
      <c r="B6405" s="43" t="s">
        <v>8</v>
      </c>
      <c r="C6405" s="43" t="s">
        <v>9</v>
      </c>
      <c r="D6405" s="44">
        <v>45989</v>
      </c>
      <c r="E6405" s="45">
        <v>78.3</v>
      </c>
    </row>
    <row r="6406" spans="2:5">
      <c r="B6406" s="43" t="s">
        <v>44</v>
      </c>
      <c r="C6406" s="43" t="s">
        <v>45</v>
      </c>
      <c r="D6406" s="44">
        <v>45989</v>
      </c>
      <c r="E6406" s="45">
        <v>8.5</v>
      </c>
    </row>
    <row r="6407" spans="2:5">
      <c r="B6407" s="43" t="s">
        <v>46</v>
      </c>
      <c r="C6407" s="43" t="s">
        <v>47</v>
      </c>
      <c r="D6407" s="44">
        <v>45989</v>
      </c>
      <c r="E6407" s="45">
        <v>1016.99</v>
      </c>
    </row>
    <row r="6408" spans="2:5">
      <c r="B6408" s="43" t="s">
        <v>10</v>
      </c>
      <c r="C6408" s="43" t="s">
        <v>11</v>
      </c>
      <c r="D6408" s="44">
        <v>45989</v>
      </c>
      <c r="E6408" s="45">
        <v>442</v>
      </c>
    </row>
    <row r="6409" spans="2:5">
      <c r="B6409" s="43" t="s">
        <v>74</v>
      </c>
      <c r="C6409" s="43" t="s">
        <v>75</v>
      </c>
      <c r="D6409" s="44">
        <v>45989</v>
      </c>
      <c r="E6409" s="45">
        <v>1070.7</v>
      </c>
    </row>
    <row r="6410" spans="2:5">
      <c r="B6410" s="43" t="s">
        <v>178</v>
      </c>
      <c r="C6410" s="43" t="s">
        <v>179</v>
      </c>
      <c r="D6410" s="44">
        <v>45989</v>
      </c>
      <c r="E6410" s="45">
        <v>72</v>
      </c>
    </row>
    <row r="6411" spans="2:5">
      <c r="B6411" s="43" t="s">
        <v>14</v>
      </c>
      <c r="C6411" s="43" t="s">
        <v>15</v>
      </c>
      <c r="D6411" s="44">
        <v>45989</v>
      </c>
      <c r="E6411" s="45">
        <v>1350</v>
      </c>
    </row>
    <row r="6412" spans="2:5">
      <c r="B6412" s="43" t="s">
        <v>50</v>
      </c>
      <c r="C6412" s="43" t="s">
        <v>51</v>
      </c>
      <c r="D6412" s="44">
        <v>45989</v>
      </c>
      <c r="E6412" s="45">
        <v>680</v>
      </c>
    </row>
    <row r="6413" spans="2:5">
      <c r="B6413" s="43" t="s">
        <v>138</v>
      </c>
      <c r="C6413" s="43" t="s">
        <v>139</v>
      </c>
      <c r="D6413" s="44">
        <v>45989</v>
      </c>
      <c r="E6413" s="45">
        <v>317</v>
      </c>
    </row>
    <row r="6414" spans="2:5">
      <c r="B6414" s="43" t="s">
        <v>162</v>
      </c>
      <c r="C6414" s="43" t="s">
        <v>163</v>
      </c>
      <c r="D6414" s="44">
        <v>45989</v>
      </c>
      <c r="E6414" s="45">
        <v>606</v>
      </c>
    </row>
    <row r="6415" spans="2:5">
      <c r="B6415" s="43" t="s">
        <v>78</v>
      </c>
      <c r="C6415" s="43" t="s">
        <v>79</v>
      </c>
      <c r="D6415" s="44">
        <v>45989</v>
      </c>
      <c r="E6415" s="45">
        <v>247.8</v>
      </c>
    </row>
    <row r="6416" spans="2:5">
      <c r="B6416" s="43" t="s">
        <v>20</v>
      </c>
      <c r="C6416" s="43" t="s">
        <v>21</v>
      </c>
      <c r="D6416" s="44">
        <v>45989</v>
      </c>
      <c r="E6416" s="45">
        <v>98</v>
      </c>
    </row>
    <row r="6417" spans="2:5">
      <c r="B6417" s="43" t="s">
        <v>80</v>
      </c>
      <c r="C6417" s="43" t="s">
        <v>81</v>
      </c>
      <c r="D6417" s="44">
        <v>45989</v>
      </c>
      <c r="E6417" s="45">
        <v>3271.8</v>
      </c>
    </row>
    <row r="6418" spans="2:5">
      <c r="B6418" s="43" t="s">
        <v>24</v>
      </c>
      <c r="C6418" s="43" t="s">
        <v>25</v>
      </c>
      <c r="D6418" s="44">
        <v>45989</v>
      </c>
      <c r="E6418" s="45">
        <v>810.9</v>
      </c>
    </row>
    <row r="6419" spans="2:5">
      <c r="B6419" s="43" t="s">
        <v>26</v>
      </c>
      <c r="C6419" s="43" t="s">
        <v>27</v>
      </c>
      <c r="D6419" s="44">
        <v>45989</v>
      </c>
      <c r="E6419" s="45">
        <v>326.55</v>
      </c>
    </row>
    <row r="6420" spans="2:5">
      <c r="B6420" s="43" t="s">
        <v>28</v>
      </c>
      <c r="C6420" s="43" t="s">
        <v>29</v>
      </c>
      <c r="D6420" s="44">
        <v>45989</v>
      </c>
      <c r="E6420" s="45">
        <v>143.2</v>
      </c>
    </row>
    <row r="6421" spans="2:5">
      <c r="B6421" s="43" t="s">
        <v>62</v>
      </c>
      <c r="C6421" s="43" t="s">
        <v>63</v>
      </c>
      <c r="D6421" s="44">
        <v>45989</v>
      </c>
      <c r="E6421" s="45">
        <v>922.5</v>
      </c>
    </row>
    <row r="6422" spans="2:5">
      <c r="B6422" s="43" t="s">
        <v>84</v>
      </c>
      <c r="C6422" s="43" t="s">
        <v>85</v>
      </c>
      <c r="D6422" s="44">
        <v>45989</v>
      </c>
      <c r="E6422" s="45">
        <v>299.4</v>
      </c>
    </row>
    <row r="6423" spans="2:5">
      <c r="B6423" s="43" t="s">
        <v>174</v>
      </c>
      <c r="C6423" s="43" t="s">
        <v>175</v>
      </c>
      <c r="D6423" s="44">
        <v>45989</v>
      </c>
      <c r="E6423" s="45">
        <v>212.4</v>
      </c>
    </row>
    <row r="6424" spans="2:5">
      <c r="B6424" s="43" t="s">
        <v>106</v>
      </c>
      <c r="C6424" s="43" t="s">
        <v>107</v>
      </c>
      <c r="D6424" s="44">
        <v>45989</v>
      </c>
      <c r="E6424" s="45">
        <v>7.7</v>
      </c>
    </row>
    <row r="6425" spans="2:5">
      <c r="B6425" s="43" t="s">
        <v>142</v>
      </c>
      <c r="C6425" s="43" t="s">
        <v>143</v>
      </c>
      <c r="D6425" s="44">
        <v>45989</v>
      </c>
      <c r="E6425" s="45">
        <v>13</v>
      </c>
    </row>
    <row r="6426" spans="2:5">
      <c r="B6426" s="43" t="s">
        <v>96</v>
      </c>
      <c r="C6426" s="43" t="s">
        <v>97</v>
      </c>
      <c r="D6426" s="44">
        <v>45989</v>
      </c>
      <c r="E6426" s="45">
        <v>24</v>
      </c>
    </row>
    <row r="6427" spans="2:5">
      <c r="B6427" s="43" t="s">
        <v>32</v>
      </c>
      <c r="C6427" s="43" t="s">
        <v>33</v>
      </c>
      <c r="D6427" s="44">
        <v>45989</v>
      </c>
      <c r="E6427" s="45">
        <v>1</v>
      </c>
    </row>
    <row r="6428" spans="2:5">
      <c r="B6428" s="43" t="s">
        <v>34</v>
      </c>
      <c r="C6428" s="43" t="s">
        <v>35</v>
      </c>
      <c r="D6428" s="44">
        <v>45989</v>
      </c>
      <c r="E6428" s="45">
        <v>6</v>
      </c>
    </row>
    <row r="6429" spans="2:5">
      <c r="B6429" s="43" t="s">
        <v>36</v>
      </c>
      <c r="C6429" s="43" t="s">
        <v>37</v>
      </c>
      <c r="D6429" s="44">
        <v>45989</v>
      </c>
      <c r="E6429" s="45">
        <v>1</v>
      </c>
    </row>
    <row r="6430" spans="2:5">
      <c r="B6430" s="43" t="s">
        <v>38</v>
      </c>
      <c r="C6430" s="43" t="s">
        <v>39</v>
      </c>
      <c r="D6430" s="44">
        <v>45989</v>
      </c>
      <c r="E6430" s="45">
        <v>1</v>
      </c>
    </row>
    <row r="6431" spans="2:5">
      <c r="B6431" s="43" t="s">
        <v>8</v>
      </c>
      <c r="C6431" s="43" t="s">
        <v>9</v>
      </c>
      <c r="D6431" s="44">
        <v>45992</v>
      </c>
      <c r="E6431" s="45">
        <v>52.2</v>
      </c>
    </row>
    <row r="6432" spans="2:5">
      <c r="B6432" s="43" t="s">
        <v>46</v>
      </c>
      <c r="C6432" s="43" t="s">
        <v>47</v>
      </c>
      <c r="D6432" s="44">
        <v>45992</v>
      </c>
      <c r="E6432" s="45">
        <v>192.1</v>
      </c>
    </row>
    <row r="6433" spans="2:5">
      <c r="B6433" s="43" t="s">
        <v>10</v>
      </c>
      <c r="C6433" s="43" t="s">
        <v>11</v>
      </c>
      <c r="D6433" s="44">
        <v>45992</v>
      </c>
      <c r="E6433" s="45">
        <v>198.9</v>
      </c>
    </row>
    <row r="6434" spans="2:5">
      <c r="B6434" s="43" t="s">
        <v>206</v>
      </c>
      <c r="C6434" s="43" t="s">
        <v>207</v>
      </c>
      <c r="D6434" s="44">
        <v>45992</v>
      </c>
      <c r="E6434" s="45">
        <v>808</v>
      </c>
    </row>
    <row r="6435" spans="2:5">
      <c r="B6435" s="43" t="s">
        <v>14</v>
      </c>
      <c r="C6435" s="43" t="s">
        <v>15</v>
      </c>
      <c r="D6435" s="44">
        <v>45992</v>
      </c>
      <c r="E6435" s="45">
        <v>270</v>
      </c>
    </row>
    <row r="6436" spans="2:5">
      <c r="B6436" s="43" t="s">
        <v>50</v>
      </c>
      <c r="C6436" s="43" t="s">
        <v>51</v>
      </c>
      <c r="D6436" s="44">
        <v>45992</v>
      </c>
      <c r="E6436" s="45">
        <v>81.6</v>
      </c>
    </row>
    <row r="6437" spans="2:5">
      <c r="B6437" s="43" t="s">
        <v>54</v>
      </c>
      <c r="C6437" s="43" t="s">
        <v>55</v>
      </c>
      <c r="D6437" s="44">
        <v>45992</v>
      </c>
      <c r="E6437" s="45">
        <v>133</v>
      </c>
    </row>
    <row r="6438" spans="2:5">
      <c r="B6438" s="43" t="s">
        <v>56</v>
      </c>
      <c r="C6438" s="43" t="s">
        <v>57</v>
      </c>
      <c r="D6438" s="44">
        <v>45992</v>
      </c>
      <c r="E6438" s="45">
        <v>144.8</v>
      </c>
    </row>
    <row r="6439" spans="2:5">
      <c r="B6439" s="43" t="s">
        <v>78</v>
      </c>
      <c r="C6439" s="43" t="s">
        <v>79</v>
      </c>
      <c r="D6439" s="44">
        <v>45992</v>
      </c>
      <c r="E6439" s="45">
        <v>44.25</v>
      </c>
    </row>
    <row r="6440" spans="2:5">
      <c r="B6440" s="43" t="s">
        <v>22</v>
      </c>
      <c r="C6440" s="43" t="s">
        <v>23</v>
      </c>
      <c r="D6440" s="44">
        <v>45992</v>
      </c>
      <c r="E6440" s="45">
        <v>9.6</v>
      </c>
    </row>
    <row r="6441" spans="2:5">
      <c r="B6441" s="43" t="s">
        <v>140</v>
      </c>
      <c r="C6441" s="43" t="s">
        <v>141</v>
      </c>
      <c r="D6441" s="44">
        <v>45992</v>
      </c>
      <c r="E6441" s="45">
        <v>510.4</v>
      </c>
    </row>
    <row r="6442" spans="2:5">
      <c r="B6442" s="43" t="s">
        <v>80</v>
      </c>
      <c r="C6442" s="43" t="s">
        <v>81</v>
      </c>
      <c r="D6442" s="44">
        <v>45992</v>
      </c>
      <c r="E6442" s="45">
        <v>530.95</v>
      </c>
    </row>
    <row r="6443" spans="2:5">
      <c r="B6443" s="43" t="s">
        <v>24</v>
      </c>
      <c r="C6443" s="43" t="s">
        <v>25</v>
      </c>
      <c r="D6443" s="44">
        <v>45992</v>
      </c>
      <c r="E6443" s="45">
        <v>1669.5</v>
      </c>
    </row>
    <row r="6444" spans="2:5">
      <c r="B6444" s="43" t="s">
        <v>26</v>
      </c>
      <c r="C6444" s="43" t="s">
        <v>27</v>
      </c>
      <c r="D6444" s="44">
        <v>45992</v>
      </c>
      <c r="E6444" s="45">
        <v>1446.15</v>
      </c>
    </row>
    <row r="6445" spans="2:5">
      <c r="B6445" s="43" t="s">
        <v>60</v>
      </c>
      <c r="C6445" s="43" t="s">
        <v>61</v>
      </c>
      <c r="D6445" s="44">
        <v>45992</v>
      </c>
      <c r="E6445" s="45">
        <v>292.8</v>
      </c>
    </row>
    <row r="6446" spans="2:5">
      <c r="B6446" s="43" t="s">
        <v>28</v>
      </c>
      <c r="C6446" s="43" t="s">
        <v>29</v>
      </c>
      <c r="D6446" s="44">
        <v>45992</v>
      </c>
      <c r="E6446" s="45">
        <v>304.3</v>
      </c>
    </row>
    <row r="6447" spans="2:5">
      <c r="B6447" s="43" t="s">
        <v>122</v>
      </c>
      <c r="C6447" s="43" t="s">
        <v>123</v>
      </c>
      <c r="D6447" s="44">
        <v>45992</v>
      </c>
      <c r="E6447" s="45">
        <v>1117.4</v>
      </c>
    </row>
    <row r="6448" spans="2:5">
      <c r="B6448" s="43" t="s">
        <v>62</v>
      </c>
      <c r="C6448" s="43" t="s">
        <v>63</v>
      </c>
      <c r="D6448" s="44">
        <v>45992</v>
      </c>
      <c r="E6448" s="45">
        <v>533</v>
      </c>
    </row>
    <row r="6449" spans="2:5">
      <c r="B6449" s="43" t="s">
        <v>64</v>
      </c>
      <c r="C6449" s="43" t="s">
        <v>65</v>
      </c>
      <c r="D6449" s="44">
        <v>45992</v>
      </c>
      <c r="E6449" s="45">
        <v>182.8</v>
      </c>
    </row>
    <row r="6450" spans="2:5">
      <c r="B6450" s="43" t="s">
        <v>132</v>
      </c>
      <c r="C6450" s="43" t="s">
        <v>133</v>
      </c>
      <c r="D6450" s="44">
        <v>45992</v>
      </c>
      <c r="E6450" s="45">
        <v>216.3</v>
      </c>
    </row>
    <row r="6451" spans="2:5">
      <c r="B6451" s="43" t="s">
        <v>92</v>
      </c>
      <c r="C6451" s="43" t="s">
        <v>93</v>
      </c>
      <c r="D6451" s="44">
        <v>45992</v>
      </c>
      <c r="E6451" s="45">
        <v>108.35</v>
      </c>
    </row>
    <row r="6452" spans="2:5">
      <c r="B6452" s="43" t="s">
        <v>150</v>
      </c>
      <c r="C6452" s="43" t="s">
        <v>151</v>
      </c>
      <c r="D6452" s="44">
        <v>45992</v>
      </c>
      <c r="E6452" s="45">
        <v>27.05</v>
      </c>
    </row>
    <row r="6453" spans="2:5">
      <c r="B6453" s="43" t="s">
        <v>196</v>
      </c>
      <c r="C6453" s="43" t="s">
        <v>197</v>
      </c>
      <c r="D6453" s="44">
        <v>45992</v>
      </c>
      <c r="E6453" s="45">
        <v>5</v>
      </c>
    </row>
    <row r="6454" spans="2:5">
      <c r="B6454" s="43" t="s">
        <v>96</v>
      </c>
      <c r="C6454" s="43" t="s">
        <v>97</v>
      </c>
      <c r="D6454" s="44">
        <v>45992</v>
      </c>
      <c r="E6454" s="45">
        <v>40</v>
      </c>
    </row>
    <row r="6455" spans="2:5">
      <c r="B6455" s="43" t="s">
        <v>32</v>
      </c>
      <c r="C6455" s="43" t="s">
        <v>33</v>
      </c>
      <c r="D6455" s="44">
        <v>45992</v>
      </c>
      <c r="E6455" s="45">
        <v>3</v>
      </c>
    </row>
    <row r="6456" spans="2:5">
      <c r="B6456" s="43" t="s">
        <v>160</v>
      </c>
      <c r="C6456" s="43" t="s">
        <v>161</v>
      </c>
      <c r="D6456" s="44">
        <v>45992</v>
      </c>
      <c r="E6456" s="45">
        <v>2</v>
      </c>
    </row>
    <row r="6457" spans="2:5">
      <c r="B6457" s="43" t="s">
        <v>34</v>
      </c>
      <c r="C6457" s="43" t="s">
        <v>35</v>
      </c>
      <c r="D6457" s="44">
        <v>45992</v>
      </c>
      <c r="E6457" s="45">
        <v>1</v>
      </c>
    </row>
    <row r="6458" spans="2:5">
      <c r="B6458" s="43" t="s">
        <v>38</v>
      </c>
      <c r="C6458" s="43" t="s">
        <v>39</v>
      </c>
      <c r="D6458" s="44">
        <v>45992</v>
      </c>
      <c r="E6458" s="45">
        <v>30</v>
      </c>
    </row>
    <row r="6459" spans="2:5">
      <c r="B6459" s="43" t="s">
        <v>102</v>
      </c>
      <c r="C6459" s="43" t="s">
        <v>103</v>
      </c>
      <c r="D6459" s="44">
        <v>45993</v>
      </c>
      <c r="E6459" s="45">
        <v>3</v>
      </c>
    </row>
    <row r="6460" spans="2:5">
      <c r="B6460" s="43" t="s">
        <v>8</v>
      </c>
      <c r="C6460" s="43" t="s">
        <v>9</v>
      </c>
      <c r="D6460" s="44">
        <v>45993</v>
      </c>
      <c r="E6460" s="45">
        <v>8.7</v>
      </c>
    </row>
    <row r="6461" spans="2:5">
      <c r="B6461" s="43" t="s">
        <v>44</v>
      </c>
      <c r="C6461" s="43" t="s">
        <v>45</v>
      </c>
      <c r="D6461" s="44">
        <v>45993</v>
      </c>
      <c r="E6461" s="45">
        <v>25.5</v>
      </c>
    </row>
    <row r="6462" spans="2:5">
      <c r="B6462" s="43" t="s">
        <v>46</v>
      </c>
      <c r="C6462" s="43" t="s">
        <v>47</v>
      </c>
      <c r="D6462" s="44">
        <v>45993</v>
      </c>
      <c r="E6462" s="45">
        <v>79.1</v>
      </c>
    </row>
    <row r="6463" spans="2:5">
      <c r="B6463" s="43" t="s">
        <v>206</v>
      </c>
      <c r="C6463" s="43" t="s">
        <v>207</v>
      </c>
      <c r="D6463" s="44">
        <v>45993</v>
      </c>
      <c r="E6463" s="45">
        <v>80.8</v>
      </c>
    </row>
    <row r="6464" spans="2:5">
      <c r="B6464" s="43" t="s">
        <v>12</v>
      </c>
      <c r="C6464" s="43" t="s">
        <v>13</v>
      </c>
      <c r="D6464" s="44">
        <v>45993</v>
      </c>
      <c r="E6464" s="45">
        <v>552</v>
      </c>
    </row>
    <row r="6465" spans="2:5">
      <c r="B6465" s="43" t="s">
        <v>14</v>
      </c>
      <c r="C6465" s="43" t="s">
        <v>15</v>
      </c>
      <c r="D6465" s="44">
        <v>45993</v>
      </c>
      <c r="E6465" s="45">
        <v>1350</v>
      </c>
    </row>
    <row r="6466" spans="2:5">
      <c r="B6466" s="43" t="s">
        <v>50</v>
      </c>
      <c r="C6466" s="43" t="s">
        <v>51</v>
      </c>
      <c r="D6466" s="44">
        <v>45993</v>
      </c>
      <c r="E6466" s="45">
        <v>136</v>
      </c>
    </row>
    <row r="6467" spans="2:5">
      <c r="B6467" s="43" t="s">
        <v>116</v>
      </c>
      <c r="C6467" s="43" t="s">
        <v>117</v>
      </c>
      <c r="D6467" s="44">
        <v>45993</v>
      </c>
      <c r="E6467" s="45">
        <v>48.9</v>
      </c>
    </row>
    <row r="6468" spans="2:5">
      <c r="B6468" s="43" t="s">
        <v>56</v>
      </c>
      <c r="C6468" s="43" t="s">
        <v>57</v>
      </c>
      <c r="D6468" s="44">
        <v>45993</v>
      </c>
      <c r="E6468" s="45">
        <v>470.6</v>
      </c>
    </row>
    <row r="6469" spans="2:5">
      <c r="B6469" s="43" t="s">
        <v>176</v>
      </c>
      <c r="C6469" s="43" t="s">
        <v>177</v>
      </c>
      <c r="D6469" s="44">
        <v>45993</v>
      </c>
      <c r="E6469" s="45">
        <v>81</v>
      </c>
    </row>
    <row r="6470" spans="2:5">
      <c r="B6470" s="43" t="s">
        <v>18</v>
      </c>
      <c r="C6470" s="43" t="s">
        <v>19</v>
      </c>
      <c r="D6470" s="44">
        <v>45993</v>
      </c>
      <c r="E6470" s="45">
        <v>89</v>
      </c>
    </row>
    <row r="6471" spans="2:5">
      <c r="B6471" s="43" t="s">
        <v>78</v>
      </c>
      <c r="C6471" s="43" t="s">
        <v>79</v>
      </c>
      <c r="D6471" s="44">
        <v>45993</v>
      </c>
      <c r="E6471" s="45">
        <v>424.8</v>
      </c>
    </row>
    <row r="6472" spans="2:5">
      <c r="B6472" s="43" t="s">
        <v>24</v>
      </c>
      <c r="C6472" s="43" t="s">
        <v>25</v>
      </c>
      <c r="D6472" s="44">
        <v>45993</v>
      </c>
      <c r="E6472" s="45">
        <v>985.8</v>
      </c>
    </row>
    <row r="6473" spans="2:5">
      <c r="B6473" s="43" t="s">
        <v>210</v>
      </c>
      <c r="C6473" s="43" t="s">
        <v>211</v>
      </c>
      <c r="D6473" s="44">
        <v>45993</v>
      </c>
      <c r="E6473" s="45">
        <v>1169</v>
      </c>
    </row>
    <row r="6474" spans="2:5">
      <c r="B6474" s="43" t="s">
        <v>26</v>
      </c>
      <c r="C6474" s="43" t="s">
        <v>27</v>
      </c>
      <c r="D6474" s="44">
        <v>45993</v>
      </c>
      <c r="E6474" s="45">
        <v>1181.8</v>
      </c>
    </row>
    <row r="6475" spans="2:5">
      <c r="B6475" s="43" t="s">
        <v>60</v>
      </c>
      <c r="C6475" s="43" t="s">
        <v>61</v>
      </c>
      <c r="D6475" s="44">
        <v>45993</v>
      </c>
      <c r="E6475" s="45">
        <v>146.4</v>
      </c>
    </row>
    <row r="6476" spans="2:5">
      <c r="B6476" s="43" t="s">
        <v>28</v>
      </c>
      <c r="C6476" s="43" t="s">
        <v>29</v>
      </c>
      <c r="D6476" s="44">
        <v>45993</v>
      </c>
      <c r="E6476" s="45">
        <v>895</v>
      </c>
    </row>
    <row r="6477" spans="2:5">
      <c r="B6477" s="43" t="s">
        <v>62</v>
      </c>
      <c r="C6477" s="43" t="s">
        <v>63</v>
      </c>
      <c r="D6477" s="44">
        <v>45993</v>
      </c>
      <c r="E6477" s="45">
        <v>102.5</v>
      </c>
    </row>
    <row r="6478" spans="2:5">
      <c r="B6478" s="43" t="s">
        <v>92</v>
      </c>
      <c r="C6478" s="43" t="s">
        <v>93</v>
      </c>
      <c r="D6478" s="44">
        <v>45993</v>
      </c>
      <c r="E6478" s="45">
        <v>36.1</v>
      </c>
    </row>
    <row r="6479" spans="2:5">
      <c r="B6479" s="43" t="s">
        <v>150</v>
      </c>
      <c r="C6479" s="43" t="s">
        <v>151</v>
      </c>
      <c r="D6479" s="44">
        <v>45993</v>
      </c>
      <c r="E6479" s="45">
        <v>405.75</v>
      </c>
    </row>
    <row r="6480" spans="2:5">
      <c r="B6480" s="43" t="s">
        <v>96</v>
      </c>
      <c r="C6480" s="43" t="s">
        <v>97</v>
      </c>
      <c r="D6480" s="44">
        <v>45993</v>
      </c>
      <c r="E6480" s="45">
        <v>55</v>
      </c>
    </row>
    <row r="6481" spans="2:5">
      <c r="B6481" s="43" t="s">
        <v>32</v>
      </c>
      <c r="C6481" s="43" t="s">
        <v>33</v>
      </c>
      <c r="D6481" s="44">
        <v>45993</v>
      </c>
      <c r="E6481" s="45">
        <v>12</v>
      </c>
    </row>
    <row r="6482" spans="2:5">
      <c r="B6482" s="43" t="s">
        <v>160</v>
      </c>
      <c r="C6482" s="43" t="s">
        <v>161</v>
      </c>
      <c r="D6482" s="44">
        <v>45993</v>
      </c>
      <c r="E6482" s="45">
        <v>7</v>
      </c>
    </row>
    <row r="6483" spans="2:5">
      <c r="B6483" s="43" t="s">
        <v>34</v>
      </c>
      <c r="C6483" s="43" t="s">
        <v>35</v>
      </c>
      <c r="D6483" s="44">
        <v>45993</v>
      </c>
      <c r="E6483" s="45">
        <v>1</v>
      </c>
    </row>
    <row r="6484" spans="2:5">
      <c r="B6484" s="43" t="s">
        <v>36</v>
      </c>
      <c r="C6484" s="43" t="s">
        <v>37</v>
      </c>
      <c r="D6484" s="44">
        <v>45993</v>
      </c>
      <c r="E6484" s="45">
        <v>10</v>
      </c>
    </row>
    <row r="6485" spans="2:5">
      <c r="B6485" s="43" t="s">
        <v>8</v>
      </c>
      <c r="C6485" s="43" t="s">
        <v>9</v>
      </c>
      <c r="D6485" s="44">
        <v>45994</v>
      </c>
      <c r="E6485" s="45">
        <v>234.9</v>
      </c>
    </row>
    <row r="6486" spans="2:5">
      <c r="B6486" s="43" t="s">
        <v>46</v>
      </c>
      <c r="C6486" s="43" t="s">
        <v>47</v>
      </c>
      <c r="D6486" s="44">
        <v>45994</v>
      </c>
      <c r="E6486" s="45">
        <v>11.3</v>
      </c>
    </row>
    <row r="6487" spans="2:5">
      <c r="B6487" s="43" t="s">
        <v>10</v>
      </c>
      <c r="C6487" s="43" t="s">
        <v>11</v>
      </c>
      <c r="D6487" s="44">
        <v>45994</v>
      </c>
      <c r="E6487" s="45">
        <v>1370.2</v>
      </c>
    </row>
    <row r="6488" spans="2:5">
      <c r="B6488" s="43" t="s">
        <v>12</v>
      </c>
      <c r="C6488" s="43" t="s">
        <v>13</v>
      </c>
      <c r="D6488" s="44">
        <v>45994</v>
      </c>
      <c r="E6488" s="45">
        <v>151.8</v>
      </c>
    </row>
    <row r="6489" spans="2:5">
      <c r="B6489" s="43" t="s">
        <v>48</v>
      </c>
      <c r="C6489" s="43" t="s">
        <v>49</v>
      </c>
      <c r="D6489" s="44">
        <v>45994</v>
      </c>
      <c r="E6489" s="45">
        <v>63</v>
      </c>
    </row>
    <row r="6490" spans="2:5">
      <c r="B6490" s="43" t="s">
        <v>14</v>
      </c>
      <c r="C6490" s="43" t="s">
        <v>15</v>
      </c>
      <c r="D6490" s="44">
        <v>45994</v>
      </c>
      <c r="E6490" s="45">
        <v>1080</v>
      </c>
    </row>
    <row r="6491" spans="2:5">
      <c r="B6491" s="43" t="s">
        <v>50</v>
      </c>
      <c r="C6491" s="43" t="s">
        <v>51</v>
      </c>
      <c r="D6491" s="44">
        <v>45994</v>
      </c>
      <c r="E6491" s="45">
        <v>81.6</v>
      </c>
    </row>
    <row r="6492" spans="2:5">
      <c r="B6492" s="43" t="s">
        <v>114</v>
      </c>
      <c r="C6492" s="43" t="s">
        <v>115</v>
      </c>
      <c r="D6492" s="44">
        <v>45994</v>
      </c>
      <c r="E6492" s="45">
        <v>598.5</v>
      </c>
    </row>
    <row r="6493" spans="2:5">
      <c r="B6493" s="43" t="s">
        <v>138</v>
      </c>
      <c r="C6493" s="43" t="s">
        <v>139</v>
      </c>
      <c r="D6493" s="44">
        <v>45994</v>
      </c>
      <c r="E6493" s="45">
        <v>47.55</v>
      </c>
    </row>
    <row r="6494" spans="2:5">
      <c r="B6494" s="43" t="s">
        <v>56</v>
      </c>
      <c r="C6494" s="43" t="s">
        <v>57</v>
      </c>
      <c r="D6494" s="44">
        <v>45994</v>
      </c>
      <c r="E6494" s="45">
        <v>144.8</v>
      </c>
    </row>
    <row r="6495" spans="2:5">
      <c r="B6495" s="43" t="s">
        <v>76</v>
      </c>
      <c r="C6495" s="43" t="s">
        <v>77</v>
      </c>
      <c r="D6495" s="44">
        <v>45994</v>
      </c>
      <c r="E6495" s="45">
        <v>970.75</v>
      </c>
    </row>
    <row r="6496" spans="2:5">
      <c r="B6496" s="43" t="s">
        <v>18</v>
      </c>
      <c r="C6496" s="43" t="s">
        <v>19</v>
      </c>
      <c r="D6496" s="44">
        <v>45994</v>
      </c>
      <c r="E6496" s="45">
        <v>44.5</v>
      </c>
    </row>
    <row r="6497" spans="2:5">
      <c r="B6497" s="43" t="s">
        <v>78</v>
      </c>
      <c r="C6497" s="43" t="s">
        <v>79</v>
      </c>
      <c r="D6497" s="44">
        <v>45994</v>
      </c>
      <c r="E6497" s="45">
        <v>115.05</v>
      </c>
    </row>
    <row r="6498" spans="2:5">
      <c r="B6498" s="43" t="s">
        <v>80</v>
      </c>
      <c r="C6498" s="43" t="s">
        <v>81</v>
      </c>
      <c r="D6498" s="44">
        <v>45994</v>
      </c>
      <c r="E6498" s="45">
        <v>43.05</v>
      </c>
    </row>
    <row r="6499" spans="2:5">
      <c r="B6499" s="43" t="s">
        <v>24</v>
      </c>
      <c r="C6499" s="43" t="s">
        <v>25</v>
      </c>
      <c r="D6499" s="44">
        <v>45994</v>
      </c>
      <c r="E6499" s="45">
        <v>1637.7</v>
      </c>
    </row>
    <row r="6500" spans="2:5">
      <c r="B6500" s="43" t="s">
        <v>58</v>
      </c>
      <c r="C6500" s="43" t="s">
        <v>59</v>
      </c>
      <c r="D6500" s="44">
        <v>45994</v>
      </c>
      <c r="E6500" s="45">
        <v>3009</v>
      </c>
    </row>
    <row r="6501" spans="2:5">
      <c r="B6501" s="43" t="s">
        <v>26</v>
      </c>
      <c r="C6501" s="43" t="s">
        <v>27</v>
      </c>
      <c r="D6501" s="44">
        <v>45994</v>
      </c>
      <c r="E6501" s="45">
        <v>2674.506</v>
      </c>
    </row>
    <row r="6502" spans="2:5">
      <c r="B6502" s="43" t="s">
        <v>110</v>
      </c>
      <c r="C6502" s="43" t="s">
        <v>111</v>
      </c>
      <c r="D6502" s="44">
        <v>45994</v>
      </c>
      <c r="E6502" s="45">
        <v>49.5</v>
      </c>
    </row>
    <row r="6503" spans="2:5">
      <c r="B6503" s="43" t="s">
        <v>194</v>
      </c>
      <c r="C6503" s="43" t="s">
        <v>195</v>
      </c>
      <c r="D6503" s="44">
        <v>45994</v>
      </c>
      <c r="E6503" s="45">
        <v>60.9</v>
      </c>
    </row>
    <row r="6504" spans="2:5">
      <c r="B6504" s="43" t="s">
        <v>28</v>
      </c>
      <c r="C6504" s="43" t="s">
        <v>29</v>
      </c>
      <c r="D6504" s="44">
        <v>45994</v>
      </c>
      <c r="E6504" s="45">
        <v>71.6</v>
      </c>
    </row>
    <row r="6505" spans="2:5">
      <c r="B6505" s="43" t="s">
        <v>62</v>
      </c>
      <c r="C6505" s="43" t="s">
        <v>63</v>
      </c>
      <c r="D6505" s="44">
        <v>45994</v>
      </c>
      <c r="E6505" s="45">
        <v>307.5</v>
      </c>
    </row>
    <row r="6506" spans="2:5">
      <c r="B6506" s="43" t="s">
        <v>148</v>
      </c>
      <c r="C6506" s="43" t="s">
        <v>149</v>
      </c>
      <c r="D6506" s="44">
        <v>45994</v>
      </c>
      <c r="E6506" s="45">
        <v>91.6</v>
      </c>
    </row>
    <row r="6507" spans="2:5">
      <c r="B6507" s="43" t="s">
        <v>64</v>
      </c>
      <c r="C6507" s="43" t="s">
        <v>65</v>
      </c>
      <c r="D6507" s="44">
        <v>45994</v>
      </c>
      <c r="E6507" s="45">
        <v>1620</v>
      </c>
    </row>
    <row r="6508" spans="2:5">
      <c r="B6508" s="43" t="s">
        <v>166</v>
      </c>
      <c r="C6508" s="43" t="s">
        <v>167</v>
      </c>
      <c r="D6508" s="44">
        <v>45994</v>
      </c>
      <c r="E6508" s="45">
        <v>154.8</v>
      </c>
    </row>
    <row r="6509" spans="2:5">
      <c r="B6509" s="43" t="s">
        <v>132</v>
      </c>
      <c r="C6509" s="43" t="s">
        <v>133</v>
      </c>
      <c r="D6509" s="44">
        <v>45994</v>
      </c>
      <c r="E6509" s="45">
        <v>463.5</v>
      </c>
    </row>
    <row r="6510" spans="2:5">
      <c r="B6510" s="43" t="s">
        <v>92</v>
      </c>
      <c r="C6510" s="43" t="s">
        <v>93</v>
      </c>
      <c r="D6510" s="44">
        <v>45994</v>
      </c>
      <c r="E6510" s="45">
        <v>180.5</v>
      </c>
    </row>
    <row r="6511" spans="2:5">
      <c r="B6511" s="43" t="s">
        <v>150</v>
      </c>
      <c r="C6511" s="43" t="s">
        <v>151</v>
      </c>
      <c r="D6511" s="44">
        <v>45994</v>
      </c>
      <c r="E6511" s="45">
        <v>108.2</v>
      </c>
    </row>
    <row r="6512" spans="2:5">
      <c r="B6512" s="43" t="s">
        <v>106</v>
      </c>
      <c r="C6512" s="43" t="s">
        <v>107</v>
      </c>
      <c r="D6512" s="44">
        <v>45994</v>
      </c>
      <c r="E6512" s="45">
        <v>7.7</v>
      </c>
    </row>
    <row r="6513" spans="2:5">
      <c r="B6513" s="43" t="s">
        <v>196</v>
      </c>
      <c r="C6513" s="43" t="s">
        <v>197</v>
      </c>
      <c r="D6513" s="44">
        <v>45994</v>
      </c>
      <c r="E6513" s="45">
        <v>3</v>
      </c>
    </row>
    <row r="6514" spans="2:5">
      <c r="B6514" s="43" t="s">
        <v>96</v>
      </c>
      <c r="C6514" s="43" t="s">
        <v>97</v>
      </c>
      <c r="D6514" s="44">
        <v>45994</v>
      </c>
      <c r="E6514" s="45">
        <v>249</v>
      </c>
    </row>
    <row r="6515" spans="2:5">
      <c r="B6515" s="43" t="s">
        <v>32</v>
      </c>
      <c r="C6515" s="43" t="s">
        <v>33</v>
      </c>
      <c r="D6515" s="44">
        <v>45994</v>
      </c>
      <c r="E6515" s="45">
        <v>81</v>
      </c>
    </row>
    <row r="6516" spans="2:5">
      <c r="B6516" s="43" t="s">
        <v>160</v>
      </c>
      <c r="C6516" s="43" t="s">
        <v>161</v>
      </c>
      <c r="D6516" s="44">
        <v>45994</v>
      </c>
      <c r="E6516" s="45">
        <v>19</v>
      </c>
    </row>
    <row r="6517" spans="2:5">
      <c r="B6517" s="43" t="s">
        <v>34</v>
      </c>
      <c r="C6517" s="43" t="s">
        <v>35</v>
      </c>
      <c r="D6517" s="44">
        <v>45994</v>
      </c>
      <c r="E6517" s="45">
        <v>7</v>
      </c>
    </row>
    <row r="6518" spans="2:5">
      <c r="B6518" s="43" t="s">
        <v>36</v>
      </c>
      <c r="C6518" s="43" t="s">
        <v>37</v>
      </c>
      <c r="D6518" s="44">
        <v>45994</v>
      </c>
      <c r="E6518" s="45">
        <v>3</v>
      </c>
    </row>
    <row r="6519" spans="2:5">
      <c r="B6519" s="43" t="s">
        <v>38</v>
      </c>
      <c r="C6519" s="43" t="s">
        <v>39</v>
      </c>
      <c r="D6519" s="44">
        <v>45994</v>
      </c>
      <c r="E6519" s="45">
        <v>45</v>
      </c>
    </row>
    <row r="6520" spans="2:5">
      <c r="B6520" s="43" t="s">
        <v>4</v>
      </c>
      <c r="C6520" s="43" t="s">
        <v>5</v>
      </c>
      <c r="D6520" s="44">
        <v>45995</v>
      </c>
      <c r="E6520" s="45">
        <v>140.7</v>
      </c>
    </row>
    <row r="6521" spans="2:5">
      <c r="B6521" s="43" t="s">
        <v>156</v>
      </c>
      <c r="C6521" s="43" t="s">
        <v>157</v>
      </c>
      <c r="D6521" s="44">
        <v>45995</v>
      </c>
      <c r="E6521" s="45">
        <v>23.4</v>
      </c>
    </row>
    <row r="6522" spans="2:5">
      <c r="B6522" s="43" t="s">
        <v>8</v>
      </c>
      <c r="C6522" s="43" t="s">
        <v>9</v>
      </c>
      <c r="D6522" s="44">
        <v>45995</v>
      </c>
      <c r="E6522" s="45">
        <v>191.4</v>
      </c>
    </row>
    <row r="6523" spans="2:5">
      <c r="B6523" s="43" t="s">
        <v>46</v>
      </c>
      <c r="C6523" s="43" t="s">
        <v>47</v>
      </c>
      <c r="D6523" s="44">
        <v>45995</v>
      </c>
      <c r="E6523" s="45">
        <v>463.3</v>
      </c>
    </row>
    <row r="6524" spans="2:5">
      <c r="B6524" s="43" t="s">
        <v>10</v>
      </c>
      <c r="C6524" s="43" t="s">
        <v>11</v>
      </c>
      <c r="D6524" s="44">
        <v>45995</v>
      </c>
      <c r="E6524" s="45">
        <v>22.1</v>
      </c>
    </row>
    <row r="6525" spans="2:5">
      <c r="B6525" s="43" t="s">
        <v>206</v>
      </c>
      <c r="C6525" s="43" t="s">
        <v>207</v>
      </c>
      <c r="D6525" s="44">
        <v>45995</v>
      </c>
      <c r="E6525" s="45">
        <v>1636.2</v>
      </c>
    </row>
    <row r="6526" spans="2:5">
      <c r="B6526" s="43" t="s">
        <v>12</v>
      </c>
      <c r="C6526" s="43" t="s">
        <v>13</v>
      </c>
      <c r="D6526" s="44">
        <v>45995</v>
      </c>
      <c r="E6526" s="45">
        <v>82.8</v>
      </c>
    </row>
    <row r="6527" spans="2:5">
      <c r="B6527" s="43" t="s">
        <v>48</v>
      </c>
      <c r="C6527" s="43" t="s">
        <v>49</v>
      </c>
      <c r="D6527" s="44">
        <v>45995</v>
      </c>
      <c r="E6527" s="45">
        <v>63</v>
      </c>
    </row>
    <row r="6528" spans="2:5">
      <c r="B6528" s="43" t="s">
        <v>14</v>
      </c>
      <c r="C6528" s="43" t="s">
        <v>15</v>
      </c>
      <c r="D6528" s="44">
        <v>45995</v>
      </c>
      <c r="E6528" s="45">
        <v>67.5</v>
      </c>
    </row>
    <row r="6529" spans="2:5">
      <c r="B6529" s="43" t="s">
        <v>50</v>
      </c>
      <c r="C6529" s="43" t="s">
        <v>51</v>
      </c>
      <c r="D6529" s="44">
        <v>45995</v>
      </c>
      <c r="E6529" s="45">
        <v>40.8</v>
      </c>
    </row>
    <row r="6530" spans="2:5">
      <c r="B6530" s="43" t="s">
        <v>144</v>
      </c>
      <c r="C6530" s="43" t="s">
        <v>145</v>
      </c>
      <c r="D6530" s="44">
        <v>45995</v>
      </c>
      <c r="E6530" s="45">
        <v>64.8</v>
      </c>
    </row>
    <row r="6531" spans="2:5">
      <c r="B6531" s="43" t="s">
        <v>118</v>
      </c>
      <c r="C6531" s="43" t="s">
        <v>119</v>
      </c>
      <c r="D6531" s="44">
        <v>45995</v>
      </c>
      <c r="E6531" s="45">
        <v>851.2</v>
      </c>
    </row>
    <row r="6532" spans="2:5">
      <c r="B6532" s="43" t="s">
        <v>188</v>
      </c>
      <c r="C6532" s="43" t="s">
        <v>189</v>
      </c>
      <c r="D6532" s="44">
        <v>45995</v>
      </c>
      <c r="E6532" s="45">
        <v>46.2</v>
      </c>
    </row>
    <row r="6533" spans="2:5">
      <c r="B6533" s="43" t="s">
        <v>152</v>
      </c>
      <c r="C6533" s="43" t="s">
        <v>153</v>
      </c>
      <c r="D6533" s="44">
        <v>45995</v>
      </c>
      <c r="E6533" s="45">
        <v>46.5</v>
      </c>
    </row>
    <row r="6534" spans="2:5">
      <c r="B6534" s="43" t="s">
        <v>18</v>
      </c>
      <c r="C6534" s="43" t="s">
        <v>19</v>
      </c>
      <c r="D6534" s="44">
        <v>45995</v>
      </c>
      <c r="E6534" s="45">
        <v>44.5</v>
      </c>
    </row>
    <row r="6535" spans="2:5">
      <c r="B6535" s="43" t="s">
        <v>146</v>
      </c>
      <c r="C6535" s="43" t="s">
        <v>147</v>
      </c>
      <c r="D6535" s="44">
        <v>45995</v>
      </c>
      <c r="E6535" s="45">
        <v>40.7</v>
      </c>
    </row>
    <row r="6536" spans="2:5">
      <c r="B6536" s="43" t="s">
        <v>78</v>
      </c>
      <c r="C6536" s="43" t="s">
        <v>79</v>
      </c>
      <c r="D6536" s="44">
        <v>45995</v>
      </c>
      <c r="E6536" s="45">
        <v>88.5</v>
      </c>
    </row>
    <row r="6537" spans="2:5">
      <c r="B6537" s="43" t="s">
        <v>22</v>
      </c>
      <c r="C6537" s="43" t="s">
        <v>23</v>
      </c>
      <c r="D6537" s="44">
        <v>45995</v>
      </c>
      <c r="E6537" s="45">
        <v>19.2</v>
      </c>
    </row>
    <row r="6538" spans="2:5">
      <c r="B6538" s="43" t="s">
        <v>24</v>
      </c>
      <c r="C6538" s="43" t="s">
        <v>25</v>
      </c>
      <c r="D6538" s="44">
        <v>45995</v>
      </c>
      <c r="E6538" s="45">
        <v>4038.6</v>
      </c>
    </row>
    <row r="6539" spans="2:5">
      <c r="B6539" s="43" t="s">
        <v>26</v>
      </c>
      <c r="C6539" s="43" t="s">
        <v>27</v>
      </c>
      <c r="D6539" s="44">
        <v>45995</v>
      </c>
      <c r="E6539" s="45">
        <v>699.75</v>
      </c>
    </row>
    <row r="6540" spans="2:5">
      <c r="B6540" s="43" t="s">
        <v>28</v>
      </c>
      <c r="C6540" s="43" t="s">
        <v>29</v>
      </c>
      <c r="D6540" s="44">
        <v>45995</v>
      </c>
      <c r="E6540" s="45">
        <v>1020.3</v>
      </c>
    </row>
    <row r="6541" spans="2:5">
      <c r="B6541" s="43" t="s">
        <v>62</v>
      </c>
      <c r="C6541" s="43" t="s">
        <v>63</v>
      </c>
      <c r="D6541" s="44">
        <v>45995</v>
      </c>
      <c r="E6541" s="45">
        <v>82</v>
      </c>
    </row>
    <row r="6542" spans="2:5">
      <c r="B6542" s="43" t="s">
        <v>84</v>
      </c>
      <c r="C6542" s="43" t="s">
        <v>85</v>
      </c>
      <c r="D6542" s="44">
        <v>45995</v>
      </c>
      <c r="E6542" s="45">
        <v>99.8</v>
      </c>
    </row>
    <row r="6543" spans="2:5">
      <c r="B6543" s="43" t="s">
        <v>68</v>
      </c>
      <c r="C6543" s="43" t="s">
        <v>69</v>
      </c>
      <c r="D6543" s="44">
        <v>45995</v>
      </c>
      <c r="E6543" s="45">
        <v>71.8</v>
      </c>
    </row>
    <row r="6544" spans="2:5">
      <c r="B6544" s="43" t="s">
        <v>142</v>
      </c>
      <c r="C6544" s="43" t="s">
        <v>143</v>
      </c>
      <c r="D6544" s="44">
        <v>45995</v>
      </c>
      <c r="E6544" s="45">
        <v>5</v>
      </c>
    </row>
    <row r="6545" spans="2:5">
      <c r="B6545" s="43" t="s">
        <v>96</v>
      </c>
      <c r="C6545" s="43" t="s">
        <v>97</v>
      </c>
      <c r="D6545" s="44">
        <v>45995</v>
      </c>
      <c r="E6545" s="45">
        <v>34</v>
      </c>
    </row>
    <row r="6546" spans="2:5">
      <c r="B6546" s="43" t="s">
        <v>32</v>
      </c>
      <c r="C6546" s="43" t="s">
        <v>33</v>
      </c>
      <c r="D6546" s="44">
        <v>45995</v>
      </c>
      <c r="E6546" s="45">
        <v>21</v>
      </c>
    </row>
    <row r="6547" spans="2:5">
      <c r="B6547" s="43" t="s">
        <v>160</v>
      </c>
      <c r="C6547" s="43" t="s">
        <v>161</v>
      </c>
      <c r="D6547" s="44">
        <v>45995</v>
      </c>
      <c r="E6547" s="45">
        <v>2</v>
      </c>
    </row>
    <row r="6548" spans="2:5">
      <c r="B6548" s="43" t="s">
        <v>34</v>
      </c>
      <c r="C6548" s="43" t="s">
        <v>35</v>
      </c>
      <c r="D6548" s="44">
        <v>45995</v>
      </c>
      <c r="E6548" s="45">
        <v>16</v>
      </c>
    </row>
    <row r="6549" spans="2:5">
      <c r="B6549" s="43" t="s">
        <v>36</v>
      </c>
      <c r="C6549" s="43" t="s">
        <v>37</v>
      </c>
      <c r="D6549" s="44">
        <v>45995</v>
      </c>
      <c r="E6549" s="45">
        <v>13</v>
      </c>
    </row>
    <row r="6550" spans="2:5">
      <c r="B6550" s="43" t="s">
        <v>38</v>
      </c>
      <c r="C6550" s="43" t="s">
        <v>39</v>
      </c>
      <c r="D6550" s="44">
        <v>45995</v>
      </c>
      <c r="E6550" s="45">
        <v>115</v>
      </c>
    </row>
    <row r="6551" spans="2:5">
      <c r="B6551" s="43" t="s">
        <v>4</v>
      </c>
      <c r="C6551" s="43" t="s">
        <v>5</v>
      </c>
      <c r="D6551" s="44">
        <v>45996</v>
      </c>
      <c r="E6551" s="45">
        <v>26.8</v>
      </c>
    </row>
    <row r="6552" spans="2:5">
      <c r="B6552" s="43" t="s">
        <v>8</v>
      </c>
      <c r="C6552" s="43" t="s">
        <v>9</v>
      </c>
      <c r="D6552" s="44">
        <v>45996</v>
      </c>
      <c r="E6552" s="45">
        <v>26.1</v>
      </c>
    </row>
    <row r="6553" spans="2:5">
      <c r="B6553" s="43" t="s">
        <v>44</v>
      </c>
      <c r="C6553" s="43" t="s">
        <v>45</v>
      </c>
      <c r="D6553" s="44">
        <v>45996</v>
      </c>
      <c r="E6553" s="45">
        <v>8.5</v>
      </c>
    </row>
    <row r="6554" spans="2:5">
      <c r="B6554" s="43" t="s">
        <v>46</v>
      </c>
      <c r="C6554" s="43" t="s">
        <v>47</v>
      </c>
      <c r="D6554" s="44">
        <v>45996</v>
      </c>
      <c r="E6554" s="45">
        <v>22.6</v>
      </c>
    </row>
    <row r="6555" spans="2:5">
      <c r="B6555" s="43" t="s">
        <v>10</v>
      </c>
      <c r="C6555" s="43" t="s">
        <v>11</v>
      </c>
      <c r="D6555" s="44">
        <v>45996</v>
      </c>
      <c r="E6555" s="45">
        <v>309.4</v>
      </c>
    </row>
    <row r="6556" spans="2:5">
      <c r="B6556" s="43" t="s">
        <v>12</v>
      </c>
      <c r="C6556" s="43" t="s">
        <v>13</v>
      </c>
      <c r="D6556" s="44">
        <v>45996</v>
      </c>
      <c r="E6556" s="45">
        <v>55.2</v>
      </c>
    </row>
    <row r="6557" spans="2:5">
      <c r="B6557" s="43" t="s">
        <v>14</v>
      </c>
      <c r="C6557" s="43" t="s">
        <v>15</v>
      </c>
      <c r="D6557" s="44">
        <v>45996</v>
      </c>
      <c r="E6557" s="45">
        <v>243</v>
      </c>
    </row>
    <row r="6558" spans="2:5">
      <c r="B6558" s="43" t="s">
        <v>138</v>
      </c>
      <c r="C6558" s="43" t="s">
        <v>139</v>
      </c>
      <c r="D6558" s="44">
        <v>45996</v>
      </c>
      <c r="E6558" s="45">
        <v>158.5</v>
      </c>
    </row>
    <row r="6559" spans="2:5">
      <c r="B6559" s="43" t="s">
        <v>188</v>
      </c>
      <c r="C6559" s="43" t="s">
        <v>189</v>
      </c>
      <c r="D6559" s="44">
        <v>45996</v>
      </c>
      <c r="E6559" s="45">
        <v>46.2</v>
      </c>
    </row>
    <row r="6560" spans="2:5">
      <c r="B6560" s="43" t="s">
        <v>152</v>
      </c>
      <c r="C6560" s="43" t="s">
        <v>153</v>
      </c>
      <c r="D6560" s="44">
        <v>45996</v>
      </c>
      <c r="E6560" s="45">
        <v>93</v>
      </c>
    </row>
    <row r="6561" spans="2:5">
      <c r="B6561" s="43" t="s">
        <v>16</v>
      </c>
      <c r="C6561" s="43" t="s">
        <v>17</v>
      </c>
      <c r="D6561" s="44">
        <v>45996</v>
      </c>
      <c r="E6561" s="45">
        <v>91.2</v>
      </c>
    </row>
    <row r="6562" spans="2:5">
      <c r="B6562" s="43" t="s">
        <v>78</v>
      </c>
      <c r="C6562" s="43" t="s">
        <v>79</v>
      </c>
      <c r="D6562" s="44">
        <v>45996</v>
      </c>
      <c r="E6562" s="45">
        <v>26.55</v>
      </c>
    </row>
    <row r="6563" spans="2:5">
      <c r="B6563" s="43" t="s">
        <v>20</v>
      </c>
      <c r="C6563" s="43" t="s">
        <v>21</v>
      </c>
      <c r="D6563" s="44">
        <v>45996</v>
      </c>
      <c r="E6563" s="45">
        <v>104</v>
      </c>
    </row>
    <row r="6564" spans="2:5">
      <c r="B6564" s="43" t="s">
        <v>22</v>
      </c>
      <c r="C6564" s="43" t="s">
        <v>23</v>
      </c>
      <c r="D6564" s="44">
        <v>45996</v>
      </c>
      <c r="E6564" s="45">
        <v>76.8</v>
      </c>
    </row>
    <row r="6565" spans="2:5">
      <c r="B6565" s="43" t="s">
        <v>80</v>
      </c>
      <c r="C6565" s="43" t="s">
        <v>81</v>
      </c>
      <c r="D6565" s="44">
        <v>45996</v>
      </c>
      <c r="E6565" s="45">
        <v>100.45</v>
      </c>
    </row>
    <row r="6566" spans="2:5">
      <c r="B6566" s="43" t="s">
        <v>24</v>
      </c>
      <c r="C6566" s="43" t="s">
        <v>25</v>
      </c>
      <c r="D6566" s="44">
        <v>45996</v>
      </c>
      <c r="E6566" s="45">
        <v>1001.7</v>
      </c>
    </row>
    <row r="6567" spans="2:5">
      <c r="B6567" s="43" t="s">
        <v>26</v>
      </c>
      <c r="C6567" s="43" t="s">
        <v>27</v>
      </c>
      <c r="D6567" s="44">
        <v>45996</v>
      </c>
      <c r="E6567" s="45">
        <v>948.55</v>
      </c>
    </row>
    <row r="6568" spans="2:5">
      <c r="B6568" s="43" t="s">
        <v>60</v>
      </c>
      <c r="C6568" s="43" t="s">
        <v>61</v>
      </c>
      <c r="D6568" s="44">
        <v>45996</v>
      </c>
      <c r="E6568" s="45">
        <v>219.6</v>
      </c>
    </row>
    <row r="6569" spans="2:5">
      <c r="B6569" s="43" t="s">
        <v>28</v>
      </c>
      <c r="C6569" s="43" t="s">
        <v>29</v>
      </c>
      <c r="D6569" s="44">
        <v>45996</v>
      </c>
      <c r="E6569" s="45">
        <v>161.1</v>
      </c>
    </row>
    <row r="6570" spans="2:5">
      <c r="B6570" s="43" t="s">
        <v>62</v>
      </c>
      <c r="C6570" s="43" t="s">
        <v>63</v>
      </c>
      <c r="D6570" s="44">
        <v>45996</v>
      </c>
      <c r="E6570" s="45">
        <v>61.5</v>
      </c>
    </row>
    <row r="6571" spans="2:5">
      <c r="B6571" s="43" t="s">
        <v>228</v>
      </c>
      <c r="C6571" s="43" t="s">
        <v>229</v>
      </c>
      <c r="D6571" s="44">
        <v>45996</v>
      </c>
      <c r="E6571" s="45">
        <v>1274.4</v>
      </c>
    </row>
    <row r="6572" spans="2:5">
      <c r="B6572" s="43" t="s">
        <v>198</v>
      </c>
      <c r="C6572" s="43" t="s">
        <v>199</v>
      </c>
      <c r="D6572" s="44">
        <v>45996</v>
      </c>
      <c r="E6572" s="45">
        <v>115.5</v>
      </c>
    </row>
    <row r="6573" spans="2:5">
      <c r="B6573" s="43" t="s">
        <v>66</v>
      </c>
      <c r="C6573" s="43" t="s">
        <v>67</v>
      </c>
      <c r="D6573" s="44">
        <v>45996</v>
      </c>
      <c r="E6573" s="45">
        <v>277</v>
      </c>
    </row>
    <row r="6574" spans="2:5">
      <c r="B6574" s="43" t="s">
        <v>96</v>
      </c>
      <c r="C6574" s="43" t="s">
        <v>97</v>
      </c>
      <c r="D6574" s="44">
        <v>45996</v>
      </c>
      <c r="E6574" s="45">
        <v>22</v>
      </c>
    </row>
    <row r="6575" spans="2:5">
      <c r="B6575" s="43" t="s">
        <v>32</v>
      </c>
      <c r="C6575" s="43" t="s">
        <v>33</v>
      </c>
      <c r="D6575" s="44">
        <v>45996</v>
      </c>
      <c r="E6575" s="45">
        <v>12</v>
      </c>
    </row>
    <row r="6576" spans="2:5">
      <c r="B6576" s="43" t="s">
        <v>160</v>
      </c>
      <c r="C6576" s="43" t="s">
        <v>161</v>
      </c>
      <c r="D6576" s="44">
        <v>45996</v>
      </c>
      <c r="E6576" s="45">
        <v>4</v>
      </c>
    </row>
    <row r="6577" spans="2:5">
      <c r="B6577" s="43" t="s">
        <v>34</v>
      </c>
      <c r="C6577" s="43" t="s">
        <v>35</v>
      </c>
      <c r="D6577" s="44">
        <v>45996</v>
      </c>
      <c r="E6577" s="45">
        <v>6</v>
      </c>
    </row>
    <row r="6578" spans="2:5">
      <c r="B6578" s="43" t="s">
        <v>38</v>
      </c>
      <c r="C6578" s="43" t="s">
        <v>39</v>
      </c>
      <c r="D6578" s="44">
        <v>45996</v>
      </c>
      <c r="E6578" s="45">
        <v>4</v>
      </c>
    </row>
    <row r="6579" spans="2:5">
      <c r="B6579" s="43" t="s">
        <v>42</v>
      </c>
      <c r="C6579" s="43" t="s">
        <v>43</v>
      </c>
      <c r="D6579" s="44">
        <v>45999</v>
      </c>
      <c r="E6579" s="45">
        <v>48.4</v>
      </c>
    </row>
    <row r="6580" spans="2:5">
      <c r="B6580" s="43" t="s">
        <v>156</v>
      </c>
      <c r="C6580" s="43" t="s">
        <v>157</v>
      </c>
      <c r="D6580" s="44">
        <v>45999</v>
      </c>
      <c r="E6580" s="45">
        <v>179.4</v>
      </c>
    </row>
    <row r="6581" spans="2:5">
      <c r="B6581" s="43" t="s">
        <v>8</v>
      </c>
      <c r="C6581" s="43" t="s">
        <v>9</v>
      </c>
      <c r="D6581" s="44">
        <v>45999</v>
      </c>
      <c r="E6581" s="45">
        <v>60.9</v>
      </c>
    </row>
    <row r="6582" spans="2:5">
      <c r="B6582" s="43" t="s">
        <v>46</v>
      </c>
      <c r="C6582" s="43" t="s">
        <v>47</v>
      </c>
      <c r="D6582" s="44">
        <v>45999</v>
      </c>
      <c r="E6582" s="45">
        <v>79.1</v>
      </c>
    </row>
    <row r="6583" spans="2:5">
      <c r="B6583" s="43" t="s">
        <v>10</v>
      </c>
      <c r="C6583" s="43" t="s">
        <v>11</v>
      </c>
      <c r="D6583" s="44">
        <v>45999</v>
      </c>
      <c r="E6583" s="45">
        <v>442</v>
      </c>
    </row>
    <row r="6584" spans="2:5">
      <c r="B6584" s="43" t="s">
        <v>74</v>
      </c>
      <c r="C6584" s="43" t="s">
        <v>75</v>
      </c>
      <c r="D6584" s="44">
        <v>45999</v>
      </c>
      <c r="E6584" s="45">
        <v>99.6</v>
      </c>
    </row>
    <row r="6585" spans="2:5">
      <c r="B6585" s="43" t="s">
        <v>12</v>
      </c>
      <c r="C6585" s="43" t="s">
        <v>13</v>
      </c>
      <c r="D6585" s="44">
        <v>45999</v>
      </c>
      <c r="E6585" s="45">
        <v>69</v>
      </c>
    </row>
    <row r="6586" spans="2:5">
      <c r="B6586" s="43" t="s">
        <v>178</v>
      </c>
      <c r="C6586" s="43" t="s">
        <v>179</v>
      </c>
      <c r="D6586" s="44">
        <v>45999</v>
      </c>
      <c r="E6586" s="45">
        <v>18</v>
      </c>
    </row>
    <row r="6587" spans="2:5">
      <c r="B6587" s="43" t="s">
        <v>14</v>
      </c>
      <c r="C6587" s="43" t="s">
        <v>15</v>
      </c>
      <c r="D6587" s="44">
        <v>45999</v>
      </c>
      <c r="E6587" s="45">
        <v>675</v>
      </c>
    </row>
    <row r="6588" spans="2:5">
      <c r="B6588" s="43" t="s">
        <v>134</v>
      </c>
      <c r="C6588" s="43" t="s">
        <v>135</v>
      </c>
      <c r="D6588" s="44">
        <v>45999</v>
      </c>
      <c r="E6588" s="45">
        <v>245</v>
      </c>
    </row>
    <row r="6589" spans="2:5">
      <c r="B6589" s="43" t="s">
        <v>50</v>
      </c>
      <c r="C6589" s="43" t="s">
        <v>51</v>
      </c>
      <c r="D6589" s="44">
        <v>45999</v>
      </c>
      <c r="E6589" s="45">
        <v>149.6</v>
      </c>
    </row>
    <row r="6590" spans="2:5">
      <c r="B6590" s="43" t="s">
        <v>144</v>
      </c>
      <c r="C6590" s="43" t="s">
        <v>145</v>
      </c>
      <c r="D6590" s="44">
        <v>45999</v>
      </c>
      <c r="E6590" s="45">
        <v>324</v>
      </c>
    </row>
    <row r="6591" spans="2:5">
      <c r="B6591" s="43" t="s">
        <v>54</v>
      </c>
      <c r="C6591" s="43" t="s">
        <v>55</v>
      </c>
      <c r="D6591" s="44">
        <v>45999</v>
      </c>
      <c r="E6591" s="45">
        <v>665</v>
      </c>
    </row>
    <row r="6592" spans="2:5">
      <c r="B6592" s="43" t="s">
        <v>56</v>
      </c>
      <c r="C6592" s="43" t="s">
        <v>57</v>
      </c>
      <c r="D6592" s="44">
        <v>45999</v>
      </c>
      <c r="E6592" s="45">
        <v>235.3</v>
      </c>
    </row>
    <row r="6593" spans="2:5">
      <c r="B6593" s="43" t="s">
        <v>152</v>
      </c>
      <c r="C6593" s="43" t="s">
        <v>153</v>
      </c>
      <c r="D6593" s="44">
        <v>45999</v>
      </c>
      <c r="E6593" s="45">
        <v>186</v>
      </c>
    </row>
    <row r="6594" spans="2:5">
      <c r="B6594" s="43" t="s">
        <v>16</v>
      </c>
      <c r="C6594" s="43" t="s">
        <v>17</v>
      </c>
      <c r="D6594" s="44">
        <v>45999</v>
      </c>
      <c r="E6594" s="45">
        <v>45.6</v>
      </c>
    </row>
    <row r="6595" spans="2:5">
      <c r="B6595" s="43" t="s">
        <v>20</v>
      </c>
      <c r="C6595" s="43" t="s">
        <v>21</v>
      </c>
      <c r="D6595" s="44">
        <v>45999</v>
      </c>
      <c r="E6595" s="45">
        <v>29.4</v>
      </c>
    </row>
    <row r="6596" spans="2:5">
      <c r="B6596" s="43" t="s">
        <v>22</v>
      </c>
      <c r="C6596" s="43" t="s">
        <v>23</v>
      </c>
      <c r="D6596" s="44">
        <v>45999</v>
      </c>
      <c r="E6596" s="45">
        <v>57.6</v>
      </c>
    </row>
    <row r="6597" spans="2:5">
      <c r="B6597" s="43" t="s">
        <v>80</v>
      </c>
      <c r="C6597" s="43" t="s">
        <v>81</v>
      </c>
      <c r="D6597" s="44">
        <v>45999</v>
      </c>
      <c r="E6597" s="45">
        <v>1808.1</v>
      </c>
    </row>
    <row r="6598" spans="2:5">
      <c r="B6598" s="43" t="s">
        <v>24</v>
      </c>
      <c r="C6598" s="43" t="s">
        <v>25</v>
      </c>
      <c r="D6598" s="44">
        <v>45999</v>
      </c>
      <c r="E6598" s="45">
        <v>2750.7</v>
      </c>
    </row>
    <row r="6599" spans="2:5">
      <c r="B6599" s="43" t="s">
        <v>26</v>
      </c>
      <c r="C6599" s="43" t="s">
        <v>27</v>
      </c>
      <c r="D6599" s="44">
        <v>45999</v>
      </c>
      <c r="E6599" s="45">
        <v>4696.1</v>
      </c>
    </row>
    <row r="6600" spans="2:5">
      <c r="B6600" s="43" t="s">
        <v>60</v>
      </c>
      <c r="C6600" s="43" t="s">
        <v>61</v>
      </c>
      <c r="D6600" s="44">
        <v>45999</v>
      </c>
      <c r="E6600" s="45">
        <v>54.9</v>
      </c>
    </row>
    <row r="6601" spans="2:5">
      <c r="B6601" s="43" t="s">
        <v>28</v>
      </c>
      <c r="C6601" s="43" t="s">
        <v>29</v>
      </c>
      <c r="D6601" s="44">
        <v>45999</v>
      </c>
      <c r="E6601" s="45">
        <v>268.5</v>
      </c>
    </row>
    <row r="6602" spans="2:5">
      <c r="B6602" s="43" t="s">
        <v>82</v>
      </c>
      <c r="C6602" s="43" t="s">
        <v>83</v>
      </c>
      <c r="D6602" s="44">
        <v>45999</v>
      </c>
      <c r="E6602" s="45">
        <v>92.25</v>
      </c>
    </row>
    <row r="6603" spans="2:5">
      <c r="B6603" s="43" t="s">
        <v>62</v>
      </c>
      <c r="C6603" s="43" t="s">
        <v>63</v>
      </c>
      <c r="D6603" s="44">
        <v>45999</v>
      </c>
      <c r="E6603" s="45">
        <v>615</v>
      </c>
    </row>
    <row r="6604" spans="2:5">
      <c r="B6604" s="43" t="s">
        <v>148</v>
      </c>
      <c r="C6604" s="43" t="s">
        <v>149</v>
      </c>
      <c r="D6604" s="44">
        <v>45999</v>
      </c>
      <c r="E6604" s="45">
        <v>778.6</v>
      </c>
    </row>
    <row r="6605" spans="2:5">
      <c r="B6605" s="43" t="s">
        <v>90</v>
      </c>
      <c r="C6605" s="43" t="s">
        <v>91</v>
      </c>
      <c r="D6605" s="44">
        <v>45999</v>
      </c>
      <c r="E6605" s="45">
        <v>1148.1</v>
      </c>
    </row>
    <row r="6606" spans="2:5">
      <c r="B6606" s="43" t="s">
        <v>164</v>
      </c>
      <c r="C6606" s="43" t="s">
        <v>165</v>
      </c>
      <c r="D6606" s="44">
        <v>45999</v>
      </c>
      <c r="E6606" s="45">
        <v>67.8</v>
      </c>
    </row>
    <row r="6607" spans="2:5">
      <c r="B6607" s="43" t="s">
        <v>166</v>
      </c>
      <c r="C6607" s="43" t="s">
        <v>167</v>
      </c>
      <c r="D6607" s="44">
        <v>45999</v>
      </c>
      <c r="E6607" s="45">
        <v>25.8</v>
      </c>
    </row>
    <row r="6608" spans="2:5">
      <c r="B6608" s="43" t="s">
        <v>84</v>
      </c>
      <c r="C6608" s="43" t="s">
        <v>85</v>
      </c>
      <c r="D6608" s="44">
        <v>45999</v>
      </c>
      <c r="E6608" s="45">
        <v>973.05</v>
      </c>
    </row>
    <row r="6609" spans="2:5">
      <c r="B6609" s="43" t="s">
        <v>132</v>
      </c>
      <c r="C6609" s="43" t="s">
        <v>133</v>
      </c>
      <c r="D6609" s="44">
        <v>45999</v>
      </c>
      <c r="E6609" s="45">
        <v>185.4</v>
      </c>
    </row>
    <row r="6610" spans="2:5">
      <c r="B6610" s="43" t="s">
        <v>96</v>
      </c>
      <c r="C6610" s="43" t="s">
        <v>97</v>
      </c>
      <c r="D6610" s="44">
        <v>45999</v>
      </c>
      <c r="E6610" s="45">
        <v>45</v>
      </c>
    </row>
    <row r="6611" spans="2:5">
      <c r="B6611" s="43" t="s">
        <v>32</v>
      </c>
      <c r="C6611" s="43" t="s">
        <v>33</v>
      </c>
      <c r="D6611" s="44">
        <v>45999</v>
      </c>
      <c r="E6611" s="45">
        <v>5</v>
      </c>
    </row>
    <row r="6612" spans="2:5">
      <c r="B6612" s="43" t="s">
        <v>34</v>
      </c>
      <c r="C6612" s="43" t="s">
        <v>35</v>
      </c>
      <c r="D6612" s="44">
        <v>45999</v>
      </c>
      <c r="E6612" s="45">
        <v>6</v>
      </c>
    </row>
    <row r="6613" spans="2:5">
      <c r="B6613" s="43" t="s">
        <v>36</v>
      </c>
      <c r="C6613" s="43" t="s">
        <v>37</v>
      </c>
      <c r="D6613" s="44">
        <v>45999</v>
      </c>
      <c r="E6613" s="45">
        <v>11</v>
      </c>
    </row>
    <row r="6614" spans="2:5">
      <c r="B6614" s="43" t="s">
        <v>38</v>
      </c>
      <c r="C6614" s="43" t="s">
        <v>39</v>
      </c>
      <c r="D6614" s="44">
        <v>45999</v>
      </c>
      <c r="E6614" s="45">
        <v>36</v>
      </c>
    </row>
    <row r="6615" spans="2:5">
      <c r="B6615" s="43" t="s">
        <v>8</v>
      </c>
      <c r="C6615" s="43" t="s">
        <v>9</v>
      </c>
      <c r="D6615" s="44">
        <v>46000</v>
      </c>
      <c r="E6615" s="45">
        <v>43.5</v>
      </c>
    </row>
    <row r="6616" spans="2:5">
      <c r="B6616" s="43" t="s">
        <v>46</v>
      </c>
      <c r="C6616" s="43" t="s">
        <v>47</v>
      </c>
      <c r="D6616" s="44">
        <v>46000</v>
      </c>
      <c r="E6616" s="45">
        <v>395.5</v>
      </c>
    </row>
    <row r="6617" spans="2:5">
      <c r="B6617" s="43" t="s">
        <v>10</v>
      </c>
      <c r="C6617" s="43" t="s">
        <v>11</v>
      </c>
      <c r="D6617" s="44">
        <v>46000</v>
      </c>
      <c r="E6617" s="45">
        <v>110.5</v>
      </c>
    </row>
    <row r="6618" spans="2:5">
      <c r="B6618" s="43" t="s">
        <v>206</v>
      </c>
      <c r="C6618" s="43" t="s">
        <v>207</v>
      </c>
      <c r="D6618" s="44">
        <v>46000</v>
      </c>
      <c r="E6618" s="45">
        <v>303</v>
      </c>
    </row>
    <row r="6619" spans="2:5">
      <c r="B6619" s="43" t="s">
        <v>12</v>
      </c>
      <c r="C6619" s="43" t="s">
        <v>13</v>
      </c>
      <c r="D6619" s="44">
        <v>46000</v>
      </c>
      <c r="E6619" s="45">
        <v>41.4</v>
      </c>
    </row>
    <row r="6620" spans="2:5">
      <c r="B6620" s="43" t="s">
        <v>14</v>
      </c>
      <c r="C6620" s="43" t="s">
        <v>15</v>
      </c>
      <c r="D6620" s="44">
        <v>46000</v>
      </c>
      <c r="E6620" s="45">
        <v>405</v>
      </c>
    </row>
    <row r="6621" spans="2:5">
      <c r="B6621" s="43" t="s">
        <v>50</v>
      </c>
      <c r="C6621" s="43" t="s">
        <v>51</v>
      </c>
      <c r="D6621" s="44">
        <v>46000</v>
      </c>
      <c r="E6621" s="45">
        <v>108.8</v>
      </c>
    </row>
    <row r="6622" spans="2:5">
      <c r="B6622" s="43" t="s">
        <v>114</v>
      </c>
      <c r="C6622" s="43" t="s">
        <v>115</v>
      </c>
      <c r="D6622" s="44">
        <v>46000</v>
      </c>
      <c r="E6622" s="45">
        <v>332.5</v>
      </c>
    </row>
    <row r="6623" spans="2:5">
      <c r="B6623" s="43" t="s">
        <v>126</v>
      </c>
      <c r="C6623" s="43" t="s">
        <v>127</v>
      </c>
      <c r="D6623" s="44">
        <v>46000</v>
      </c>
      <c r="E6623" s="45">
        <v>118</v>
      </c>
    </row>
    <row r="6624" spans="2:5">
      <c r="B6624" s="43" t="s">
        <v>76</v>
      </c>
      <c r="C6624" s="43" t="s">
        <v>77</v>
      </c>
      <c r="D6624" s="44">
        <v>46000</v>
      </c>
      <c r="E6624" s="45">
        <v>123.55</v>
      </c>
    </row>
    <row r="6625" spans="2:5">
      <c r="B6625" s="43" t="s">
        <v>152</v>
      </c>
      <c r="C6625" s="43" t="s">
        <v>153</v>
      </c>
      <c r="D6625" s="44">
        <v>46000</v>
      </c>
      <c r="E6625" s="45">
        <v>186</v>
      </c>
    </row>
    <row r="6626" spans="2:5">
      <c r="B6626" s="43" t="s">
        <v>180</v>
      </c>
      <c r="C6626" s="43" t="s">
        <v>181</v>
      </c>
      <c r="D6626" s="44">
        <v>46000</v>
      </c>
      <c r="E6626" s="45">
        <v>168</v>
      </c>
    </row>
    <row r="6627" spans="2:5">
      <c r="B6627" s="43" t="s">
        <v>20</v>
      </c>
      <c r="C6627" s="43" t="s">
        <v>21</v>
      </c>
      <c r="D6627" s="44">
        <v>46000</v>
      </c>
      <c r="E6627" s="45">
        <v>1156.4</v>
      </c>
    </row>
    <row r="6628" spans="2:5">
      <c r="B6628" s="43" t="s">
        <v>22</v>
      </c>
      <c r="C6628" s="43" t="s">
        <v>23</v>
      </c>
      <c r="D6628" s="44">
        <v>46000</v>
      </c>
      <c r="E6628" s="45">
        <v>67.2</v>
      </c>
    </row>
    <row r="6629" spans="2:5">
      <c r="B6629" s="43" t="s">
        <v>24</v>
      </c>
      <c r="C6629" s="43" t="s">
        <v>25</v>
      </c>
      <c r="D6629" s="44">
        <v>46000</v>
      </c>
      <c r="E6629" s="45">
        <v>2623.5</v>
      </c>
    </row>
    <row r="6630" spans="2:5">
      <c r="B6630" s="43" t="s">
        <v>26</v>
      </c>
      <c r="C6630" s="43" t="s">
        <v>27</v>
      </c>
      <c r="D6630" s="44">
        <v>46000</v>
      </c>
      <c r="E6630" s="45">
        <v>901.9</v>
      </c>
    </row>
    <row r="6631" spans="2:5">
      <c r="B6631" s="43" t="s">
        <v>60</v>
      </c>
      <c r="C6631" s="43" t="s">
        <v>61</v>
      </c>
      <c r="D6631" s="44">
        <v>46000</v>
      </c>
      <c r="E6631" s="45">
        <v>73.2</v>
      </c>
    </row>
    <row r="6632" spans="2:5">
      <c r="B6632" s="43" t="s">
        <v>28</v>
      </c>
      <c r="C6632" s="43" t="s">
        <v>29</v>
      </c>
      <c r="D6632" s="44">
        <v>46000</v>
      </c>
      <c r="E6632" s="45">
        <v>89.5</v>
      </c>
    </row>
    <row r="6633" spans="2:5">
      <c r="B6633" s="43" t="s">
        <v>122</v>
      </c>
      <c r="C6633" s="43" t="s">
        <v>123</v>
      </c>
      <c r="D6633" s="44">
        <v>46000</v>
      </c>
      <c r="E6633" s="45">
        <v>90.6</v>
      </c>
    </row>
    <row r="6634" spans="2:5">
      <c r="B6634" s="43" t="s">
        <v>62</v>
      </c>
      <c r="C6634" s="43" t="s">
        <v>63</v>
      </c>
      <c r="D6634" s="44">
        <v>46000</v>
      </c>
      <c r="E6634" s="45">
        <v>287</v>
      </c>
    </row>
    <row r="6635" spans="2:5">
      <c r="B6635" s="43" t="s">
        <v>112</v>
      </c>
      <c r="C6635" s="43" t="s">
        <v>113</v>
      </c>
      <c r="D6635" s="44">
        <v>46000</v>
      </c>
      <c r="E6635" s="45">
        <v>180</v>
      </c>
    </row>
    <row r="6636" spans="2:5">
      <c r="B6636" s="43" t="s">
        <v>84</v>
      </c>
      <c r="C6636" s="43" t="s">
        <v>85</v>
      </c>
      <c r="D6636" s="44">
        <v>46000</v>
      </c>
      <c r="E6636" s="45">
        <v>74.85</v>
      </c>
    </row>
    <row r="6637" spans="2:5">
      <c r="B6637" s="43" t="s">
        <v>150</v>
      </c>
      <c r="C6637" s="43" t="s">
        <v>151</v>
      </c>
      <c r="D6637" s="44">
        <v>46000</v>
      </c>
      <c r="E6637" s="45">
        <v>27.05</v>
      </c>
    </row>
    <row r="6638" spans="2:5">
      <c r="B6638" s="43" t="s">
        <v>124</v>
      </c>
      <c r="C6638" s="43" t="s">
        <v>125</v>
      </c>
      <c r="D6638" s="44">
        <v>46000</v>
      </c>
      <c r="E6638" s="45">
        <v>201.5</v>
      </c>
    </row>
    <row r="6639" spans="2:5">
      <c r="B6639" s="43" t="s">
        <v>196</v>
      </c>
      <c r="C6639" s="43" t="s">
        <v>197</v>
      </c>
      <c r="D6639" s="44">
        <v>46000</v>
      </c>
      <c r="E6639" s="45">
        <v>15</v>
      </c>
    </row>
    <row r="6640" spans="2:5">
      <c r="B6640" s="43" t="s">
        <v>96</v>
      </c>
      <c r="C6640" s="43" t="s">
        <v>97</v>
      </c>
      <c r="D6640" s="44">
        <v>46000</v>
      </c>
      <c r="E6640" s="45">
        <v>46</v>
      </c>
    </row>
    <row r="6641" spans="2:5">
      <c r="B6641" s="43" t="s">
        <v>32</v>
      </c>
      <c r="C6641" s="43" t="s">
        <v>33</v>
      </c>
      <c r="D6641" s="44">
        <v>46000</v>
      </c>
      <c r="E6641" s="45">
        <v>10</v>
      </c>
    </row>
    <row r="6642" spans="2:5">
      <c r="B6642" s="43" t="s">
        <v>160</v>
      </c>
      <c r="C6642" s="43" t="s">
        <v>161</v>
      </c>
      <c r="D6642" s="44">
        <v>46000</v>
      </c>
      <c r="E6642" s="45">
        <v>6</v>
      </c>
    </row>
    <row r="6643" spans="2:5">
      <c r="B6643" s="43" t="s">
        <v>34</v>
      </c>
      <c r="C6643" s="43" t="s">
        <v>35</v>
      </c>
      <c r="D6643" s="44">
        <v>46000</v>
      </c>
      <c r="E6643" s="45">
        <v>3</v>
      </c>
    </row>
    <row r="6644" spans="2:5">
      <c r="B6644" s="43" t="s">
        <v>232</v>
      </c>
      <c r="C6644" s="43" t="s">
        <v>233</v>
      </c>
      <c r="D6644" s="44">
        <v>46000</v>
      </c>
      <c r="E6644" s="45">
        <v>1</v>
      </c>
    </row>
    <row r="6645" spans="2:5">
      <c r="B6645" s="43" t="s">
        <v>36</v>
      </c>
      <c r="C6645" s="43" t="s">
        <v>37</v>
      </c>
      <c r="D6645" s="44">
        <v>46000</v>
      </c>
      <c r="E6645" s="45">
        <v>4</v>
      </c>
    </row>
    <row r="6646" spans="2:5">
      <c r="B6646" s="43" t="s">
        <v>42</v>
      </c>
      <c r="C6646" s="43" t="s">
        <v>43</v>
      </c>
      <c r="D6646" s="44">
        <v>46001</v>
      </c>
      <c r="E6646" s="45">
        <v>6.05</v>
      </c>
    </row>
    <row r="6647" spans="2:5">
      <c r="B6647" s="43" t="s">
        <v>4</v>
      </c>
      <c r="C6647" s="43" t="s">
        <v>5</v>
      </c>
      <c r="D6647" s="44">
        <v>46001</v>
      </c>
      <c r="E6647" s="45">
        <v>241.2</v>
      </c>
    </row>
    <row r="6648" spans="2:5">
      <c r="B6648" s="43" t="s">
        <v>156</v>
      </c>
      <c r="C6648" s="43" t="s">
        <v>157</v>
      </c>
      <c r="D6648" s="44">
        <v>46001</v>
      </c>
      <c r="E6648" s="45">
        <v>436.8</v>
      </c>
    </row>
    <row r="6649" spans="2:5">
      <c r="B6649" s="43" t="s">
        <v>8</v>
      </c>
      <c r="C6649" s="43" t="s">
        <v>9</v>
      </c>
      <c r="D6649" s="44">
        <v>46001</v>
      </c>
      <c r="E6649" s="45">
        <v>443.7</v>
      </c>
    </row>
    <row r="6650" spans="2:5">
      <c r="B6650" s="43" t="s">
        <v>46</v>
      </c>
      <c r="C6650" s="43" t="s">
        <v>47</v>
      </c>
      <c r="D6650" s="44">
        <v>46001</v>
      </c>
      <c r="E6650" s="45">
        <v>192.1</v>
      </c>
    </row>
    <row r="6651" spans="2:5">
      <c r="B6651" s="43" t="s">
        <v>10</v>
      </c>
      <c r="C6651" s="43" t="s">
        <v>11</v>
      </c>
      <c r="D6651" s="44">
        <v>46001</v>
      </c>
      <c r="E6651" s="45">
        <v>243.1</v>
      </c>
    </row>
    <row r="6652" spans="2:5">
      <c r="B6652" s="43" t="s">
        <v>206</v>
      </c>
      <c r="C6652" s="43" t="s">
        <v>207</v>
      </c>
      <c r="D6652" s="44">
        <v>46001</v>
      </c>
      <c r="E6652" s="45">
        <v>303</v>
      </c>
    </row>
    <row r="6653" spans="2:5">
      <c r="B6653" s="43" t="s">
        <v>74</v>
      </c>
      <c r="C6653" s="43" t="s">
        <v>75</v>
      </c>
      <c r="D6653" s="44">
        <v>46001</v>
      </c>
      <c r="E6653" s="45">
        <v>348.6</v>
      </c>
    </row>
    <row r="6654" spans="2:5">
      <c r="B6654" s="43" t="s">
        <v>12</v>
      </c>
      <c r="C6654" s="43" t="s">
        <v>13</v>
      </c>
      <c r="D6654" s="44">
        <v>46001</v>
      </c>
      <c r="E6654" s="45">
        <v>372.6</v>
      </c>
    </row>
    <row r="6655" spans="2:5">
      <c r="B6655" s="43" t="s">
        <v>48</v>
      </c>
      <c r="C6655" s="43" t="s">
        <v>49</v>
      </c>
      <c r="D6655" s="44">
        <v>46001</v>
      </c>
      <c r="E6655" s="45">
        <v>31.5</v>
      </c>
    </row>
    <row r="6656" spans="2:5">
      <c r="B6656" s="43" t="s">
        <v>14</v>
      </c>
      <c r="C6656" s="43" t="s">
        <v>15</v>
      </c>
      <c r="D6656" s="44">
        <v>46001</v>
      </c>
      <c r="E6656" s="45">
        <v>310.5</v>
      </c>
    </row>
    <row r="6657" spans="2:5">
      <c r="B6657" s="43" t="s">
        <v>50</v>
      </c>
      <c r="C6657" s="43" t="s">
        <v>51</v>
      </c>
      <c r="D6657" s="44">
        <v>46001</v>
      </c>
      <c r="E6657" s="45">
        <v>122.4</v>
      </c>
    </row>
    <row r="6658" spans="2:5">
      <c r="B6658" s="43" t="s">
        <v>114</v>
      </c>
      <c r="C6658" s="43" t="s">
        <v>115</v>
      </c>
      <c r="D6658" s="44">
        <v>46001</v>
      </c>
      <c r="E6658" s="45">
        <v>239.4</v>
      </c>
    </row>
    <row r="6659" spans="2:5">
      <c r="B6659" s="43" t="s">
        <v>144</v>
      </c>
      <c r="C6659" s="43" t="s">
        <v>145</v>
      </c>
      <c r="D6659" s="44">
        <v>46001</v>
      </c>
      <c r="E6659" s="45">
        <v>81</v>
      </c>
    </row>
    <row r="6660" spans="2:5">
      <c r="B6660" s="43" t="s">
        <v>138</v>
      </c>
      <c r="C6660" s="43" t="s">
        <v>139</v>
      </c>
      <c r="D6660" s="44">
        <v>46001</v>
      </c>
      <c r="E6660" s="45">
        <v>31.7</v>
      </c>
    </row>
    <row r="6661" spans="2:5">
      <c r="B6661" s="43" t="s">
        <v>54</v>
      </c>
      <c r="C6661" s="43" t="s">
        <v>55</v>
      </c>
      <c r="D6661" s="44">
        <v>46001</v>
      </c>
      <c r="E6661" s="45">
        <v>239.4</v>
      </c>
    </row>
    <row r="6662" spans="2:5">
      <c r="B6662" s="43" t="s">
        <v>152</v>
      </c>
      <c r="C6662" s="43" t="s">
        <v>153</v>
      </c>
      <c r="D6662" s="44">
        <v>46001</v>
      </c>
      <c r="E6662" s="45">
        <v>46.5</v>
      </c>
    </row>
    <row r="6663" spans="2:5">
      <c r="B6663" s="43" t="s">
        <v>16</v>
      </c>
      <c r="C6663" s="43" t="s">
        <v>17</v>
      </c>
      <c r="D6663" s="44">
        <v>46001</v>
      </c>
      <c r="E6663" s="45">
        <v>228</v>
      </c>
    </row>
    <row r="6664" spans="2:5">
      <c r="B6664" s="43" t="s">
        <v>78</v>
      </c>
      <c r="C6664" s="43" t="s">
        <v>79</v>
      </c>
      <c r="D6664" s="44">
        <v>46001</v>
      </c>
      <c r="E6664" s="45">
        <v>17.7</v>
      </c>
    </row>
    <row r="6665" spans="2:5">
      <c r="B6665" s="43" t="s">
        <v>20</v>
      </c>
      <c r="C6665" s="43" t="s">
        <v>21</v>
      </c>
      <c r="D6665" s="44">
        <v>46001</v>
      </c>
      <c r="E6665" s="45">
        <v>58.8</v>
      </c>
    </row>
    <row r="6666" spans="2:5">
      <c r="B6666" s="43" t="s">
        <v>22</v>
      </c>
      <c r="C6666" s="43" t="s">
        <v>23</v>
      </c>
      <c r="D6666" s="44">
        <v>46001</v>
      </c>
      <c r="E6666" s="45">
        <v>38.4</v>
      </c>
    </row>
    <row r="6667" spans="2:5">
      <c r="B6667" s="43" t="s">
        <v>80</v>
      </c>
      <c r="C6667" s="43" t="s">
        <v>81</v>
      </c>
      <c r="D6667" s="44">
        <v>46001</v>
      </c>
      <c r="E6667" s="45">
        <v>111.65</v>
      </c>
    </row>
    <row r="6668" spans="2:5">
      <c r="B6668" s="43" t="s">
        <v>24</v>
      </c>
      <c r="C6668" s="43" t="s">
        <v>25</v>
      </c>
      <c r="D6668" s="44">
        <v>46001</v>
      </c>
      <c r="E6668" s="45">
        <v>3450.3</v>
      </c>
    </row>
    <row r="6669" spans="2:5">
      <c r="B6669" s="43" t="s">
        <v>26</v>
      </c>
      <c r="C6669" s="43" t="s">
        <v>27</v>
      </c>
      <c r="D6669" s="44">
        <v>46001</v>
      </c>
      <c r="E6669" s="45">
        <v>3732</v>
      </c>
    </row>
    <row r="6670" spans="2:5">
      <c r="B6670" s="43" t="s">
        <v>60</v>
      </c>
      <c r="C6670" s="43" t="s">
        <v>61</v>
      </c>
      <c r="D6670" s="44">
        <v>46001</v>
      </c>
      <c r="E6670" s="45">
        <v>318.85</v>
      </c>
    </row>
    <row r="6671" spans="2:5">
      <c r="B6671" s="43" t="s">
        <v>28</v>
      </c>
      <c r="C6671" s="43" t="s">
        <v>29</v>
      </c>
      <c r="D6671" s="44">
        <v>46001</v>
      </c>
      <c r="E6671" s="45">
        <v>1915.3</v>
      </c>
    </row>
    <row r="6672" spans="2:5">
      <c r="B6672" s="43" t="s">
        <v>62</v>
      </c>
      <c r="C6672" s="43" t="s">
        <v>63</v>
      </c>
      <c r="D6672" s="44">
        <v>46001</v>
      </c>
      <c r="E6672" s="45">
        <v>943</v>
      </c>
    </row>
    <row r="6673" spans="2:5">
      <c r="B6673" s="43" t="s">
        <v>90</v>
      </c>
      <c r="C6673" s="43" t="s">
        <v>91</v>
      </c>
      <c r="D6673" s="44">
        <v>46001</v>
      </c>
      <c r="E6673" s="45">
        <v>373.8</v>
      </c>
    </row>
    <row r="6674" spans="2:5">
      <c r="B6674" s="43" t="s">
        <v>164</v>
      </c>
      <c r="C6674" s="43" t="s">
        <v>165</v>
      </c>
      <c r="D6674" s="44">
        <v>46001</v>
      </c>
      <c r="E6674" s="45">
        <v>203.4</v>
      </c>
    </row>
    <row r="6675" spans="2:5">
      <c r="B6675" s="43" t="s">
        <v>166</v>
      </c>
      <c r="C6675" s="43" t="s">
        <v>167</v>
      </c>
      <c r="D6675" s="44">
        <v>46001</v>
      </c>
      <c r="E6675" s="45">
        <v>77.4</v>
      </c>
    </row>
    <row r="6676" spans="2:5">
      <c r="B6676" s="43" t="s">
        <v>84</v>
      </c>
      <c r="C6676" s="43" t="s">
        <v>85</v>
      </c>
      <c r="D6676" s="44">
        <v>46001</v>
      </c>
      <c r="E6676" s="45">
        <v>49.9</v>
      </c>
    </row>
    <row r="6677" spans="2:5">
      <c r="B6677" s="43" t="s">
        <v>106</v>
      </c>
      <c r="C6677" s="43" t="s">
        <v>107</v>
      </c>
      <c r="D6677" s="44">
        <v>46001</v>
      </c>
      <c r="E6677" s="45">
        <v>7.7</v>
      </c>
    </row>
    <row r="6678" spans="2:5">
      <c r="B6678" s="43" t="s">
        <v>142</v>
      </c>
      <c r="C6678" s="43" t="s">
        <v>143</v>
      </c>
      <c r="D6678" s="44">
        <v>46001</v>
      </c>
      <c r="E6678" s="45">
        <v>8</v>
      </c>
    </row>
    <row r="6679" spans="2:5">
      <c r="B6679" s="43" t="s">
        <v>96</v>
      </c>
      <c r="C6679" s="43" t="s">
        <v>97</v>
      </c>
      <c r="D6679" s="44">
        <v>46001</v>
      </c>
      <c r="E6679" s="45">
        <v>28</v>
      </c>
    </row>
    <row r="6680" spans="2:5">
      <c r="B6680" s="43" t="s">
        <v>32</v>
      </c>
      <c r="C6680" s="43" t="s">
        <v>33</v>
      </c>
      <c r="D6680" s="44">
        <v>46001</v>
      </c>
      <c r="E6680" s="45">
        <v>11</v>
      </c>
    </row>
    <row r="6681" spans="2:5">
      <c r="B6681" s="43" t="s">
        <v>160</v>
      </c>
      <c r="C6681" s="43" t="s">
        <v>161</v>
      </c>
      <c r="D6681" s="44">
        <v>46001</v>
      </c>
      <c r="E6681" s="45">
        <v>6</v>
      </c>
    </row>
    <row r="6682" spans="2:5">
      <c r="B6682" s="43" t="s">
        <v>34</v>
      </c>
      <c r="C6682" s="43" t="s">
        <v>35</v>
      </c>
      <c r="D6682" s="44">
        <v>46001</v>
      </c>
      <c r="E6682" s="45">
        <v>2</v>
      </c>
    </row>
    <row r="6683" spans="2:5">
      <c r="B6683" s="43" t="s">
        <v>232</v>
      </c>
      <c r="C6683" s="43" t="s">
        <v>233</v>
      </c>
      <c r="D6683" s="44">
        <v>46001</v>
      </c>
      <c r="E6683" s="45">
        <v>3</v>
      </c>
    </row>
    <row r="6684" spans="2:5">
      <c r="B6684" s="43" t="s">
        <v>36</v>
      </c>
      <c r="C6684" s="43" t="s">
        <v>37</v>
      </c>
      <c r="D6684" s="44">
        <v>46001</v>
      </c>
      <c r="E6684" s="45">
        <v>10</v>
      </c>
    </row>
    <row r="6685" spans="2:5">
      <c r="B6685" s="43" t="s">
        <v>86</v>
      </c>
      <c r="C6685" s="43" t="s">
        <v>87</v>
      </c>
      <c r="D6685" s="44">
        <v>46002</v>
      </c>
      <c r="E6685" s="45">
        <v>21</v>
      </c>
    </row>
    <row r="6686" spans="2:5">
      <c r="B6686" s="43" t="s">
        <v>4</v>
      </c>
      <c r="C6686" s="43" t="s">
        <v>5</v>
      </c>
      <c r="D6686" s="44">
        <v>46002</v>
      </c>
      <c r="E6686" s="45">
        <v>73.7</v>
      </c>
    </row>
    <row r="6687" spans="2:5">
      <c r="B6687" s="43" t="s">
        <v>8</v>
      </c>
      <c r="C6687" s="43" t="s">
        <v>9</v>
      </c>
      <c r="D6687" s="44">
        <v>46002</v>
      </c>
      <c r="E6687" s="45">
        <v>139.2</v>
      </c>
    </row>
    <row r="6688" spans="2:5">
      <c r="B6688" s="43" t="s">
        <v>46</v>
      </c>
      <c r="C6688" s="43" t="s">
        <v>47</v>
      </c>
      <c r="D6688" s="44">
        <v>46002</v>
      </c>
      <c r="E6688" s="45">
        <v>316.4</v>
      </c>
    </row>
    <row r="6689" spans="2:5">
      <c r="B6689" s="43" t="s">
        <v>12</v>
      </c>
      <c r="C6689" s="43" t="s">
        <v>13</v>
      </c>
      <c r="D6689" s="44">
        <v>46002</v>
      </c>
      <c r="E6689" s="45">
        <v>386.4</v>
      </c>
    </row>
    <row r="6690" spans="2:5">
      <c r="B6690" s="43" t="s">
        <v>14</v>
      </c>
      <c r="C6690" s="43" t="s">
        <v>15</v>
      </c>
      <c r="D6690" s="44">
        <v>46002</v>
      </c>
      <c r="E6690" s="45">
        <v>459</v>
      </c>
    </row>
    <row r="6691" spans="2:5">
      <c r="B6691" s="43" t="s">
        <v>50</v>
      </c>
      <c r="C6691" s="43" t="s">
        <v>51</v>
      </c>
      <c r="D6691" s="44">
        <v>46002</v>
      </c>
      <c r="E6691" s="45">
        <v>340</v>
      </c>
    </row>
    <row r="6692" spans="2:5">
      <c r="B6692" s="43" t="s">
        <v>114</v>
      </c>
      <c r="C6692" s="43" t="s">
        <v>115</v>
      </c>
      <c r="D6692" s="44">
        <v>46002</v>
      </c>
      <c r="E6692" s="45">
        <v>718.2</v>
      </c>
    </row>
    <row r="6693" spans="2:5">
      <c r="B6693" s="43" t="s">
        <v>56</v>
      </c>
      <c r="C6693" s="43" t="s">
        <v>57</v>
      </c>
      <c r="D6693" s="44">
        <v>46002</v>
      </c>
      <c r="E6693" s="45">
        <v>543</v>
      </c>
    </row>
    <row r="6694" spans="2:5">
      <c r="B6694" s="43" t="s">
        <v>76</v>
      </c>
      <c r="C6694" s="43" t="s">
        <v>77</v>
      </c>
      <c r="D6694" s="44">
        <v>46002</v>
      </c>
      <c r="E6694" s="45">
        <v>141.2</v>
      </c>
    </row>
    <row r="6695" spans="2:5">
      <c r="B6695" s="43" t="s">
        <v>180</v>
      </c>
      <c r="C6695" s="43" t="s">
        <v>181</v>
      </c>
      <c r="D6695" s="44">
        <v>46002</v>
      </c>
      <c r="E6695" s="45">
        <v>907.2</v>
      </c>
    </row>
    <row r="6696" spans="2:5">
      <c r="B6696" s="43" t="s">
        <v>192</v>
      </c>
      <c r="C6696" s="43" t="s">
        <v>193</v>
      </c>
      <c r="D6696" s="44">
        <v>46002</v>
      </c>
      <c r="E6696" s="45">
        <v>61.6</v>
      </c>
    </row>
    <row r="6697" spans="2:5">
      <c r="B6697" s="43" t="s">
        <v>20</v>
      </c>
      <c r="C6697" s="43" t="s">
        <v>21</v>
      </c>
      <c r="D6697" s="44">
        <v>46002</v>
      </c>
      <c r="E6697" s="45">
        <v>245</v>
      </c>
    </row>
    <row r="6698" spans="2:5">
      <c r="B6698" s="43" t="s">
        <v>22</v>
      </c>
      <c r="C6698" s="43" t="s">
        <v>23</v>
      </c>
      <c r="D6698" s="44">
        <v>46002</v>
      </c>
      <c r="E6698" s="45">
        <v>134.4</v>
      </c>
    </row>
    <row r="6699" spans="2:5">
      <c r="B6699" s="43" t="s">
        <v>24</v>
      </c>
      <c r="C6699" s="43" t="s">
        <v>25</v>
      </c>
      <c r="D6699" s="44">
        <v>46002</v>
      </c>
      <c r="E6699" s="45">
        <v>1224.3</v>
      </c>
    </row>
    <row r="6700" spans="2:5">
      <c r="B6700" s="43" t="s">
        <v>58</v>
      </c>
      <c r="C6700" s="43" t="s">
        <v>59</v>
      </c>
      <c r="D6700" s="44">
        <v>46002</v>
      </c>
      <c r="E6700" s="45">
        <v>885</v>
      </c>
    </row>
    <row r="6701" spans="2:5">
      <c r="B6701" s="43" t="s">
        <v>26</v>
      </c>
      <c r="C6701" s="43" t="s">
        <v>27</v>
      </c>
      <c r="D6701" s="44">
        <v>46002</v>
      </c>
      <c r="E6701" s="45">
        <v>4354</v>
      </c>
    </row>
    <row r="6702" spans="2:5">
      <c r="B6702" s="43" t="s">
        <v>60</v>
      </c>
      <c r="C6702" s="43" t="s">
        <v>61</v>
      </c>
      <c r="D6702" s="44">
        <v>46002</v>
      </c>
      <c r="E6702" s="45">
        <v>109.8</v>
      </c>
    </row>
    <row r="6703" spans="2:5">
      <c r="B6703" s="43" t="s">
        <v>28</v>
      </c>
      <c r="C6703" s="43" t="s">
        <v>29</v>
      </c>
      <c r="D6703" s="44">
        <v>46002</v>
      </c>
      <c r="E6703" s="45">
        <v>590.7</v>
      </c>
    </row>
    <row r="6704" spans="2:5">
      <c r="B6704" s="43" t="s">
        <v>122</v>
      </c>
      <c r="C6704" s="43" t="s">
        <v>123</v>
      </c>
      <c r="D6704" s="44">
        <v>46002</v>
      </c>
      <c r="E6704" s="45">
        <v>181.2</v>
      </c>
    </row>
    <row r="6705" spans="2:5">
      <c r="B6705" s="43" t="s">
        <v>62</v>
      </c>
      <c r="C6705" s="43" t="s">
        <v>63</v>
      </c>
      <c r="D6705" s="44">
        <v>46002</v>
      </c>
      <c r="E6705" s="45">
        <v>512.5</v>
      </c>
    </row>
    <row r="6706" spans="2:5">
      <c r="B6706" s="43" t="s">
        <v>148</v>
      </c>
      <c r="C6706" s="43" t="s">
        <v>149</v>
      </c>
      <c r="D6706" s="44">
        <v>46002</v>
      </c>
      <c r="E6706" s="45">
        <v>1419.8</v>
      </c>
    </row>
    <row r="6707" spans="2:5">
      <c r="B6707" s="43" t="s">
        <v>228</v>
      </c>
      <c r="C6707" s="43" t="s">
        <v>229</v>
      </c>
      <c r="D6707" s="44">
        <v>46002</v>
      </c>
      <c r="E6707" s="45">
        <v>94.4</v>
      </c>
    </row>
    <row r="6708" spans="2:5">
      <c r="B6708" s="43" t="s">
        <v>172</v>
      </c>
      <c r="C6708" s="43" t="s">
        <v>173</v>
      </c>
      <c r="D6708" s="44">
        <v>46002</v>
      </c>
      <c r="E6708" s="45">
        <v>338.25</v>
      </c>
    </row>
    <row r="6709" spans="2:5">
      <c r="B6709" s="43" t="s">
        <v>84</v>
      </c>
      <c r="C6709" s="43" t="s">
        <v>85</v>
      </c>
      <c r="D6709" s="44">
        <v>46002</v>
      </c>
      <c r="E6709" s="45">
        <v>249.5</v>
      </c>
    </row>
    <row r="6710" spans="2:5">
      <c r="B6710" s="43" t="s">
        <v>92</v>
      </c>
      <c r="C6710" s="43" t="s">
        <v>93</v>
      </c>
      <c r="D6710" s="44">
        <v>46002</v>
      </c>
      <c r="E6710" s="45">
        <v>108.3</v>
      </c>
    </row>
    <row r="6711" spans="2:5">
      <c r="B6711" s="43" t="s">
        <v>150</v>
      </c>
      <c r="C6711" s="43" t="s">
        <v>151</v>
      </c>
      <c r="D6711" s="44">
        <v>46002</v>
      </c>
      <c r="E6711" s="45">
        <v>54.1</v>
      </c>
    </row>
    <row r="6712" spans="2:5">
      <c r="B6712" s="43" t="s">
        <v>96</v>
      </c>
      <c r="C6712" s="43" t="s">
        <v>97</v>
      </c>
      <c r="D6712" s="44">
        <v>46002</v>
      </c>
      <c r="E6712" s="45">
        <v>47</v>
      </c>
    </row>
    <row r="6713" spans="2:5">
      <c r="B6713" s="43" t="s">
        <v>32</v>
      </c>
      <c r="C6713" s="43" t="s">
        <v>33</v>
      </c>
      <c r="D6713" s="44">
        <v>46002</v>
      </c>
      <c r="E6713" s="45">
        <v>7</v>
      </c>
    </row>
    <row r="6714" spans="2:5">
      <c r="B6714" s="43" t="s">
        <v>98</v>
      </c>
      <c r="C6714" s="43" t="s">
        <v>99</v>
      </c>
      <c r="D6714" s="44">
        <v>46002</v>
      </c>
      <c r="E6714" s="45">
        <v>8</v>
      </c>
    </row>
    <row r="6715" spans="2:5">
      <c r="B6715" s="43" t="s">
        <v>36</v>
      </c>
      <c r="C6715" s="43" t="s">
        <v>37</v>
      </c>
      <c r="D6715" s="44">
        <v>46002</v>
      </c>
      <c r="E6715" s="45">
        <v>3</v>
      </c>
    </row>
    <row r="6716" spans="2:5">
      <c r="B6716" s="43" t="s">
        <v>38</v>
      </c>
      <c r="C6716" s="43" t="s">
        <v>39</v>
      </c>
      <c r="D6716" s="44">
        <v>46002</v>
      </c>
      <c r="E6716" s="45">
        <v>49</v>
      </c>
    </row>
    <row r="6717" spans="2:5">
      <c r="B6717" s="43" t="s">
        <v>4</v>
      </c>
      <c r="C6717" s="43" t="s">
        <v>5</v>
      </c>
      <c r="D6717" s="44">
        <v>46003</v>
      </c>
      <c r="E6717" s="45">
        <v>67</v>
      </c>
    </row>
    <row r="6718" spans="2:5">
      <c r="B6718" s="43" t="s">
        <v>8</v>
      </c>
      <c r="C6718" s="43" t="s">
        <v>9</v>
      </c>
      <c r="D6718" s="44">
        <v>46003</v>
      </c>
      <c r="E6718" s="45">
        <v>234.9</v>
      </c>
    </row>
    <row r="6719" spans="2:5">
      <c r="B6719" s="43" t="s">
        <v>46</v>
      </c>
      <c r="C6719" s="43" t="s">
        <v>47</v>
      </c>
      <c r="D6719" s="44">
        <v>46003</v>
      </c>
      <c r="E6719" s="45">
        <v>226</v>
      </c>
    </row>
    <row r="6720" spans="2:5">
      <c r="B6720" s="43" t="s">
        <v>10</v>
      </c>
      <c r="C6720" s="43" t="s">
        <v>11</v>
      </c>
      <c r="D6720" s="44">
        <v>46003</v>
      </c>
      <c r="E6720" s="45">
        <v>11.05</v>
      </c>
    </row>
    <row r="6721" spans="2:5">
      <c r="B6721" s="43" t="s">
        <v>12</v>
      </c>
      <c r="C6721" s="43" t="s">
        <v>13</v>
      </c>
      <c r="D6721" s="44">
        <v>46003</v>
      </c>
      <c r="E6721" s="45">
        <v>317.4</v>
      </c>
    </row>
    <row r="6722" spans="2:5">
      <c r="B6722" s="43" t="s">
        <v>14</v>
      </c>
      <c r="C6722" s="43" t="s">
        <v>15</v>
      </c>
      <c r="D6722" s="44">
        <v>46003</v>
      </c>
      <c r="E6722" s="45">
        <v>54</v>
      </c>
    </row>
    <row r="6723" spans="2:5">
      <c r="B6723" s="43" t="s">
        <v>50</v>
      </c>
      <c r="C6723" s="43" t="s">
        <v>51</v>
      </c>
      <c r="D6723" s="44">
        <v>46003</v>
      </c>
      <c r="E6723" s="45">
        <v>204</v>
      </c>
    </row>
    <row r="6724" spans="2:5">
      <c r="B6724" s="43" t="s">
        <v>138</v>
      </c>
      <c r="C6724" s="43" t="s">
        <v>139</v>
      </c>
      <c r="D6724" s="44">
        <v>46003</v>
      </c>
      <c r="E6724" s="45">
        <v>15.85</v>
      </c>
    </row>
    <row r="6725" spans="2:5">
      <c r="B6725" s="43" t="s">
        <v>56</v>
      </c>
      <c r="C6725" s="43" t="s">
        <v>57</v>
      </c>
      <c r="D6725" s="44">
        <v>46003</v>
      </c>
      <c r="E6725" s="45">
        <v>144.8</v>
      </c>
    </row>
    <row r="6726" spans="2:5">
      <c r="B6726" s="43" t="s">
        <v>152</v>
      </c>
      <c r="C6726" s="43" t="s">
        <v>153</v>
      </c>
      <c r="D6726" s="44">
        <v>46003</v>
      </c>
      <c r="E6726" s="45">
        <v>93</v>
      </c>
    </row>
    <row r="6727" spans="2:5">
      <c r="B6727" s="43" t="s">
        <v>200</v>
      </c>
      <c r="C6727" s="43" t="s">
        <v>201</v>
      </c>
      <c r="D6727" s="44">
        <v>46003</v>
      </c>
      <c r="E6727" s="45">
        <v>27.5</v>
      </c>
    </row>
    <row r="6728" spans="2:5">
      <c r="B6728" s="43" t="s">
        <v>20</v>
      </c>
      <c r="C6728" s="43" t="s">
        <v>21</v>
      </c>
      <c r="D6728" s="44">
        <v>46003</v>
      </c>
      <c r="E6728" s="45">
        <v>235.2</v>
      </c>
    </row>
    <row r="6729" spans="2:5">
      <c r="B6729" s="43" t="s">
        <v>22</v>
      </c>
      <c r="C6729" s="43" t="s">
        <v>23</v>
      </c>
      <c r="D6729" s="44">
        <v>46003</v>
      </c>
      <c r="E6729" s="45">
        <v>355.2</v>
      </c>
    </row>
    <row r="6730" spans="2:5">
      <c r="B6730" s="43" t="s">
        <v>24</v>
      </c>
      <c r="C6730" s="43" t="s">
        <v>25</v>
      </c>
      <c r="D6730" s="44">
        <v>46003</v>
      </c>
      <c r="E6730" s="45">
        <v>2019.3</v>
      </c>
    </row>
    <row r="6731" spans="2:5">
      <c r="B6731" s="43" t="s">
        <v>26</v>
      </c>
      <c r="C6731" s="43" t="s">
        <v>27</v>
      </c>
      <c r="D6731" s="44">
        <v>46003</v>
      </c>
      <c r="E6731" s="45">
        <v>901.9</v>
      </c>
    </row>
    <row r="6732" spans="2:5">
      <c r="B6732" s="43" t="s">
        <v>28</v>
      </c>
      <c r="C6732" s="43" t="s">
        <v>29</v>
      </c>
      <c r="D6732" s="44">
        <v>46003</v>
      </c>
      <c r="E6732" s="45">
        <v>483.3</v>
      </c>
    </row>
    <row r="6733" spans="2:5">
      <c r="B6733" s="43" t="s">
        <v>62</v>
      </c>
      <c r="C6733" s="43" t="s">
        <v>63</v>
      </c>
      <c r="D6733" s="44">
        <v>46003</v>
      </c>
      <c r="E6733" s="45">
        <v>676.5</v>
      </c>
    </row>
    <row r="6734" spans="2:5">
      <c r="B6734" s="43" t="s">
        <v>92</v>
      </c>
      <c r="C6734" s="43" t="s">
        <v>93</v>
      </c>
      <c r="D6734" s="44">
        <v>46003</v>
      </c>
      <c r="E6734" s="45">
        <v>288.8</v>
      </c>
    </row>
    <row r="6735" spans="2:5">
      <c r="B6735" s="43" t="s">
        <v>124</v>
      </c>
      <c r="C6735" s="43" t="s">
        <v>125</v>
      </c>
      <c r="D6735" s="44">
        <v>46003</v>
      </c>
      <c r="E6735" s="45">
        <v>725.4</v>
      </c>
    </row>
    <row r="6736" spans="2:5">
      <c r="B6736" s="43" t="s">
        <v>96</v>
      </c>
      <c r="C6736" s="43" t="s">
        <v>97</v>
      </c>
      <c r="D6736" s="44">
        <v>46003</v>
      </c>
      <c r="E6736" s="45">
        <v>3</v>
      </c>
    </row>
    <row r="6737" spans="2:5">
      <c r="B6737" s="43" t="s">
        <v>32</v>
      </c>
      <c r="C6737" s="43" t="s">
        <v>33</v>
      </c>
      <c r="D6737" s="44">
        <v>46003</v>
      </c>
      <c r="E6737" s="45">
        <v>1</v>
      </c>
    </row>
    <row r="6738" spans="2:5">
      <c r="B6738" s="43" t="s">
        <v>34</v>
      </c>
      <c r="C6738" s="43" t="s">
        <v>35</v>
      </c>
      <c r="D6738" s="44">
        <v>46003</v>
      </c>
      <c r="E6738" s="45">
        <v>3</v>
      </c>
    </row>
    <row r="6739" spans="2:5">
      <c r="B6739" s="43" t="s">
        <v>36</v>
      </c>
      <c r="C6739" s="43" t="s">
        <v>37</v>
      </c>
      <c r="D6739" s="44">
        <v>46003</v>
      </c>
      <c r="E6739" s="45">
        <v>2</v>
      </c>
    </row>
    <row r="6740" spans="2:5">
      <c r="B6740" s="43" t="s">
        <v>156</v>
      </c>
      <c r="C6740" s="43" t="s">
        <v>157</v>
      </c>
      <c r="D6740" s="44">
        <v>46006</v>
      </c>
      <c r="E6740" s="45">
        <v>187.2</v>
      </c>
    </row>
    <row r="6741" spans="2:5">
      <c r="B6741" s="43" t="s">
        <v>8</v>
      </c>
      <c r="C6741" s="43" t="s">
        <v>9</v>
      </c>
      <c r="D6741" s="44">
        <v>46006</v>
      </c>
      <c r="E6741" s="45">
        <v>139.2</v>
      </c>
    </row>
    <row r="6742" spans="2:5">
      <c r="B6742" s="43" t="s">
        <v>72</v>
      </c>
      <c r="C6742" s="43" t="s">
        <v>73</v>
      </c>
      <c r="D6742" s="44">
        <v>46006</v>
      </c>
      <c r="E6742" s="45">
        <v>234.6</v>
      </c>
    </row>
    <row r="6743" spans="2:5">
      <c r="B6743" s="43" t="s">
        <v>46</v>
      </c>
      <c r="C6743" s="43" t="s">
        <v>47</v>
      </c>
      <c r="D6743" s="44">
        <v>46006</v>
      </c>
      <c r="E6743" s="45">
        <v>565</v>
      </c>
    </row>
    <row r="6744" spans="2:5">
      <c r="B6744" s="43" t="s">
        <v>10</v>
      </c>
      <c r="C6744" s="43" t="s">
        <v>11</v>
      </c>
      <c r="D6744" s="44">
        <v>46006</v>
      </c>
      <c r="E6744" s="45">
        <v>342.55</v>
      </c>
    </row>
    <row r="6745" spans="2:5">
      <c r="B6745" s="43" t="s">
        <v>74</v>
      </c>
      <c r="C6745" s="43" t="s">
        <v>75</v>
      </c>
      <c r="D6745" s="44">
        <v>46006</v>
      </c>
      <c r="E6745" s="45">
        <v>249</v>
      </c>
    </row>
    <row r="6746" spans="2:5">
      <c r="B6746" s="43" t="s">
        <v>12</v>
      </c>
      <c r="C6746" s="43" t="s">
        <v>13</v>
      </c>
      <c r="D6746" s="44">
        <v>46006</v>
      </c>
      <c r="E6746" s="45">
        <v>69</v>
      </c>
    </row>
    <row r="6747" spans="2:5">
      <c r="B6747" s="43" t="s">
        <v>14</v>
      </c>
      <c r="C6747" s="43" t="s">
        <v>15</v>
      </c>
      <c r="D6747" s="44">
        <v>46006</v>
      </c>
      <c r="E6747" s="45">
        <v>661.5</v>
      </c>
    </row>
    <row r="6748" spans="2:5">
      <c r="B6748" s="43" t="s">
        <v>134</v>
      </c>
      <c r="C6748" s="43" t="s">
        <v>135</v>
      </c>
      <c r="D6748" s="44">
        <v>46006</v>
      </c>
      <c r="E6748" s="45">
        <v>183.75</v>
      </c>
    </row>
    <row r="6749" spans="2:5">
      <c r="B6749" s="43" t="s">
        <v>50</v>
      </c>
      <c r="C6749" s="43" t="s">
        <v>51</v>
      </c>
      <c r="D6749" s="44">
        <v>46006</v>
      </c>
      <c r="E6749" s="45">
        <v>312.8</v>
      </c>
    </row>
    <row r="6750" spans="2:5">
      <c r="B6750" s="43" t="s">
        <v>138</v>
      </c>
      <c r="C6750" s="43" t="s">
        <v>139</v>
      </c>
      <c r="D6750" s="44">
        <v>46006</v>
      </c>
      <c r="E6750" s="45">
        <v>31.7</v>
      </c>
    </row>
    <row r="6751" spans="2:5">
      <c r="B6751" s="43" t="s">
        <v>56</v>
      </c>
      <c r="C6751" s="43" t="s">
        <v>57</v>
      </c>
      <c r="D6751" s="44">
        <v>46006</v>
      </c>
      <c r="E6751" s="45">
        <v>561.1</v>
      </c>
    </row>
    <row r="6752" spans="2:5">
      <c r="B6752" s="43" t="s">
        <v>152</v>
      </c>
      <c r="C6752" s="43" t="s">
        <v>153</v>
      </c>
      <c r="D6752" s="44">
        <v>46006</v>
      </c>
      <c r="E6752" s="45">
        <v>93</v>
      </c>
    </row>
    <row r="6753" spans="2:5">
      <c r="B6753" s="43" t="s">
        <v>180</v>
      </c>
      <c r="C6753" s="43" t="s">
        <v>181</v>
      </c>
      <c r="D6753" s="44">
        <v>46006</v>
      </c>
      <c r="E6753" s="45">
        <v>134.4</v>
      </c>
    </row>
    <row r="6754" spans="2:5">
      <c r="B6754" s="43" t="s">
        <v>18</v>
      </c>
      <c r="C6754" s="43" t="s">
        <v>19</v>
      </c>
      <c r="D6754" s="44">
        <v>46006</v>
      </c>
      <c r="E6754" s="45">
        <v>489.5</v>
      </c>
    </row>
    <row r="6755" spans="2:5">
      <c r="B6755" s="43" t="s">
        <v>20</v>
      </c>
      <c r="C6755" s="43" t="s">
        <v>21</v>
      </c>
      <c r="D6755" s="44">
        <v>46006</v>
      </c>
      <c r="E6755" s="45">
        <v>127.4</v>
      </c>
    </row>
    <row r="6756" spans="2:5">
      <c r="B6756" s="43" t="s">
        <v>22</v>
      </c>
      <c r="C6756" s="43" t="s">
        <v>23</v>
      </c>
      <c r="D6756" s="44">
        <v>46006</v>
      </c>
      <c r="E6756" s="45">
        <v>28.8</v>
      </c>
    </row>
    <row r="6757" spans="2:5">
      <c r="B6757" s="43" t="s">
        <v>80</v>
      </c>
      <c r="C6757" s="43" t="s">
        <v>81</v>
      </c>
      <c r="D6757" s="44">
        <v>46006</v>
      </c>
      <c r="E6757" s="45">
        <v>172.2</v>
      </c>
    </row>
    <row r="6758" spans="2:5">
      <c r="B6758" s="43" t="s">
        <v>24</v>
      </c>
      <c r="C6758" s="43" t="s">
        <v>25</v>
      </c>
      <c r="D6758" s="44">
        <v>46006</v>
      </c>
      <c r="E6758" s="45">
        <v>1749</v>
      </c>
    </row>
    <row r="6759" spans="2:5">
      <c r="B6759" s="43" t="s">
        <v>26</v>
      </c>
      <c r="C6759" s="43" t="s">
        <v>27</v>
      </c>
      <c r="D6759" s="44">
        <v>46006</v>
      </c>
      <c r="E6759" s="45">
        <v>3887.5</v>
      </c>
    </row>
    <row r="6760" spans="2:5">
      <c r="B6760" s="43" t="s">
        <v>28</v>
      </c>
      <c r="C6760" s="43" t="s">
        <v>29</v>
      </c>
      <c r="D6760" s="44">
        <v>46006</v>
      </c>
      <c r="E6760" s="45">
        <v>107.4</v>
      </c>
    </row>
    <row r="6761" spans="2:5">
      <c r="B6761" s="43" t="s">
        <v>122</v>
      </c>
      <c r="C6761" s="43" t="s">
        <v>123</v>
      </c>
      <c r="D6761" s="44">
        <v>46006</v>
      </c>
      <c r="E6761" s="45">
        <v>513.4</v>
      </c>
    </row>
    <row r="6762" spans="2:5">
      <c r="B6762" s="43" t="s">
        <v>62</v>
      </c>
      <c r="C6762" s="43" t="s">
        <v>63</v>
      </c>
      <c r="D6762" s="44">
        <v>46006</v>
      </c>
      <c r="E6762" s="45">
        <v>922.5</v>
      </c>
    </row>
    <row r="6763" spans="2:5">
      <c r="B6763" s="43" t="s">
        <v>148</v>
      </c>
      <c r="C6763" s="43" t="s">
        <v>149</v>
      </c>
      <c r="D6763" s="44">
        <v>46006</v>
      </c>
      <c r="E6763" s="45">
        <v>1145</v>
      </c>
    </row>
    <row r="6764" spans="2:5">
      <c r="B6764" s="43" t="s">
        <v>92</v>
      </c>
      <c r="C6764" s="43" t="s">
        <v>93</v>
      </c>
      <c r="D6764" s="44">
        <v>46006</v>
      </c>
      <c r="E6764" s="45">
        <v>252.7</v>
      </c>
    </row>
    <row r="6765" spans="2:5">
      <c r="B6765" s="43" t="s">
        <v>106</v>
      </c>
      <c r="C6765" s="43" t="s">
        <v>107</v>
      </c>
      <c r="D6765" s="44">
        <v>46006</v>
      </c>
      <c r="E6765" s="45">
        <v>15.4</v>
      </c>
    </row>
    <row r="6766" spans="2:5">
      <c r="B6766" s="43" t="s">
        <v>96</v>
      </c>
      <c r="C6766" s="43" t="s">
        <v>97</v>
      </c>
      <c r="D6766" s="44">
        <v>46006</v>
      </c>
      <c r="E6766" s="45">
        <v>20</v>
      </c>
    </row>
    <row r="6767" spans="2:5">
      <c r="B6767" s="43" t="s">
        <v>32</v>
      </c>
      <c r="C6767" s="43" t="s">
        <v>33</v>
      </c>
      <c r="D6767" s="44">
        <v>46006</v>
      </c>
      <c r="E6767" s="45">
        <v>5</v>
      </c>
    </row>
    <row r="6768" spans="2:5">
      <c r="B6768" s="43" t="s">
        <v>160</v>
      </c>
      <c r="C6768" s="43" t="s">
        <v>161</v>
      </c>
      <c r="D6768" s="44">
        <v>46006</v>
      </c>
      <c r="E6768" s="45">
        <v>17</v>
      </c>
    </row>
    <row r="6769" spans="2:5">
      <c r="B6769" s="43" t="s">
        <v>34</v>
      </c>
      <c r="C6769" s="43" t="s">
        <v>35</v>
      </c>
      <c r="D6769" s="44">
        <v>46006</v>
      </c>
      <c r="E6769" s="45">
        <v>12</v>
      </c>
    </row>
    <row r="6770" spans="2:5">
      <c r="B6770" s="43" t="s">
        <v>38</v>
      </c>
      <c r="C6770" s="43" t="s">
        <v>39</v>
      </c>
      <c r="D6770" s="44">
        <v>46006</v>
      </c>
      <c r="E6770" s="45">
        <v>32</v>
      </c>
    </row>
    <row r="6771" spans="2:5">
      <c r="B6771" s="43" t="s">
        <v>4</v>
      </c>
      <c r="C6771" s="43" t="s">
        <v>5</v>
      </c>
      <c r="D6771" s="44">
        <v>46007</v>
      </c>
      <c r="E6771" s="45">
        <v>20.1</v>
      </c>
    </row>
    <row r="6772" spans="2:5">
      <c r="B6772" s="43" t="s">
        <v>156</v>
      </c>
      <c r="C6772" s="43" t="s">
        <v>157</v>
      </c>
      <c r="D6772" s="44">
        <v>46007</v>
      </c>
      <c r="E6772" s="45">
        <v>405.6</v>
      </c>
    </row>
    <row r="6773" spans="2:5">
      <c r="B6773" s="43" t="s">
        <v>8</v>
      </c>
      <c r="C6773" s="43" t="s">
        <v>9</v>
      </c>
      <c r="D6773" s="44">
        <v>46007</v>
      </c>
      <c r="E6773" s="45">
        <v>234.9</v>
      </c>
    </row>
    <row r="6774" spans="2:5">
      <c r="B6774" s="43" t="s">
        <v>46</v>
      </c>
      <c r="C6774" s="43" t="s">
        <v>47</v>
      </c>
      <c r="D6774" s="44">
        <v>46007</v>
      </c>
      <c r="E6774" s="45">
        <v>180.8</v>
      </c>
    </row>
    <row r="6775" spans="2:5">
      <c r="B6775" s="43" t="s">
        <v>10</v>
      </c>
      <c r="C6775" s="43" t="s">
        <v>11</v>
      </c>
      <c r="D6775" s="44">
        <v>46007</v>
      </c>
      <c r="E6775" s="45">
        <v>209.95</v>
      </c>
    </row>
    <row r="6776" spans="2:5">
      <c r="B6776" s="43" t="s">
        <v>206</v>
      </c>
      <c r="C6776" s="43" t="s">
        <v>207</v>
      </c>
      <c r="D6776" s="44">
        <v>46007</v>
      </c>
      <c r="E6776" s="45">
        <v>161.6</v>
      </c>
    </row>
    <row r="6777" spans="2:5">
      <c r="B6777" s="43" t="s">
        <v>12</v>
      </c>
      <c r="C6777" s="43" t="s">
        <v>13</v>
      </c>
      <c r="D6777" s="44">
        <v>46007</v>
      </c>
      <c r="E6777" s="45">
        <v>124.2</v>
      </c>
    </row>
    <row r="6778" spans="2:5">
      <c r="B6778" s="43" t="s">
        <v>48</v>
      </c>
      <c r="C6778" s="43" t="s">
        <v>49</v>
      </c>
      <c r="D6778" s="44">
        <v>46007</v>
      </c>
      <c r="E6778" s="45">
        <v>378</v>
      </c>
    </row>
    <row r="6779" spans="2:5">
      <c r="B6779" s="43" t="s">
        <v>14</v>
      </c>
      <c r="C6779" s="43" t="s">
        <v>15</v>
      </c>
      <c r="D6779" s="44">
        <v>46007</v>
      </c>
      <c r="E6779" s="45">
        <v>405</v>
      </c>
    </row>
    <row r="6780" spans="2:5">
      <c r="B6780" s="43" t="s">
        <v>114</v>
      </c>
      <c r="C6780" s="43" t="s">
        <v>115</v>
      </c>
      <c r="D6780" s="44">
        <v>46007</v>
      </c>
      <c r="E6780" s="45">
        <v>53.2</v>
      </c>
    </row>
    <row r="6781" spans="2:5">
      <c r="B6781" s="43" t="s">
        <v>56</v>
      </c>
      <c r="C6781" s="43" t="s">
        <v>57</v>
      </c>
      <c r="D6781" s="44">
        <v>46007</v>
      </c>
      <c r="E6781" s="45">
        <v>72.4</v>
      </c>
    </row>
    <row r="6782" spans="2:5">
      <c r="B6782" s="43" t="s">
        <v>152</v>
      </c>
      <c r="C6782" s="43" t="s">
        <v>153</v>
      </c>
      <c r="D6782" s="44">
        <v>46007</v>
      </c>
      <c r="E6782" s="45">
        <v>186</v>
      </c>
    </row>
    <row r="6783" spans="2:5">
      <c r="B6783" s="43" t="s">
        <v>146</v>
      </c>
      <c r="C6783" s="43" t="s">
        <v>147</v>
      </c>
      <c r="D6783" s="44">
        <v>46007</v>
      </c>
      <c r="E6783" s="45">
        <v>162.8</v>
      </c>
    </row>
    <row r="6784" spans="2:5">
      <c r="B6784" s="43" t="s">
        <v>20</v>
      </c>
      <c r="C6784" s="43" t="s">
        <v>21</v>
      </c>
      <c r="D6784" s="44">
        <v>46007</v>
      </c>
      <c r="E6784" s="45">
        <v>431.2</v>
      </c>
    </row>
    <row r="6785" spans="2:5">
      <c r="B6785" s="43" t="s">
        <v>22</v>
      </c>
      <c r="C6785" s="43" t="s">
        <v>23</v>
      </c>
      <c r="D6785" s="44">
        <v>46007</v>
      </c>
      <c r="E6785" s="45">
        <v>48</v>
      </c>
    </row>
    <row r="6786" spans="2:5">
      <c r="B6786" s="43" t="s">
        <v>24</v>
      </c>
      <c r="C6786" s="43" t="s">
        <v>25</v>
      </c>
      <c r="D6786" s="44">
        <v>46007</v>
      </c>
      <c r="E6786" s="45">
        <v>1383.3</v>
      </c>
    </row>
    <row r="6787" spans="2:5">
      <c r="B6787" s="43" t="s">
        <v>26</v>
      </c>
      <c r="C6787" s="43" t="s">
        <v>27</v>
      </c>
      <c r="D6787" s="44">
        <v>46007</v>
      </c>
      <c r="E6787" s="45">
        <v>2488</v>
      </c>
    </row>
    <row r="6788" spans="2:5">
      <c r="B6788" s="43" t="s">
        <v>60</v>
      </c>
      <c r="C6788" s="43" t="s">
        <v>61</v>
      </c>
      <c r="D6788" s="44">
        <v>46007</v>
      </c>
      <c r="E6788" s="45">
        <v>109.8</v>
      </c>
    </row>
    <row r="6789" spans="2:5">
      <c r="B6789" s="43" t="s">
        <v>28</v>
      </c>
      <c r="C6789" s="43" t="s">
        <v>29</v>
      </c>
      <c r="D6789" s="44">
        <v>46007</v>
      </c>
      <c r="E6789" s="45">
        <v>519.1</v>
      </c>
    </row>
    <row r="6790" spans="2:5">
      <c r="B6790" s="43" t="s">
        <v>62</v>
      </c>
      <c r="C6790" s="43" t="s">
        <v>63</v>
      </c>
      <c r="D6790" s="44">
        <v>46007</v>
      </c>
      <c r="E6790" s="45">
        <v>492</v>
      </c>
    </row>
    <row r="6791" spans="2:5">
      <c r="B6791" s="43" t="s">
        <v>228</v>
      </c>
      <c r="C6791" s="43" t="s">
        <v>229</v>
      </c>
      <c r="D6791" s="44">
        <v>46007</v>
      </c>
      <c r="E6791" s="45">
        <v>613.6</v>
      </c>
    </row>
    <row r="6792" spans="2:5">
      <c r="B6792" s="43" t="s">
        <v>208</v>
      </c>
      <c r="C6792" s="43" t="s">
        <v>209</v>
      </c>
      <c r="D6792" s="44">
        <v>46007</v>
      </c>
      <c r="E6792" s="45">
        <v>385</v>
      </c>
    </row>
    <row r="6793" spans="2:5">
      <c r="B6793" s="43" t="s">
        <v>96</v>
      </c>
      <c r="C6793" s="43" t="s">
        <v>97</v>
      </c>
      <c r="D6793" s="44">
        <v>46007</v>
      </c>
      <c r="E6793" s="45">
        <v>79</v>
      </c>
    </row>
    <row r="6794" spans="2:5">
      <c r="B6794" s="43" t="s">
        <v>32</v>
      </c>
      <c r="C6794" s="43" t="s">
        <v>33</v>
      </c>
      <c r="D6794" s="44">
        <v>46007</v>
      </c>
      <c r="E6794" s="45">
        <v>6</v>
      </c>
    </row>
    <row r="6795" spans="2:5">
      <c r="B6795" s="43" t="s">
        <v>160</v>
      </c>
      <c r="C6795" s="43" t="s">
        <v>161</v>
      </c>
      <c r="D6795" s="44">
        <v>46007</v>
      </c>
      <c r="E6795" s="45">
        <v>16</v>
      </c>
    </row>
    <row r="6796" spans="2:5">
      <c r="B6796" s="43" t="s">
        <v>34</v>
      </c>
      <c r="C6796" s="43" t="s">
        <v>35</v>
      </c>
      <c r="D6796" s="44">
        <v>46007</v>
      </c>
      <c r="E6796" s="45">
        <v>1</v>
      </c>
    </row>
    <row r="6797" spans="2:5">
      <c r="B6797" s="43" t="s">
        <v>8</v>
      </c>
      <c r="C6797" s="43" t="s">
        <v>9</v>
      </c>
      <c r="D6797" s="44">
        <v>46008</v>
      </c>
      <c r="E6797" s="45">
        <v>34.8</v>
      </c>
    </row>
    <row r="6798" spans="2:5">
      <c r="B6798" s="43" t="s">
        <v>44</v>
      </c>
      <c r="C6798" s="43" t="s">
        <v>45</v>
      </c>
      <c r="D6798" s="44">
        <v>46008</v>
      </c>
      <c r="E6798" s="45">
        <v>8.5</v>
      </c>
    </row>
    <row r="6799" spans="2:5">
      <c r="B6799" s="43" t="s">
        <v>46</v>
      </c>
      <c r="C6799" s="43" t="s">
        <v>47</v>
      </c>
      <c r="D6799" s="44">
        <v>46008</v>
      </c>
      <c r="E6799" s="45">
        <v>406.8</v>
      </c>
    </row>
    <row r="6800" spans="2:5">
      <c r="B6800" s="43" t="s">
        <v>10</v>
      </c>
      <c r="C6800" s="43" t="s">
        <v>11</v>
      </c>
      <c r="D6800" s="44">
        <v>46008</v>
      </c>
      <c r="E6800" s="45">
        <v>453.05</v>
      </c>
    </row>
    <row r="6801" spans="2:5">
      <c r="B6801" s="43" t="s">
        <v>74</v>
      </c>
      <c r="C6801" s="43" t="s">
        <v>75</v>
      </c>
      <c r="D6801" s="44">
        <v>46008</v>
      </c>
      <c r="E6801" s="45">
        <v>373.5</v>
      </c>
    </row>
    <row r="6802" spans="2:5">
      <c r="B6802" s="43" t="s">
        <v>12</v>
      </c>
      <c r="C6802" s="43" t="s">
        <v>13</v>
      </c>
      <c r="D6802" s="44">
        <v>46008</v>
      </c>
      <c r="E6802" s="45">
        <v>441.6</v>
      </c>
    </row>
    <row r="6803" spans="2:5">
      <c r="B6803" s="43" t="s">
        <v>14</v>
      </c>
      <c r="C6803" s="43" t="s">
        <v>15</v>
      </c>
      <c r="D6803" s="44">
        <v>46008</v>
      </c>
      <c r="E6803" s="45">
        <v>742.5</v>
      </c>
    </row>
    <row r="6804" spans="2:5">
      <c r="B6804" s="43" t="s">
        <v>50</v>
      </c>
      <c r="C6804" s="43" t="s">
        <v>51</v>
      </c>
      <c r="D6804" s="44">
        <v>46008</v>
      </c>
      <c r="E6804" s="45">
        <v>122.4</v>
      </c>
    </row>
    <row r="6805" spans="2:5">
      <c r="B6805" s="43" t="s">
        <v>114</v>
      </c>
      <c r="C6805" s="43" t="s">
        <v>115</v>
      </c>
      <c r="D6805" s="44">
        <v>46008</v>
      </c>
      <c r="E6805" s="45">
        <v>1330</v>
      </c>
    </row>
    <row r="6806" spans="2:5">
      <c r="B6806" s="43" t="s">
        <v>138</v>
      </c>
      <c r="C6806" s="43" t="s">
        <v>139</v>
      </c>
      <c r="D6806" s="44">
        <v>46008</v>
      </c>
      <c r="E6806" s="45">
        <v>15.85</v>
      </c>
    </row>
    <row r="6807" spans="2:5">
      <c r="B6807" s="43" t="s">
        <v>54</v>
      </c>
      <c r="C6807" s="43" t="s">
        <v>55</v>
      </c>
      <c r="D6807" s="44">
        <v>46008</v>
      </c>
      <c r="E6807" s="45">
        <v>505.4</v>
      </c>
    </row>
    <row r="6808" spans="2:5">
      <c r="B6808" s="43" t="s">
        <v>56</v>
      </c>
      <c r="C6808" s="43" t="s">
        <v>57</v>
      </c>
      <c r="D6808" s="44">
        <v>46008</v>
      </c>
      <c r="E6808" s="45">
        <v>108.6</v>
      </c>
    </row>
    <row r="6809" spans="2:5">
      <c r="B6809" s="43" t="s">
        <v>162</v>
      </c>
      <c r="C6809" s="43" t="s">
        <v>163</v>
      </c>
      <c r="D6809" s="44">
        <v>46008</v>
      </c>
      <c r="E6809" s="45">
        <v>202</v>
      </c>
    </row>
    <row r="6810" spans="2:5">
      <c r="B6810" s="43" t="s">
        <v>168</v>
      </c>
      <c r="C6810" s="43" t="s">
        <v>169</v>
      </c>
      <c r="D6810" s="44">
        <v>46008</v>
      </c>
      <c r="E6810" s="45">
        <v>40.2</v>
      </c>
    </row>
    <row r="6811" spans="2:5">
      <c r="B6811" s="43" t="s">
        <v>16</v>
      </c>
      <c r="C6811" s="43" t="s">
        <v>17</v>
      </c>
      <c r="D6811" s="44">
        <v>46008</v>
      </c>
      <c r="E6811" s="45">
        <v>45.6</v>
      </c>
    </row>
    <row r="6812" spans="2:5">
      <c r="B6812" s="43" t="s">
        <v>20</v>
      </c>
      <c r="C6812" s="43" t="s">
        <v>21</v>
      </c>
      <c r="D6812" s="44">
        <v>46008</v>
      </c>
      <c r="E6812" s="45">
        <v>166.6</v>
      </c>
    </row>
    <row r="6813" spans="2:5">
      <c r="B6813" s="43" t="s">
        <v>120</v>
      </c>
      <c r="C6813" s="43" t="s">
        <v>121</v>
      </c>
      <c r="D6813" s="44">
        <v>46008</v>
      </c>
      <c r="E6813" s="45">
        <v>7.6</v>
      </c>
    </row>
    <row r="6814" spans="2:5">
      <c r="B6814" s="43" t="s">
        <v>24</v>
      </c>
      <c r="C6814" s="43" t="s">
        <v>25</v>
      </c>
      <c r="D6814" s="44">
        <v>46008</v>
      </c>
      <c r="E6814" s="45">
        <v>2448.6</v>
      </c>
    </row>
    <row r="6815" spans="2:5">
      <c r="B6815" s="43" t="s">
        <v>26</v>
      </c>
      <c r="C6815" s="43" t="s">
        <v>27</v>
      </c>
      <c r="D6815" s="44">
        <v>46008</v>
      </c>
      <c r="E6815" s="45">
        <v>1819.35</v>
      </c>
    </row>
    <row r="6816" spans="2:5">
      <c r="B6816" s="43" t="s">
        <v>60</v>
      </c>
      <c r="C6816" s="43" t="s">
        <v>61</v>
      </c>
      <c r="D6816" s="44">
        <v>46008</v>
      </c>
      <c r="E6816" s="45">
        <v>256.2</v>
      </c>
    </row>
    <row r="6817" spans="2:5">
      <c r="B6817" s="43" t="s">
        <v>28</v>
      </c>
      <c r="C6817" s="43" t="s">
        <v>29</v>
      </c>
      <c r="D6817" s="44">
        <v>46008</v>
      </c>
      <c r="E6817" s="45">
        <v>89.5</v>
      </c>
    </row>
    <row r="6818" spans="2:5">
      <c r="B6818" s="43" t="s">
        <v>62</v>
      </c>
      <c r="C6818" s="43" t="s">
        <v>63</v>
      </c>
      <c r="D6818" s="44">
        <v>46008</v>
      </c>
      <c r="E6818" s="45">
        <v>164</v>
      </c>
    </row>
    <row r="6819" spans="2:5">
      <c r="B6819" s="43" t="s">
        <v>228</v>
      </c>
      <c r="C6819" s="43" t="s">
        <v>229</v>
      </c>
      <c r="D6819" s="44">
        <v>46008</v>
      </c>
      <c r="E6819" s="45">
        <v>1038.4</v>
      </c>
    </row>
    <row r="6820" spans="2:5">
      <c r="B6820" s="43" t="s">
        <v>84</v>
      </c>
      <c r="C6820" s="43" t="s">
        <v>85</v>
      </c>
      <c r="D6820" s="44">
        <v>46008</v>
      </c>
      <c r="E6820" s="45">
        <v>499</v>
      </c>
    </row>
    <row r="6821" spans="2:5">
      <c r="B6821" s="43" t="s">
        <v>106</v>
      </c>
      <c r="C6821" s="43" t="s">
        <v>107</v>
      </c>
      <c r="D6821" s="44">
        <v>46008</v>
      </c>
      <c r="E6821" s="45">
        <v>23.1</v>
      </c>
    </row>
    <row r="6822" spans="2:5">
      <c r="B6822" s="43" t="s">
        <v>142</v>
      </c>
      <c r="C6822" s="43" t="s">
        <v>143</v>
      </c>
      <c r="D6822" s="44">
        <v>46008</v>
      </c>
      <c r="E6822" s="45">
        <v>7</v>
      </c>
    </row>
    <row r="6823" spans="2:5">
      <c r="B6823" s="43" t="s">
        <v>196</v>
      </c>
      <c r="C6823" s="43" t="s">
        <v>197</v>
      </c>
      <c r="D6823" s="44">
        <v>46008</v>
      </c>
      <c r="E6823" s="45">
        <v>4</v>
      </c>
    </row>
    <row r="6824" spans="2:5">
      <c r="B6824" s="43" t="s">
        <v>96</v>
      </c>
      <c r="C6824" s="43" t="s">
        <v>97</v>
      </c>
      <c r="D6824" s="44">
        <v>46008</v>
      </c>
      <c r="E6824" s="45">
        <v>46</v>
      </c>
    </row>
    <row r="6825" spans="2:5">
      <c r="B6825" s="43" t="s">
        <v>32</v>
      </c>
      <c r="C6825" s="43" t="s">
        <v>33</v>
      </c>
      <c r="D6825" s="44">
        <v>46008</v>
      </c>
      <c r="E6825" s="45">
        <v>9</v>
      </c>
    </row>
    <row r="6826" spans="2:5">
      <c r="B6826" s="43" t="s">
        <v>160</v>
      </c>
      <c r="C6826" s="43" t="s">
        <v>161</v>
      </c>
      <c r="D6826" s="44">
        <v>46008</v>
      </c>
      <c r="E6826" s="45">
        <v>2</v>
      </c>
    </row>
    <row r="6827" spans="2:5">
      <c r="B6827" s="43" t="s">
        <v>36</v>
      </c>
      <c r="C6827" s="43" t="s">
        <v>37</v>
      </c>
      <c r="D6827" s="44">
        <v>46008</v>
      </c>
      <c r="E6827" s="45">
        <v>3</v>
      </c>
    </row>
    <row r="6828" spans="2:5">
      <c r="B6828" s="43" t="s">
        <v>38</v>
      </c>
      <c r="C6828" s="43" t="s">
        <v>39</v>
      </c>
      <c r="D6828" s="44">
        <v>46008</v>
      </c>
      <c r="E6828" s="45">
        <v>30</v>
      </c>
    </row>
    <row r="6829" spans="2:5">
      <c r="B6829" s="43" t="s">
        <v>4</v>
      </c>
      <c r="C6829" s="43" t="s">
        <v>5</v>
      </c>
      <c r="D6829" s="44">
        <v>46009</v>
      </c>
      <c r="E6829" s="45">
        <v>174.2</v>
      </c>
    </row>
    <row r="6830" spans="2:5">
      <c r="B6830" s="43" t="s">
        <v>156</v>
      </c>
      <c r="C6830" s="43" t="s">
        <v>157</v>
      </c>
      <c r="D6830" s="44">
        <v>46009</v>
      </c>
      <c r="E6830" s="45">
        <v>39</v>
      </c>
    </row>
    <row r="6831" spans="2:5">
      <c r="B6831" s="43" t="s">
        <v>8</v>
      </c>
      <c r="C6831" s="43" t="s">
        <v>9</v>
      </c>
      <c r="D6831" s="44">
        <v>46009</v>
      </c>
      <c r="E6831" s="45">
        <v>182.7</v>
      </c>
    </row>
    <row r="6832" spans="2:5">
      <c r="B6832" s="43" t="s">
        <v>46</v>
      </c>
      <c r="C6832" s="43" t="s">
        <v>47</v>
      </c>
      <c r="D6832" s="44">
        <v>46009</v>
      </c>
      <c r="E6832" s="45">
        <v>1412.5</v>
      </c>
    </row>
    <row r="6833" spans="2:5">
      <c r="B6833" s="43" t="s">
        <v>10</v>
      </c>
      <c r="C6833" s="43" t="s">
        <v>11</v>
      </c>
      <c r="D6833" s="44">
        <v>46009</v>
      </c>
      <c r="E6833" s="45">
        <v>221</v>
      </c>
    </row>
    <row r="6834" spans="2:5">
      <c r="B6834" s="43" t="s">
        <v>12</v>
      </c>
      <c r="C6834" s="43" t="s">
        <v>13</v>
      </c>
      <c r="D6834" s="44">
        <v>46009</v>
      </c>
      <c r="E6834" s="45">
        <v>1563.15</v>
      </c>
    </row>
    <row r="6835" spans="2:5">
      <c r="B6835" s="43" t="s">
        <v>48</v>
      </c>
      <c r="C6835" s="43" t="s">
        <v>49</v>
      </c>
      <c r="D6835" s="44">
        <v>46009</v>
      </c>
      <c r="E6835" s="45">
        <v>63</v>
      </c>
    </row>
    <row r="6836" spans="2:5">
      <c r="B6836" s="43" t="s">
        <v>14</v>
      </c>
      <c r="C6836" s="43" t="s">
        <v>15</v>
      </c>
      <c r="D6836" s="44">
        <v>46009</v>
      </c>
      <c r="E6836" s="45">
        <v>270</v>
      </c>
    </row>
    <row r="6837" spans="2:5">
      <c r="B6837" s="43" t="s">
        <v>50</v>
      </c>
      <c r="C6837" s="43" t="s">
        <v>51</v>
      </c>
      <c r="D6837" s="44">
        <v>46009</v>
      </c>
      <c r="E6837" s="45">
        <v>163.2</v>
      </c>
    </row>
    <row r="6838" spans="2:5">
      <c r="B6838" s="43" t="s">
        <v>114</v>
      </c>
      <c r="C6838" s="43" t="s">
        <v>115</v>
      </c>
      <c r="D6838" s="44">
        <v>46009</v>
      </c>
      <c r="E6838" s="45">
        <v>279.3</v>
      </c>
    </row>
    <row r="6839" spans="2:5">
      <c r="B6839" s="43" t="s">
        <v>144</v>
      </c>
      <c r="C6839" s="43" t="s">
        <v>145</v>
      </c>
      <c r="D6839" s="44">
        <v>46009</v>
      </c>
      <c r="E6839" s="45">
        <v>129.6</v>
      </c>
    </row>
    <row r="6840" spans="2:5">
      <c r="B6840" s="43" t="s">
        <v>126</v>
      </c>
      <c r="C6840" s="43" t="s">
        <v>127</v>
      </c>
      <c r="D6840" s="44">
        <v>46009</v>
      </c>
      <c r="E6840" s="45">
        <v>47.2</v>
      </c>
    </row>
    <row r="6841" spans="2:5">
      <c r="B6841" s="43" t="s">
        <v>176</v>
      </c>
      <c r="C6841" s="43" t="s">
        <v>177</v>
      </c>
      <c r="D6841" s="44">
        <v>46009</v>
      </c>
      <c r="E6841" s="45">
        <v>81</v>
      </c>
    </row>
    <row r="6842" spans="2:5">
      <c r="B6842" s="43" t="s">
        <v>16</v>
      </c>
      <c r="C6842" s="43" t="s">
        <v>17</v>
      </c>
      <c r="D6842" s="44">
        <v>46009</v>
      </c>
      <c r="E6842" s="45">
        <v>45.6</v>
      </c>
    </row>
    <row r="6843" spans="2:5">
      <c r="B6843" s="43" t="s">
        <v>20</v>
      </c>
      <c r="C6843" s="43" t="s">
        <v>21</v>
      </c>
      <c r="D6843" s="44">
        <v>46009</v>
      </c>
      <c r="E6843" s="45">
        <v>1303.4</v>
      </c>
    </row>
    <row r="6844" spans="2:5">
      <c r="B6844" s="43" t="s">
        <v>80</v>
      </c>
      <c r="C6844" s="43" t="s">
        <v>81</v>
      </c>
      <c r="D6844" s="44">
        <v>46009</v>
      </c>
      <c r="E6844" s="45">
        <v>731.85</v>
      </c>
    </row>
    <row r="6845" spans="2:5">
      <c r="B6845" s="43" t="s">
        <v>24</v>
      </c>
      <c r="C6845" s="43" t="s">
        <v>25</v>
      </c>
      <c r="D6845" s="44">
        <v>46009</v>
      </c>
      <c r="E6845" s="45">
        <v>6232.8</v>
      </c>
    </row>
    <row r="6846" spans="2:5">
      <c r="B6846" s="43" t="s">
        <v>26</v>
      </c>
      <c r="C6846" s="43" t="s">
        <v>27</v>
      </c>
      <c r="D6846" s="44">
        <v>46009</v>
      </c>
      <c r="E6846" s="45">
        <v>793.05</v>
      </c>
    </row>
    <row r="6847" spans="2:5">
      <c r="B6847" s="43" t="s">
        <v>110</v>
      </c>
      <c r="C6847" s="43" t="s">
        <v>111</v>
      </c>
      <c r="D6847" s="44">
        <v>46009</v>
      </c>
      <c r="E6847" s="45">
        <v>49.5</v>
      </c>
    </row>
    <row r="6848" spans="2:5">
      <c r="B6848" s="43" t="s">
        <v>28</v>
      </c>
      <c r="C6848" s="43" t="s">
        <v>29</v>
      </c>
      <c r="D6848" s="44">
        <v>46009</v>
      </c>
      <c r="E6848" s="45">
        <v>71.6</v>
      </c>
    </row>
    <row r="6849" spans="2:5">
      <c r="B6849" s="43" t="s">
        <v>82</v>
      </c>
      <c r="C6849" s="43" t="s">
        <v>83</v>
      </c>
      <c r="D6849" s="44">
        <v>46009</v>
      </c>
      <c r="E6849" s="45">
        <v>221.4</v>
      </c>
    </row>
    <row r="6850" spans="2:5">
      <c r="B6850" s="43" t="s">
        <v>62</v>
      </c>
      <c r="C6850" s="43" t="s">
        <v>63</v>
      </c>
      <c r="D6850" s="44">
        <v>46009</v>
      </c>
      <c r="E6850" s="45">
        <v>369</v>
      </c>
    </row>
    <row r="6851" spans="2:5">
      <c r="B6851" s="43" t="s">
        <v>228</v>
      </c>
      <c r="C6851" s="43" t="s">
        <v>229</v>
      </c>
      <c r="D6851" s="44">
        <v>46009</v>
      </c>
      <c r="E6851" s="45">
        <v>236</v>
      </c>
    </row>
    <row r="6852" spans="2:5">
      <c r="B6852" s="43" t="s">
        <v>172</v>
      </c>
      <c r="C6852" s="43" t="s">
        <v>173</v>
      </c>
      <c r="D6852" s="44">
        <v>46009</v>
      </c>
      <c r="E6852" s="45">
        <v>270.6</v>
      </c>
    </row>
    <row r="6853" spans="2:5">
      <c r="B6853" s="43" t="s">
        <v>96</v>
      </c>
      <c r="C6853" s="43" t="s">
        <v>97</v>
      </c>
      <c r="D6853" s="44">
        <v>46009</v>
      </c>
      <c r="E6853" s="45">
        <v>12</v>
      </c>
    </row>
    <row r="6854" spans="2:5">
      <c r="B6854" s="43" t="s">
        <v>32</v>
      </c>
      <c r="C6854" s="43" t="s">
        <v>33</v>
      </c>
      <c r="D6854" s="44">
        <v>46009</v>
      </c>
      <c r="E6854" s="45">
        <v>3</v>
      </c>
    </row>
    <row r="6855" spans="2:5">
      <c r="B6855" s="43" t="s">
        <v>98</v>
      </c>
      <c r="C6855" s="43" t="s">
        <v>99</v>
      </c>
      <c r="D6855" s="44">
        <v>46009</v>
      </c>
      <c r="E6855" s="45">
        <v>1</v>
      </c>
    </row>
    <row r="6856" spans="2:5">
      <c r="B6856" s="43" t="s">
        <v>160</v>
      </c>
      <c r="C6856" s="43" t="s">
        <v>161</v>
      </c>
      <c r="D6856" s="44">
        <v>46009</v>
      </c>
      <c r="E6856" s="45">
        <v>8</v>
      </c>
    </row>
    <row r="6857" spans="2:5">
      <c r="B6857" s="43" t="s">
        <v>34</v>
      </c>
      <c r="C6857" s="43" t="s">
        <v>35</v>
      </c>
      <c r="D6857" s="44">
        <v>46009</v>
      </c>
      <c r="E6857" s="45">
        <v>1</v>
      </c>
    </row>
    <row r="6858" spans="2:5">
      <c r="B6858" s="43" t="s">
        <v>36</v>
      </c>
      <c r="C6858" s="43" t="s">
        <v>37</v>
      </c>
      <c r="D6858" s="44">
        <v>46009</v>
      </c>
      <c r="E6858" s="45">
        <v>6</v>
      </c>
    </row>
    <row r="6859" spans="2:5">
      <c r="B6859" s="43" t="s">
        <v>156</v>
      </c>
      <c r="C6859" s="43" t="s">
        <v>157</v>
      </c>
      <c r="D6859" s="44">
        <v>46010</v>
      </c>
      <c r="E6859" s="45">
        <v>15.6</v>
      </c>
    </row>
    <row r="6860" spans="2:5">
      <c r="B6860" s="43" t="s">
        <v>44</v>
      </c>
      <c r="C6860" s="43" t="s">
        <v>45</v>
      </c>
      <c r="D6860" s="44">
        <v>46010</v>
      </c>
      <c r="E6860" s="45">
        <v>8.5</v>
      </c>
    </row>
    <row r="6861" spans="2:5">
      <c r="B6861" s="43" t="s">
        <v>206</v>
      </c>
      <c r="C6861" s="43" t="s">
        <v>207</v>
      </c>
      <c r="D6861" s="44">
        <v>46010</v>
      </c>
      <c r="E6861" s="45">
        <v>60.6</v>
      </c>
    </row>
    <row r="6862" spans="2:5">
      <c r="B6862" s="43" t="s">
        <v>12</v>
      </c>
      <c r="C6862" s="43" t="s">
        <v>13</v>
      </c>
      <c r="D6862" s="44">
        <v>46010</v>
      </c>
      <c r="E6862" s="45">
        <v>469.2</v>
      </c>
    </row>
    <row r="6863" spans="2:5">
      <c r="B6863" s="43" t="s">
        <v>134</v>
      </c>
      <c r="C6863" s="43" t="s">
        <v>135</v>
      </c>
      <c r="D6863" s="44">
        <v>46010</v>
      </c>
      <c r="E6863" s="45">
        <v>12.25</v>
      </c>
    </row>
    <row r="6864" spans="2:5">
      <c r="B6864" s="43" t="s">
        <v>50</v>
      </c>
      <c r="C6864" s="43" t="s">
        <v>51</v>
      </c>
      <c r="D6864" s="44">
        <v>46010</v>
      </c>
      <c r="E6864" s="45">
        <v>312.8</v>
      </c>
    </row>
    <row r="6865" spans="2:5">
      <c r="B6865" s="43" t="s">
        <v>56</v>
      </c>
      <c r="C6865" s="43" t="s">
        <v>57</v>
      </c>
      <c r="D6865" s="44">
        <v>46010</v>
      </c>
      <c r="E6865" s="45">
        <v>398.2</v>
      </c>
    </row>
    <row r="6866" spans="2:5">
      <c r="B6866" s="43" t="s">
        <v>24</v>
      </c>
      <c r="C6866" s="43" t="s">
        <v>25</v>
      </c>
      <c r="D6866" s="44">
        <v>46010</v>
      </c>
      <c r="E6866" s="45">
        <v>1335.6</v>
      </c>
    </row>
    <row r="6867" spans="2:5">
      <c r="B6867" s="43" t="s">
        <v>26</v>
      </c>
      <c r="C6867" s="43" t="s">
        <v>27</v>
      </c>
      <c r="D6867" s="44">
        <v>46010</v>
      </c>
      <c r="E6867" s="45">
        <v>1135.15</v>
      </c>
    </row>
    <row r="6868" spans="2:5">
      <c r="B6868" s="43" t="s">
        <v>62</v>
      </c>
      <c r="C6868" s="43" t="s">
        <v>63</v>
      </c>
      <c r="D6868" s="44">
        <v>46010</v>
      </c>
      <c r="E6868" s="45">
        <v>205</v>
      </c>
    </row>
    <row r="6869" spans="2:5">
      <c r="B6869" s="43" t="s">
        <v>228</v>
      </c>
      <c r="C6869" s="43" t="s">
        <v>229</v>
      </c>
      <c r="D6869" s="44">
        <v>46010</v>
      </c>
      <c r="E6869" s="45">
        <v>401.2</v>
      </c>
    </row>
    <row r="6870" spans="2:5">
      <c r="B6870" s="43" t="s">
        <v>198</v>
      </c>
      <c r="C6870" s="43" t="s">
        <v>199</v>
      </c>
      <c r="D6870" s="44">
        <v>46010</v>
      </c>
      <c r="E6870" s="45">
        <v>831.6</v>
      </c>
    </row>
    <row r="6871" spans="2:5">
      <c r="B6871" s="43" t="s">
        <v>196</v>
      </c>
      <c r="C6871" s="43" t="s">
        <v>197</v>
      </c>
      <c r="D6871" s="44">
        <v>46010</v>
      </c>
      <c r="E6871" s="45">
        <v>1</v>
      </c>
    </row>
    <row r="6872" spans="2:5">
      <c r="B6872" s="43" t="s">
        <v>32</v>
      </c>
      <c r="C6872" s="43" t="s">
        <v>33</v>
      </c>
      <c r="D6872" s="44">
        <v>46010</v>
      </c>
      <c r="E6872" s="45">
        <v>7</v>
      </c>
    </row>
    <row r="6873" spans="2:5">
      <c r="B6873" s="43" t="s">
        <v>34</v>
      </c>
      <c r="C6873" s="43" t="s">
        <v>35</v>
      </c>
      <c r="D6873" s="44">
        <v>46010</v>
      </c>
      <c r="E6873" s="45">
        <v>1</v>
      </c>
    </row>
    <row r="6874" spans="2:5">
      <c r="B6874" s="43" t="s">
        <v>38</v>
      </c>
      <c r="C6874" s="43" t="s">
        <v>39</v>
      </c>
      <c r="D6874" s="44">
        <v>46010</v>
      </c>
      <c r="E6874" s="45">
        <v>40</v>
      </c>
    </row>
    <row r="6875" spans="2:5">
      <c r="B6875" s="43" t="s">
        <v>4</v>
      </c>
      <c r="C6875" s="43" t="s">
        <v>5</v>
      </c>
      <c r="D6875" s="44">
        <v>46013</v>
      </c>
      <c r="E6875" s="45">
        <v>134</v>
      </c>
    </row>
    <row r="6876" spans="2:5">
      <c r="B6876" s="43" t="s">
        <v>156</v>
      </c>
      <c r="C6876" s="43" t="s">
        <v>157</v>
      </c>
      <c r="D6876" s="44">
        <v>46013</v>
      </c>
      <c r="E6876" s="45">
        <v>23.4</v>
      </c>
    </row>
    <row r="6877" spans="2:5">
      <c r="B6877" s="43" t="s">
        <v>8</v>
      </c>
      <c r="C6877" s="43" t="s">
        <v>9</v>
      </c>
      <c r="D6877" s="44">
        <v>46013</v>
      </c>
      <c r="E6877" s="45">
        <v>417.6</v>
      </c>
    </row>
    <row r="6878" spans="2:5">
      <c r="B6878" s="43" t="s">
        <v>46</v>
      </c>
      <c r="C6878" s="43" t="s">
        <v>47</v>
      </c>
      <c r="D6878" s="44">
        <v>46013</v>
      </c>
      <c r="E6878" s="45">
        <v>497.2</v>
      </c>
    </row>
    <row r="6879" spans="2:5">
      <c r="B6879" s="43" t="s">
        <v>10</v>
      </c>
      <c r="C6879" s="43" t="s">
        <v>11</v>
      </c>
      <c r="D6879" s="44">
        <v>46013</v>
      </c>
      <c r="E6879" s="45">
        <v>475.15</v>
      </c>
    </row>
    <row r="6880" spans="2:5">
      <c r="B6880" s="43" t="s">
        <v>206</v>
      </c>
      <c r="C6880" s="43" t="s">
        <v>207</v>
      </c>
      <c r="D6880" s="44">
        <v>46013</v>
      </c>
      <c r="E6880" s="45">
        <v>20.2</v>
      </c>
    </row>
    <row r="6881" spans="2:5">
      <c r="B6881" s="43" t="s">
        <v>12</v>
      </c>
      <c r="C6881" s="43" t="s">
        <v>13</v>
      </c>
      <c r="D6881" s="44">
        <v>46013</v>
      </c>
      <c r="E6881" s="45">
        <v>82.8</v>
      </c>
    </row>
    <row r="6882" spans="2:5">
      <c r="B6882" s="43" t="s">
        <v>14</v>
      </c>
      <c r="C6882" s="43" t="s">
        <v>15</v>
      </c>
      <c r="D6882" s="44">
        <v>46013</v>
      </c>
      <c r="E6882" s="45">
        <v>742.5</v>
      </c>
    </row>
    <row r="6883" spans="2:5">
      <c r="B6883" s="43" t="s">
        <v>50</v>
      </c>
      <c r="C6883" s="43" t="s">
        <v>51</v>
      </c>
      <c r="D6883" s="44">
        <v>46013</v>
      </c>
      <c r="E6883" s="45">
        <v>1740.8</v>
      </c>
    </row>
    <row r="6884" spans="2:5">
      <c r="B6884" s="43" t="s">
        <v>114</v>
      </c>
      <c r="C6884" s="43" t="s">
        <v>115</v>
      </c>
      <c r="D6884" s="44">
        <v>46013</v>
      </c>
      <c r="E6884" s="45">
        <v>133</v>
      </c>
    </row>
    <row r="6885" spans="2:5">
      <c r="B6885" s="43" t="s">
        <v>56</v>
      </c>
      <c r="C6885" s="43" t="s">
        <v>57</v>
      </c>
      <c r="D6885" s="44">
        <v>46013</v>
      </c>
      <c r="E6885" s="45">
        <v>2153.9</v>
      </c>
    </row>
    <row r="6886" spans="2:5">
      <c r="B6886" s="43" t="s">
        <v>176</v>
      </c>
      <c r="C6886" s="43" t="s">
        <v>177</v>
      </c>
      <c r="D6886" s="44">
        <v>46013</v>
      </c>
      <c r="E6886" s="45">
        <v>162</v>
      </c>
    </row>
    <row r="6887" spans="2:5">
      <c r="B6887" s="43" t="s">
        <v>20</v>
      </c>
      <c r="C6887" s="43" t="s">
        <v>21</v>
      </c>
      <c r="D6887" s="44">
        <v>46013</v>
      </c>
      <c r="E6887" s="45">
        <v>254.8</v>
      </c>
    </row>
    <row r="6888" spans="2:5">
      <c r="B6888" s="43" t="s">
        <v>22</v>
      </c>
      <c r="C6888" s="43" t="s">
        <v>23</v>
      </c>
      <c r="D6888" s="44">
        <v>46013</v>
      </c>
      <c r="E6888" s="45">
        <v>57.6</v>
      </c>
    </row>
    <row r="6889" spans="2:5">
      <c r="B6889" s="43" t="s">
        <v>80</v>
      </c>
      <c r="C6889" s="43" t="s">
        <v>81</v>
      </c>
      <c r="D6889" s="44">
        <v>46013</v>
      </c>
      <c r="E6889" s="45">
        <v>215.25</v>
      </c>
    </row>
    <row r="6890" spans="2:5">
      <c r="B6890" s="43" t="s">
        <v>24</v>
      </c>
      <c r="C6890" s="43" t="s">
        <v>25</v>
      </c>
      <c r="D6890" s="44">
        <v>46013</v>
      </c>
      <c r="E6890" s="45">
        <v>2798.4</v>
      </c>
    </row>
    <row r="6891" spans="2:5">
      <c r="B6891" s="43" t="s">
        <v>26</v>
      </c>
      <c r="C6891" s="43" t="s">
        <v>27</v>
      </c>
      <c r="D6891" s="44">
        <v>46013</v>
      </c>
      <c r="E6891" s="45">
        <v>2761.2</v>
      </c>
    </row>
    <row r="6892" spans="2:5">
      <c r="B6892" s="43" t="s">
        <v>28</v>
      </c>
      <c r="C6892" s="43" t="s">
        <v>29</v>
      </c>
      <c r="D6892" s="44">
        <v>46013</v>
      </c>
      <c r="E6892" s="45">
        <v>35.8</v>
      </c>
    </row>
    <row r="6893" spans="2:5">
      <c r="B6893" s="43" t="s">
        <v>62</v>
      </c>
      <c r="C6893" s="43" t="s">
        <v>63</v>
      </c>
      <c r="D6893" s="44">
        <v>46013</v>
      </c>
      <c r="E6893" s="45">
        <v>1414.5</v>
      </c>
    </row>
    <row r="6894" spans="2:5">
      <c r="B6894" s="43" t="s">
        <v>228</v>
      </c>
      <c r="C6894" s="43" t="s">
        <v>229</v>
      </c>
      <c r="D6894" s="44">
        <v>46013</v>
      </c>
      <c r="E6894" s="45">
        <v>188.8</v>
      </c>
    </row>
    <row r="6895" spans="2:5">
      <c r="B6895" s="43" t="s">
        <v>106</v>
      </c>
      <c r="C6895" s="43" t="s">
        <v>107</v>
      </c>
      <c r="D6895" s="44">
        <v>46013</v>
      </c>
      <c r="E6895" s="45">
        <v>7.7</v>
      </c>
    </row>
    <row r="6896" spans="2:5">
      <c r="B6896" s="43" t="s">
        <v>96</v>
      </c>
      <c r="C6896" s="43" t="s">
        <v>97</v>
      </c>
      <c r="D6896" s="44">
        <v>46013</v>
      </c>
      <c r="E6896" s="45">
        <v>57</v>
      </c>
    </row>
    <row r="6897" spans="2:5">
      <c r="B6897" s="43" t="s">
        <v>32</v>
      </c>
      <c r="C6897" s="43" t="s">
        <v>33</v>
      </c>
      <c r="D6897" s="44">
        <v>46013</v>
      </c>
      <c r="E6897" s="45">
        <v>17</v>
      </c>
    </row>
    <row r="6898" spans="2:5">
      <c r="B6898" s="43" t="s">
        <v>34</v>
      </c>
      <c r="C6898" s="43" t="s">
        <v>35</v>
      </c>
      <c r="D6898" s="44">
        <v>46013</v>
      </c>
      <c r="E6898" s="45">
        <v>41</v>
      </c>
    </row>
    <row r="6899" spans="2:5">
      <c r="B6899" s="43" t="s">
        <v>38</v>
      </c>
      <c r="C6899" s="43" t="s">
        <v>39</v>
      </c>
      <c r="D6899" s="44">
        <v>46013</v>
      </c>
      <c r="E6899" s="45">
        <v>15</v>
      </c>
    </row>
    <row r="6900" spans="2:5">
      <c r="B6900" s="43" t="s">
        <v>4</v>
      </c>
      <c r="C6900" s="43" t="s">
        <v>5</v>
      </c>
      <c r="D6900" s="44">
        <v>46014</v>
      </c>
      <c r="E6900" s="45">
        <v>6.7</v>
      </c>
    </row>
    <row r="6901" spans="2:5">
      <c r="B6901" s="43" t="s">
        <v>8</v>
      </c>
      <c r="C6901" s="43" t="s">
        <v>9</v>
      </c>
      <c r="D6901" s="44">
        <v>46014</v>
      </c>
      <c r="E6901" s="45">
        <v>17.4</v>
      </c>
    </row>
    <row r="6902" spans="2:5">
      <c r="B6902" s="43" t="s">
        <v>44</v>
      </c>
      <c r="C6902" s="43" t="s">
        <v>45</v>
      </c>
      <c r="D6902" s="44">
        <v>46014</v>
      </c>
      <c r="E6902" s="45">
        <v>289</v>
      </c>
    </row>
    <row r="6903" spans="2:5">
      <c r="B6903" s="43" t="s">
        <v>46</v>
      </c>
      <c r="C6903" s="43" t="s">
        <v>47</v>
      </c>
      <c r="D6903" s="44">
        <v>46014</v>
      </c>
      <c r="E6903" s="45">
        <v>56.5</v>
      </c>
    </row>
    <row r="6904" spans="2:5">
      <c r="B6904" s="43" t="s">
        <v>12</v>
      </c>
      <c r="C6904" s="43" t="s">
        <v>13</v>
      </c>
      <c r="D6904" s="44">
        <v>46014</v>
      </c>
      <c r="E6904" s="45">
        <v>82.8</v>
      </c>
    </row>
    <row r="6905" spans="2:5">
      <c r="B6905" s="43" t="s">
        <v>108</v>
      </c>
      <c r="C6905" s="43" t="s">
        <v>109</v>
      </c>
      <c r="D6905" s="44">
        <v>46014</v>
      </c>
      <c r="E6905" s="45">
        <v>775</v>
      </c>
    </row>
    <row r="6906" spans="2:5">
      <c r="B6906" s="43" t="s">
        <v>48</v>
      </c>
      <c r="C6906" s="43" t="s">
        <v>49</v>
      </c>
      <c r="D6906" s="44">
        <v>46014</v>
      </c>
      <c r="E6906" s="45">
        <v>63</v>
      </c>
    </row>
    <row r="6907" spans="2:5">
      <c r="B6907" s="43" t="s">
        <v>14</v>
      </c>
      <c r="C6907" s="43" t="s">
        <v>15</v>
      </c>
      <c r="D6907" s="44">
        <v>46014</v>
      </c>
      <c r="E6907" s="45">
        <v>270</v>
      </c>
    </row>
    <row r="6908" spans="2:5">
      <c r="B6908" s="43" t="s">
        <v>162</v>
      </c>
      <c r="C6908" s="43" t="s">
        <v>163</v>
      </c>
      <c r="D6908" s="44">
        <v>46014</v>
      </c>
      <c r="E6908" s="45">
        <v>1010</v>
      </c>
    </row>
    <row r="6909" spans="2:5">
      <c r="B6909" s="43" t="s">
        <v>176</v>
      </c>
      <c r="C6909" s="43" t="s">
        <v>177</v>
      </c>
      <c r="D6909" s="44">
        <v>46014</v>
      </c>
      <c r="E6909" s="45">
        <v>1620</v>
      </c>
    </row>
    <row r="6910" spans="2:5">
      <c r="B6910" s="43" t="s">
        <v>18</v>
      </c>
      <c r="C6910" s="43" t="s">
        <v>19</v>
      </c>
      <c r="D6910" s="44">
        <v>46014</v>
      </c>
      <c r="E6910" s="45">
        <v>44.5</v>
      </c>
    </row>
    <row r="6911" spans="2:5">
      <c r="B6911" s="43" t="s">
        <v>78</v>
      </c>
      <c r="C6911" s="43" t="s">
        <v>79</v>
      </c>
      <c r="D6911" s="44">
        <v>46014</v>
      </c>
      <c r="E6911" s="45">
        <v>309.75</v>
      </c>
    </row>
    <row r="6912" spans="2:5">
      <c r="B6912" s="43" t="s">
        <v>20</v>
      </c>
      <c r="C6912" s="43" t="s">
        <v>21</v>
      </c>
      <c r="D6912" s="44">
        <v>46014</v>
      </c>
      <c r="E6912" s="45">
        <v>323.4</v>
      </c>
    </row>
    <row r="6913" spans="2:5">
      <c r="B6913" s="43" t="s">
        <v>22</v>
      </c>
      <c r="C6913" s="43" t="s">
        <v>23</v>
      </c>
      <c r="D6913" s="44">
        <v>46014</v>
      </c>
      <c r="E6913" s="45">
        <v>220.8</v>
      </c>
    </row>
    <row r="6914" spans="2:5">
      <c r="B6914" s="43" t="s">
        <v>80</v>
      </c>
      <c r="C6914" s="43" t="s">
        <v>81</v>
      </c>
      <c r="D6914" s="44">
        <v>46014</v>
      </c>
      <c r="E6914" s="45">
        <v>602.7</v>
      </c>
    </row>
    <row r="6915" spans="2:5">
      <c r="B6915" s="43" t="s">
        <v>24</v>
      </c>
      <c r="C6915" s="43" t="s">
        <v>25</v>
      </c>
      <c r="D6915" s="44">
        <v>46014</v>
      </c>
      <c r="E6915" s="45">
        <v>1558.2</v>
      </c>
    </row>
    <row r="6916" spans="2:5">
      <c r="B6916" s="43" t="s">
        <v>26</v>
      </c>
      <c r="C6916" s="43" t="s">
        <v>27</v>
      </c>
      <c r="D6916" s="44">
        <v>46014</v>
      </c>
      <c r="E6916" s="45">
        <v>528.7</v>
      </c>
    </row>
    <row r="6917" spans="2:5">
      <c r="B6917" s="43" t="s">
        <v>110</v>
      </c>
      <c r="C6917" s="43" t="s">
        <v>111</v>
      </c>
      <c r="D6917" s="44">
        <v>46014</v>
      </c>
      <c r="E6917" s="45">
        <v>495</v>
      </c>
    </row>
    <row r="6918" spans="2:5">
      <c r="B6918" s="43" t="s">
        <v>60</v>
      </c>
      <c r="C6918" s="43" t="s">
        <v>61</v>
      </c>
      <c r="D6918" s="44">
        <v>46014</v>
      </c>
      <c r="E6918" s="45">
        <v>164.7</v>
      </c>
    </row>
    <row r="6919" spans="2:5">
      <c r="B6919" s="43" t="s">
        <v>28</v>
      </c>
      <c r="C6919" s="43" t="s">
        <v>29</v>
      </c>
      <c r="D6919" s="44">
        <v>46014</v>
      </c>
      <c r="E6919" s="45">
        <v>250.6</v>
      </c>
    </row>
    <row r="6920" spans="2:5">
      <c r="B6920" s="43" t="s">
        <v>62</v>
      </c>
      <c r="C6920" s="43" t="s">
        <v>63</v>
      </c>
      <c r="D6920" s="44">
        <v>46014</v>
      </c>
      <c r="E6920" s="45">
        <v>1865.5</v>
      </c>
    </row>
    <row r="6921" spans="2:5">
      <c r="B6921" s="43" t="s">
        <v>90</v>
      </c>
      <c r="C6921" s="43" t="s">
        <v>91</v>
      </c>
      <c r="D6921" s="44">
        <v>46014</v>
      </c>
      <c r="E6921" s="45">
        <v>667.5</v>
      </c>
    </row>
    <row r="6922" spans="2:5">
      <c r="B6922" s="43" t="s">
        <v>196</v>
      </c>
      <c r="C6922" s="43" t="s">
        <v>197</v>
      </c>
      <c r="D6922" s="44">
        <v>46014</v>
      </c>
      <c r="E6922" s="45">
        <v>1</v>
      </c>
    </row>
    <row r="6923" spans="2:5">
      <c r="B6923" s="43" t="s">
        <v>96</v>
      </c>
      <c r="C6923" s="43" t="s">
        <v>97</v>
      </c>
      <c r="D6923" s="44">
        <v>46014</v>
      </c>
      <c r="E6923" s="45">
        <v>127</v>
      </c>
    </row>
    <row r="6924" spans="2:5">
      <c r="B6924" s="43" t="s">
        <v>32</v>
      </c>
      <c r="C6924" s="43" t="s">
        <v>33</v>
      </c>
      <c r="D6924" s="44">
        <v>46014</v>
      </c>
      <c r="E6924" s="45">
        <v>9</v>
      </c>
    </row>
    <row r="6925" spans="2:5">
      <c r="B6925" s="43" t="s">
        <v>160</v>
      </c>
      <c r="C6925" s="43" t="s">
        <v>161</v>
      </c>
      <c r="D6925" s="44">
        <v>46014</v>
      </c>
      <c r="E6925" s="45">
        <v>3</v>
      </c>
    </row>
    <row r="6926" spans="2:5">
      <c r="B6926" s="43" t="s">
        <v>34</v>
      </c>
      <c r="C6926" s="43" t="s">
        <v>35</v>
      </c>
      <c r="D6926" s="44">
        <v>46014</v>
      </c>
      <c r="E6926" s="45">
        <v>3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2"/>
  <sheetViews>
    <sheetView showGridLines="0" tabSelected="1" workbookViewId="0">
      <selection activeCell="Q5" sqref="Q5"/>
    </sheetView>
  </sheetViews>
  <sheetFormatPr defaultColWidth="9" defaultRowHeight="15"/>
  <cols>
    <col min="1" max="1" width="2.28571428571429" customWidth="1"/>
    <col min="2" max="2" width="6.42857142857143" customWidth="1"/>
    <col min="3" max="3" width="25" customWidth="1"/>
    <col min="4" max="4" width="9.57142857142857" customWidth="1"/>
    <col min="5" max="5" width="4" customWidth="1"/>
    <col min="6" max="6" width="8.85714285714286" customWidth="1"/>
    <col min="7" max="7" width="3.85714285714286" customWidth="1"/>
    <col min="8" max="8" width="10" customWidth="1"/>
    <col min="9" max="9" width="7.85714285714286" style="10" customWidth="1"/>
    <col min="10" max="11" width="10.4285714285714" style="10" customWidth="1"/>
    <col min="12" max="12" width="11.5714285714286" style="10" customWidth="1"/>
    <col min="13" max="13" width="8.28571428571429" style="10" customWidth="1"/>
    <col min="14" max="14" width="14.7142857142857" style="10" customWidth="1"/>
    <col min="15" max="15" width="16.5714285714286" style="10" customWidth="1"/>
    <col min="16" max="16" width="18.4285714285714" style="10" customWidth="1"/>
    <col min="17" max="17" width="12.8571428571429" style="10" customWidth="1"/>
    <col min="18" max="18" width="3" customWidth="1"/>
  </cols>
  <sheetData>
    <row r="1" ht="31.5" spans="1:33">
      <c r="A1" s="1"/>
      <c r="B1" s="1"/>
      <c r="C1" s="1"/>
      <c r="D1" s="1"/>
      <c r="E1" s="1"/>
      <c r="F1" s="30"/>
      <c r="G1" s="31" t="s">
        <v>240</v>
      </c>
      <c r="H1" s="31">
        <f>SUMIF(G:G,G1,Q:Q)</f>
        <v>204188.264690678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31.5" spans="1:33">
      <c r="A2" s="1"/>
      <c r="B2" s="1"/>
      <c r="C2" s="32">
        <f>SUM(D:D)</f>
        <v>2605961.30802</v>
      </c>
      <c r="D2" s="1"/>
      <c r="E2" s="1"/>
      <c r="F2" s="30"/>
      <c r="G2" s="31" t="s">
        <v>241</v>
      </c>
      <c r="H2" s="31">
        <f>SUMIF(G:G,G2,Q:Q)</f>
        <v>202569.556449711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31.5" spans="1:33">
      <c r="A3" s="1"/>
      <c r="B3" s="1"/>
      <c r="C3" s="1"/>
      <c r="D3" s="1"/>
      <c r="E3" s="1"/>
      <c r="F3" s="30"/>
      <c r="G3" s="31" t="s">
        <v>242</v>
      </c>
      <c r="H3" s="31">
        <f>IFERROR(SUMIF(G:G,G3,Q:Q),0)</f>
        <v>159502.398590464</v>
      </c>
      <c r="I3" s="1"/>
      <c r="J3" s="1"/>
      <c r="K3" s="37"/>
      <c r="L3" s="38"/>
      <c r="M3" s="31">
        <f>'Cálculo de Estoque'!C9</f>
        <v>3</v>
      </c>
      <c r="N3" s="31">
        <f>'Cálculo de Estoque'!C10</f>
        <v>0.99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2:17">
      <c r="B4" s="33" t="s">
        <v>0</v>
      </c>
      <c r="C4" s="33" t="s">
        <v>243</v>
      </c>
      <c r="D4" s="33" t="s">
        <v>244</v>
      </c>
      <c r="E4" s="33" t="s">
        <v>245</v>
      </c>
      <c r="F4" s="33" t="s">
        <v>246</v>
      </c>
      <c r="G4" s="33" t="s">
        <v>247</v>
      </c>
      <c r="H4" s="33" t="s">
        <v>248</v>
      </c>
      <c r="I4" s="39" t="s">
        <v>249</v>
      </c>
      <c r="J4" s="39" t="s">
        <v>250</v>
      </c>
      <c r="K4" s="39" t="s">
        <v>251</v>
      </c>
      <c r="L4" s="39" t="s">
        <v>252</v>
      </c>
      <c r="M4" s="39" t="s">
        <v>253</v>
      </c>
      <c r="N4" s="39" t="s">
        <v>254</v>
      </c>
      <c r="O4" s="39" t="s">
        <v>255</v>
      </c>
      <c r="P4" s="39" t="s">
        <v>256</v>
      </c>
      <c r="Q4" s="39" t="s">
        <v>257</v>
      </c>
    </row>
    <row r="5" spans="2:19">
      <c r="B5" s="34" t="s">
        <v>24</v>
      </c>
      <c r="C5" s="34" t="s">
        <v>25</v>
      </c>
      <c r="D5" s="35">
        <v>493383.12</v>
      </c>
      <c r="E5" s="36">
        <f>D5/$C$2</f>
        <v>0.189328643706867</v>
      </c>
      <c r="F5" s="36">
        <f>E5</f>
        <v>0.189328643706867</v>
      </c>
      <c r="G5" s="34" t="str">
        <f>IF(F5&lt;0.8,"A",IF(F5&gt;=0.95,"C","B"))</f>
        <v>A</v>
      </c>
      <c r="H5" s="35">
        <f>D5/12/22</f>
        <v>1868.87545454545</v>
      </c>
      <c r="I5" s="35">
        <f>H5*22</f>
        <v>41115.26</v>
      </c>
      <c r="J5" s="35">
        <f>AVERAGEIF(tSaida[Produto],B5,tSaida[Saída / Demanda])</f>
        <v>2005.62243902439</v>
      </c>
      <c r="K5" s="35" cm="1">
        <f t="array" ref="K5">_xlfn.STDEV.S(IF(tSaida[Produto]=Consolidação!B5,tSaida[Saída / Demanda]))</f>
        <v>1279.12724327357</v>
      </c>
      <c r="L5" s="36">
        <f>K5/J5</f>
        <v>0.637770708177649</v>
      </c>
      <c r="M5" s="35">
        <f>$M$3</f>
        <v>3</v>
      </c>
      <c r="N5" s="36">
        <f t="shared" ref="N5:N36" si="0">$N$3</f>
        <v>0.99</v>
      </c>
      <c r="O5" s="35">
        <f>NORMSINV(N5)*SQRT((K5^2)*M5+(J5^2)*(1^2))</f>
        <v>6952.24727491244</v>
      </c>
      <c r="P5" s="35">
        <f>J5*M5+O5</f>
        <v>12969.1145919856</v>
      </c>
      <c r="Q5" s="35">
        <f>IFERROR((J5+O5)*M5,"")</f>
        <v>26873.6091418105</v>
      </c>
      <c r="S5" s="46" t="s">
        <v>258</v>
      </c>
    </row>
    <row r="6" spans="2:17">
      <c r="B6" s="34" t="s">
        <v>26</v>
      </c>
      <c r="C6" s="34" t="s">
        <v>27</v>
      </c>
      <c r="D6" s="35">
        <v>362524.699999999</v>
      </c>
      <c r="E6" s="36">
        <f t="shared" ref="E6:E37" si="1">D6/$C$2</f>
        <v>0.139113615725724</v>
      </c>
      <c r="F6" s="36">
        <f>E6+F5</f>
        <v>0.328442259432591</v>
      </c>
      <c r="G6" s="34" t="str">
        <f t="shared" ref="G6:G37" si="2">IF(F6&lt;0.8,"A",IF(F6&gt;=0.95,"C","B"))</f>
        <v>A</v>
      </c>
      <c r="H6" s="35">
        <f t="shared" ref="H6:H37" si="3">D6/12/22</f>
        <v>1373.19962121212</v>
      </c>
      <c r="I6" s="35">
        <f t="shared" ref="I6:I69" si="4">H6*22</f>
        <v>30210.3916666666</v>
      </c>
      <c r="J6" s="35">
        <f>AVERAGEIF(tSaida[Produto],B6,tSaida[Saída / Demanda])</f>
        <v>1516.83974895398</v>
      </c>
      <c r="K6" s="35" cm="1">
        <f t="array" ref="K6">_xlfn.STDEV.S(IF(tSaida[Produto]=Consolidação!B6,tSaida[Saída / Demanda]))</f>
        <v>1119.48368190046</v>
      </c>
      <c r="L6" s="36">
        <f t="shared" ref="L6:L37" si="5">K6/J6</f>
        <v>0.738036884036344</v>
      </c>
      <c r="M6" s="35">
        <f t="shared" ref="M6:M15" si="6">$M$3</f>
        <v>3</v>
      </c>
      <c r="N6" s="36">
        <f t="shared" si="0"/>
        <v>0.99</v>
      </c>
      <c r="O6" s="35">
        <f t="shared" ref="O6:O69" si="7">NORMSINV(N6)*SQRT((K6^2)*M6+(J6^2)*(1^2))</f>
        <v>5727.03850349551</v>
      </c>
      <c r="P6" s="35">
        <f t="shared" ref="P6:P69" si="8">J6*M6+O6</f>
        <v>10277.5577503574</v>
      </c>
      <c r="Q6" s="35">
        <f t="shared" ref="Q6:Q37" si="9">IFERROR((J6+O6)*M6,"")</f>
        <v>21731.6347573484</v>
      </c>
    </row>
    <row r="7" spans="2:17">
      <c r="B7" s="34" t="s">
        <v>62</v>
      </c>
      <c r="C7" s="34" t="s">
        <v>63</v>
      </c>
      <c r="D7" s="35">
        <v>149059</v>
      </c>
      <c r="E7" s="36">
        <f t="shared" si="1"/>
        <v>0.0571992375870134</v>
      </c>
      <c r="F7" s="36">
        <f t="shared" ref="F7:F38" si="10">E7+F6</f>
        <v>0.385641497019605</v>
      </c>
      <c r="G7" s="34" t="str">
        <f t="shared" si="2"/>
        <v>A</v>
      </c>
      <c r="H7" s="35">
        <f t="shared" si="3"/>
        <v>564.617424242424</v>
      </c>
      <c r="I7" s="35">
        <f t="shared" si="4"/>
        <v>12421.5833333333</v>
      </c>
      <c r="J7" s="35">
        <f>AVERAGEIF(tSaida[Produto],B7,tSaida[Saída / Demanda])</f>
        <v>686.907834101382</v>
      </c>
      <c r="K7" s="35" cm="1">
        <f t="array" ref="K7">_xlfn.STDEV.S(IF(tSaida[Produto]=Consolidação!B7,tSaida[Saída / Demanda]))</f>
        <v>674.326267527249</v>
      </c>
      <c r="L7" s="36">
        <f t="shared" si="5"/>
        <v>0.981683763163667</v>
      </c>
      <c r="M7" s="35">
        <f t="shared" si="6"/>
        <v>3</v>
      </c>
      <c r="N7" s="36">
        <f t="shared" si="0"/>
        <v>0.99</v>
      </c>
      <c r="O7" s="35">
        <f t="shared" si="7"/>
        <v>3152.17142520719</v>
      </c>
      <c r="P7" s="35">
        <f t="shared" si="8"/>
        <v>5212.89492751134</v>
      </c>
      <c r="Q7" s="35">
        <f t="shared" si="9"/>
        <v>11517.2377779257</v>
      </c>
    </row>
    <row r="8" spans="2:17">
      <c r="B8" s="34" t="s">
        <v>64</v>
      </c>
      <c r="C8" s="34" t="s">
        <v>65</v>
      </c>
      <c r="D8" s="35">
        <v>137403.80002</v>
      </c>
      <c r="E8" s="36">
        <f t="shared" si="1"/>
        <v>0.0527267229935962</v>
      </c>
      <c r="F8" s="36">
        <f t="shared" si="10"/>
        <v>0.438368220013201</v>
      </c>
      <c r="G8" s="34" t="str">
        <f t="shared" si="2"/>
        <v>A</v>
      </c>
      <c r="H8" s="35">
        <f t="shared" si="3"/>
        <v>520.468939469697</v>
      </c>
      <c r="I8" s="35">
        <f t="shared" si="4"/>
        <v>11450.3166683333</v>
      </c>
      <c r="J8" s="35">
        <f>AVERAGEIF(tSaida[Produto],B8,tSaida[Saída / Demanda])</f>
        <v>697.481218375635</v>
      </c>
      <c r="K8" s="35" cm="1">
        <f t="array" ref="K8">_xlfn.STDEV.S(IF(tSaida[Produto]=Consolidação!B8,tSaida[Saída / Demanda]))</f>
        <v>734.081915099789</v>
      </c>
      <c r="L8" s="36">
        <f t="shared" si="5"/>
        <v>1.052475530179</v>
      </c>
      <c r="M8" s="35">
        <f t="shared" si="6"/>
        <v>3</v>
      </c>
      <c r="N8" s="36">
        <f t="shared" si="0"/>
        <v>0.99</v>
      </c>
      <c r="O8" s="35">
        <f t="shared" si="7"/>
        <v>3373.69277405018</v>
      </c>
      <c r="P8" s="35">
        <f t="shared" si="8"/>
        <v>5466.13642917708</v>
      </c>
      <c r="Q8" s="35">
        <f t="shared" si="9"/>
        <v>12213.5219772774</v>
      </c>
    </row>
    <row r="9" spans="2:17">
      <c r="B9" s="34" t="s">
        <v>12</v>
      </c>
      <c r="C9" s="34" t="s">
        <v>13</v>
      </c>
      <c r="D9" s="35">
        <v>120746.63</v>
      </c>
      <c r="E9" s="36">
        <f t="shared" si="1"/>
        <v>0.046334774667757</v>
      </c>
      <c r="F9" s="36">
        <f t="shared" si="10"/>
        <v>0.484702994680958</v>
      </c>
      <c r="G9" s="34" t="str">
        <f t="shared" si="2"/>
        <v>A</v>
      </c>
      <c r="H9" s="35">
        <f t="shared" si="3"/>
        <v>457.373598484849</v>
      </c>
      <c r="I9" s="35">
        <f t="shared" si="4"/>
        <v>10062.2191666667</v>
      </c>
      <c r="J9" s="35">
        <f>AVERAGEIF(tSaida[Produto],B9,tSaida[Saída / Demanda])</f>
        <v>543.903738738739</v>
      </c>
      <c r="K9" s="35" cm="1">
        <f t="array" ref="K9">_xlfn.STDEV.S(IF(tSaida[Produto]=Consolidação!B9,tSaida[Saída / Demanda]))</f>
        <v>512.698878329873</v>
      </c>
      <c r="L9" s="36">
        <f t="shared" si="5"/>
        <v>0.942627972219446</v>
      </c>
      <c r="M9" s="35">
        <f t="shared" si="6"/>
        <v>3</v>
      </c>
      <c r="N9" s="36">
        <f t="shared" si="0"/>
        <v>0.99</v>
      </c>
      <c r="O9" s="35">
        <f t="shared" si="7"/>
        <v>2422.54445190464</v>
      </c>
      <c r="P9" s="35">
        <f t="shared" si="8"/>
        <v>4054.25566812086</v>
      </c>
      <c r="Q9" s="35">
        <f t="shared" si="9"/>
        <v>8899.34457193013</v>
      </c>
    </row>
    <row r="10" spans="2:17">
      <c r="B10" s="34" t="s">
        <v>80</v>
      </c>
      <c r="C10" s="34" t="s">
        <v>81</v>
      </c>
      <c r="D10" s="35">
        <v>105875.05</v>
      </c>
      <c r="E10" s="36">
        <f t="shared" si="1"/>
        <v>0.0406280207131869</v>
      </c>
      <c r="F10" s="36">
        <f t="shared" si="10"/>
        <v>0.525331015394145</v>
      </c>
      <c r="G10" s="34" t="str">
        <f t="shared" si="2"/>
        <v>A</v>
      </c>
      <c r="H10" s="35">
        <f t="shared" si="3"/>
        <v>401.041856060606</v>
      </c>
      <c r="I10" s="35">
        <f t="shared" si="4"/>
        <v>8822.92083333333</v>
      </c>
      <c r="J10" s="35">
        <f>AVERAGEIF(tSaida[Produto],B10,tSaida[Saída / Demanda])</f>
        <v>691.993790849673</v>
      </c>
      <c r="K10" s="35" cm="1">
        <f t="array" ref="K10">_xlfn.STDEV.S(IF(tSaida[Produto]=Consolidação!B10,tSaida[Saída / Demanda]))</f>
        <v>784.899746475379</v>
      </c>
      <c r="L10" s="36">
        <f t="shared" si="5"/>
        <v>1.134258365977</v>
      </c>
      <c r="M10" s="35">
        <f t="shared" si="6"/>
        <v>3</v>
      </c>
      <c r="N10" s="36">
        <f t="shared" si="0"/>
        <v>0.99</v>
      </c>
      <c r="O10" s="35">
        <f t="shared" si="7"/>
        <v>3548.77352672806</v>
      </c>
      <c r="P10" s="35">
        <f t="shared" si="8"/>
        <v>5624.75489927708</v>
      </c>
      <c r="Q10" s="35">
        <f t="shared" si="9"/>
        <v>12722.3019527332</v>
      </c>
    </row>
    <row r="11" spans="2:17">
      <c r="B11" s="34" t="s">
        <v>46</v>
      </c>
      <c r="C11" s="34" t="s">
        <v>47</v>
      </c>
      <c r="D11" s="35">
        <v>92288.2894</v>
      </c>
      <c r="E11" s="36">
        <f t="shared" si="1"/>
        <v>0.0354142976397913</v>
      </c>
      <c r="F11" s="36">
        <f t="shared" si="10"/>
        <v>0.560745313033936</v>
      </c>
      <c r="G11" s="34" t="str">
        <f t="shared" si="2"/>
        <v>A</v>
      </c>
      <c r="H11" s="35">
        <f t="shared" si="3"/>
        <v>349.576853787879</v>
      </c>
      <c r="I11" s="35">
        <f t="shared" si="4"/>
        <v>7690.69078333333</v>
      </c>
      <c r="J11" s="35">
        <f>AVERAGEIF(tSaida[Produto],B11,tSaida[Saída / Demanda])</f>
        <v>427.260599074074</v>
      </c>
      <c r="K11" s="35" cm="1">
        <f t="array" ref="K11">_xlfn.STDEV.S(IF(tSaida[Produto]=Consolidação!B11,tSaida[Saída / Demanda]))</f>
        <v>404.694666558761</v>
      </c>
      <c r="L11" s="36">
        <f t="shared" si="5"/>
        <v>0.947184616217323</v>
      </c>
      <c r="M11" s="35">
        <f t="shared" si="6"/>
        <v>3</v>
      </c>
      <c r="N11" s="36">
        <f t="shared" si="0"/>
        <v>0.99</v>
      </c>
      <c r="O11" s="35">
        <f t="shared" si="7"/>
        <v>1909.71048807009</v>
      </c>
      <c r="P11" s="35">
        <f t="shared" si="8"/>
        <v>3191.49228529231</v>
      </c>
      <c r="Q11" s="35">
        <f t="shared" si="9"/>
        <v>7010.91326143249</v>
      </c>
    </row>
    <row r="12" spans="2:17">
      <c r="B12" s="34" t="s">
        <v>28</v>
      </c>
      <c r="C12" s="34" t="s">
        <v>29</v>
      </c>
      <c r="D12" s="35">
        <v>72441.3</v>
      </c>
      <c r="E12" s="36">
        <f t="shared" si="1"/>
        <v>0.0277983022146406</v>
      </c>
      <c r="F12" s="36">
        <f t="shared" si="10"/>
        <v>0.588543615248577</v>
      </c>
      <c r="G12" s="34" t="str">
        <f t="shared" si="2"/>
        <v>A</v>
      </c>
      <c r="H12" s="35">
        <f t="shared" si="3"/>
        <v>274.398863636364</v>
      </c>
      <c r="I12" s="35">
        <f t="shared" si="4"/>
        <v>6036.775</v>
      </c>
      <c r="J12" s="35">
        <f>AVERAGEIF(tSaida[Produto],B12,tSaida[Saída / Demanda])</f>
        <v>479.743708609272</v>
      </c>
      <c r="K12" s="35" cm="1">
        <f t="array" ref="K12">_xlfn.STDEV.S(IF(tSaida[Produto]=Consolidação!B12,tSaida[Saída / Demanda]))</f>
        <v>533.588240946913</v>
      </c>
      <c r="L12" s="36">
        <f t="shared" si="5"/>
        <v>1.11223603639062</v>
      </c>
      <c r="M12" s="35">
        <f t="shared" si="6"/>
        <v>3</v>
      </c>
      <c r="N12" s="36">
        <f t="shared" si="0"/>
        <v>0.99</v>
      </c>
      <c r="O12" s="35">
        <f t="shared" si="7"/>
        <v>2422.42332524409</v>
      </c>
      <c r="P12" s="35">
        <f t="shared" si="8"/>
        <v>3861.65445107191</v>
      </c>
      <c r="Q12" s="35">
        <f t="shared" si="9"/>
        <v>8706.50110156009</v>
      </c>
    </row>
    <row r="13" spans="2:17">
      <c r="B13" s="34" t="s">
        <v>14</v>
      </c>
      <c r="C13" s="34" t="s">
        <v>15</v>
      </c>
      <c r="D13" s="35">
        <v>67190.7</v>
      </c>
      <c r="E13" s="36">
        <f t="shared" si="1"/>
        <v>0.025783460327372</v>
      </c>
      <c r="F13" s="36">
        <f t="shared" si="10"/>
        <v>0.614327075575949</v>
      </c>
      <c r="G13" s="34" t="str">
        <f t="shared" si="2"/>
        <v>A</v>
      </c>
      <c r="H13" s="35">
        <f t="shared" si="3"/>
        <v>254.510227272727</v>
      </c>
      <c r="I13" s="35">
        <f t="shared" si="4"/>
        <v>5599.225</v>
      </c>
      <c r="J13" s="35">
        <f>AVERAGEIF(tSaida[Produto],B13,tSaida[Saída / Demanda])</f>
        <v>453.991216216216</v>
      </c>
      <c r="K13" s="35" cm="1">
        <f t="array" ref="K13">_xlfn.STDEV.S(IF(tSaida[Produto]=Consolidação!B13,tSaida[Saída / Demanda]))</f>
        <v>510.061632120841</v>
      </c>
      <c r="L13" s="36">
        <f t="shared" si="5"/>
        <v>1.12350550826058</v>
      </c>
      <c r="M13" s="35">
        <f t="shared" si="6"/>
        <v>3</v>
      </c>
      <c r="N13" s="36">
        <f t="shared" si="0"/>
        <v>0.99</v>
      </c>
      <c r="O13" s="35">
        <f t="shared" si="7"/>
        <v>2310.70482928127</v>
      </c>
      <c r="P13" s="35">
        <f t="shared" si="8"/>
        <v>3672.67847792992</v>
      </c>
      <c r="Q13" s="35">
        <f t="shared" si="9"/>
        <v>8294.08813649245</v>
      </c>
    </row>
    <row r="14" spans="2:17">
      <c r="B14" s="34" t="s">
        <v>50</v>
      </c>
      <c r="C14" s="34" t="s">
        <v>51</v>
      </c>
      <c r="D14" s="35">
        <v>60125.6</v>
      </c>
      <c r="E14" s="36">
        <f t="shared" si="1"/>
        <v>0.0230723302817121</v>
      </c>
      <c r="F14" s="36">
        <f t="shared" si="10"/>
        <v>0.637399405857661</v>
      </c>
      <c r="G14" s="34" t="str">
        <f t="shared" si="2"/>
        <v>A</v>
      </c>
      <c r="H14" s="35">
        <f t="shared" si="3"/>
        <v>227.748484848485</v>
      </c>
      <c r="I14" s="35">
        <f t="shared" si="4"/>
        <v>5010.46666666667</v>
      </c>
      <c r="J14" s="35">
        <f>AVERAGEIF(tSaida[Produto],B14,tSaida[Saída / Demanda])</f>
        <v>409.01768707483</v>
      </c>
      <c r="K14" s="35" cm="1">
        <f t="array" ref="K14">_xlfn.STDEV.S(IF(tSaida[Produto]=Consolidação!B14,tSaida[Saída / Demanda]))</f>
        <v>430.714643434126</v>
      </c>
      <c r="L14" s="36">
        <f t="shared" si="5"/>
        <v>1.05304649907554</v>
      </c>
      <c r="M14" s="35">
        <f t="shared" si="6"/>
        <v>3</v>
      </c>
      <c r="N14" s="36">
        <f t="shared" si="0"/>
        <v>0.99</v>
      </c>
      <c r="O14" s="35">
        <f t="shared" si="7"/>
        <v>1979.22962013149</v>
      </c>
      <c r="P14" s="35">
        <f t="shared" si="8"/>
        <v>3206.28268135598</v>
      </c>
      <c r="Q14" s="35">
        <f t="shared" si="9"/>
        <v>7164.74192161897</v>
      </c>
    </row>
    <row r="15" spans="2:17">
      <c r="B15" s="34" t="s">
        <v>56</v>
      </c>
      <c r="C15" s="34" t="s">
        <v>57</v>
      </c>
      <c r="D15" s="35">
        <v>42082.5</v>
      </c>
      <c r="E15" s="36">
        <f t="shared" si="1"/>
        <v>0.0161485513505088</v>
      </c>
      <c r="F15" s="36">
        <f t="shared" si="10"/>
        <v>0.653547957208169</v>
      </c>
      <c r="G15" s="34" t="str">
        <f t="shared" si="2"/>
        <v>A</v>
      </c>
      <c r="H15" s="35">
        <f t="shared" si="3"/>
        <v>159.403409090909</v>
      </c>
      <c r="I15" s="35">
        <f t="shared" si="4"/>
        <v>3506.875</v>
      </c>
      <c r="J15" s="35">
        <f>AVERAGEIF(tSaida[Produto],B15,tSaida[Saída / Demanda])</f>
        <v>326.220930232558</v>
      </c>
      <c r="K15" s="35" cm="1">
        <f t="array" ref="K15">_xlfn.STDEV.S(IF(tSaida[Produto]=Consolidação!B15,tSaida[Saída / Demanda]))</f>
        <v>397.005672911771</v>
      </c>
      <c r="L15" s="36">
        <f t="shared" si="5"/>
        <v>1.21698406239217</v>
      </c>
      <c r="M15" s="35">
        <f t="shared" si="6"/>
        <v>3</v>
      </c>
      <c r="N15" s="36">
        <f t="shared" si="0"/>
        <v>0.99</v>
      </c>
      <c r="O15" s="35">
        <f t="shared" si="7"/>
        <v>1770.56410789229</v>
      </c>
      <c r="P15" s="35">
        <f t="shared" si="8"/>
        <v>2749.22689858996</v>
      </c>
      <c r="Q15" s="35">
        <f t="shared" si="9"/>
        <v>6290.35511437454</v>
      </c>
    </row>
    <row r="16" spans="2:17">
      <c r="B16" s="34" t="s">
        <v>60</v>
      </c>
      <c r="C16" s="34" t="s">
        <v>61</v>
      </c>
      <c r="D16" s="35">
        <v>39689.51</v>
      </c>
      <c r="E16" s="36">
        <f t="shared" si="1"/>
        <v>0.0152302760128683</v>
      </c>
      <c r="F16" s="36">
        <f t="shared" si="10"/>
        <v>0.668778233221038</v>
      </c>
      <c r="G16" s="34" t="str">
        <f t="shared" si="2"/>
        <v>A</v>
      </c>
      <c r="H16" s="35">
        <f t="shared" si="3"/>
        <v>150.339053030303</v>
      </c>
      <c r="I16" s="35">
        <f t="shared" si="4"/>
        <v>3307.45916666667</v>
      </c>
      <c r="J16" s="35">
        <f>AVERAGEIF(tSaida[Produto],B16,tSaida[Saída / Demanda])</f>
        <v>389.112843137255</v>
      </c>
      <c r="K16" s="35" cm="1">
        <f t="array" ref="K16">_xlfn.STDEV.S(IF(tSaida[Produto]=Consolidação!B16,tSaida[Saída / Demanda]))</f>
        <v>455.652169833542</v>
      </c>
      <c r="L16" s="36">
        <f t="shared" si="5"/>
        <v>1.17100264838294</v>
      </c>
      <c r="M16" s="35">
        <f t="shared" ref="M16:M25" si="11">$M$3</f>
        <v>3</v>
      </c>
      <c r="N16" s="36">
        <f t="shared" si="0"/>
        <v>0.99</v>
      </c>
      <c r="O16" s="35">
        <f t="shared" si="7"/>
        <v>2047.00834657981</v>
      </c>
      <c r="P16" s="35">
        <f t="shared" si="8"/>
        <v>3214.34687599158</v>
      </c>
      <c r="Q16" s="35">
        <f t="shared" si="9"/>
        <v>7308.3635691512</v>
      </c>
    </row>
    <row r="17" spans="2:17">
      <c r="B17" s="34" t="s">
        <v>8</v>
      </c>
      <c r="C17" s="34" t="s">
        <v>9</v>
      </c>
      <c r="D17" s="35">
        <v>37983.3999999995</v>
      </c>
      <c r="E17" s="36">
        <f t="shared" si="1"/>
        <v>0.0145755809509156</v>
      </c>
      <c r="F17" s="36">
        <f t="shared" si="10"/>
        <v>0.683353814171953</v>
      </c>
      <c r="G17" s="34" t="str">
        <f t="shared" si="2"/>
        <v>A</v>
      </c>
      <c r="H17" s="35">
        <f t="shared" si="3"/>
        <v>143.876515151513</v>
      </c>
      <c r="I17" s="35">
        <f t="shared" si="4"/>
        <v>3165.28333333329</v>
      </c>
      <c r="J17" s="35">
        <f>AVERAGEIF(tSaida[Produto],B17,tSaida[Saída / Demanda])</f>
        <v>163.721551724138</v>
      </c>
      <c r="K17" s="35" cm="1">
        <f t="array" ref="K17">_xlfn.STDEV.S(IF(tSaida[Produto]=Consolidação!B17,tSaida[Saída / Demanda]))</f>
        <v>208.725550152658</v>
      </c>
      <c r="L17" s="36">
        <f t="shared" si="5"/>
        <v>1.27488133330393</v>
      </c>
      <c r="M17" s="35">
        <f t="shared" si="11"/>
        <v>3</v>
      </c>
      <c r="N17" s="36">
        <f t="shared" si="0"/>
        <v>0.99</v>
      </c>
      <c r="O17" s="35">
        <f t="shared" si="7"/>
        <v>923.251864321462</v>
      </c>
      <c r="P17" s="35">
        <f t="shared" si="8"/>
        <v>1414.41651949388</v>
      </c>
      <c r="Q17" s="35">
        <f t="shared" si="9"/>
        <v>3260.9202481368</v>
      </c>
    </row>
    <row r="18" spans="2:17">
      <c r="B18" s="34" t="s">
        <v>58</v>
      </c>
      <c r="C18" s="34" t="s">
        <v>59</v>
      </c>
      <c r="D18" s="35">
        <v>36022.7</v>
      </c>
      <c r="E18" s="36">
        <f t="shared" si="1"/>
        <v>0.0138231906548797</v>
      </c>
      <c r="F18" s="36">
        <f t="shared" si="10"/>
        <v>0.697177004826833</v>
      </c>
      <c r="G18" s="34" t="str">
        <f t="shared" si="2"/>
        <v>A</v>
      </c>
      <c r="H18" s="35">
        <f t="shared" si="3"/>
        <v>136.449621212121</v>
      </c>
      <c r="I18" s="35">
        <f t="shared" si="4"/>
        <v>3001.89166666667</v>
      </c>
      <c r="J18" s="35">
        <f>AVERAGEIF(tSaida[Produto],B18,tSaida[Saída / Demanda])</f>
        <v>590.53606557377</v>
      </c>
      <c r="K18" s="35" cm="1">
        <f t="array" ref="K18">_xlfn.STDEV.S(IF(tSaida[Produto]=Consolidação!B18,tSaida[Saída / Demanda]))</f>
        <v>560.169171183369</v>
      </c>
      <c r="L18" s="36">
        <f t="shared" si="5"/>
        <v>0.948577409305396</v>
      </c>
      <c r="M18" s="35">
        <f t="shared" si="11"/>
        <v>3</v>
      </c>
      <c r="N18" s="36">
        <f t="shared" si="0"/>
        <v>0.99</v>
      </c>
      <c r="O18" s="35">
        <f t="shared" si="7"/>
        <v>2642.32705937429</v>
      </c>
      <c r="P18" s="35">
        <f t="shared" si="8"/>
        <v>4413.9352560956</v>
      </c>
      <c r="Q18" s="35">
        <f t="shared" si="9"/>
        <v>9698.58937484418</v>
      </c>
    </row>
    <row r="19" spans="2:17">
      <c r="B19" s="34" t="s">
        <v>74</v>
      </c>
      <c r="C19" s="34" t="s">
        <v>75</v>
      </c>
      <c r="D19" s="35">
        <v>34355.55</v>
      </c>
      <c r="E19" s="36">
        <f t="shared" si="1"/>
        <v>0.0131834459300178</v>
      </c>
      <c r="F19" s="36">
        <f t="shared" si="10"/>
        <v>0.710360450756851</v>
      </c>
      <c r="G19" s="34" t="str">
        <f t="shared" si="2"/>
        <v>A</v>
      </c>
      <c r="H19" s="35">
        <f t="shared" si="3"/>
        <v>130.134659090909</v>
      </c>
      <c r="I19" s="35">
        <f t="shared" si="4"/>
        <v>2862.9625</v>
      </c>
      <c r="J19" s="35">
        <f>AVERAGEIF(tSaida[Produto],B19,tSaida[Saída / Demanda])</f>
        <v>381.728333333333</v>
      </c>
      <c r="K19" s="35" cm="1">
        <f t="array" ref="K19">_xlfn.STDEV.S(IF(tSaida[Produto]=Consolidação!B19,tSaida[Saída / Demanda]))</f>
        <v>376.479321551155</v>
      </c>
      <c r="L19" s="36">
        <f t="shared" si="5"/>
        <v>0.986249352422067</v>
      </c>
      <c r="M19" s="35">
        <f t="shared" si="11"/>
        <v>3</v>
      </c>
      <c r="N19" s="36">
        <f t="shared" si="0"/>
        <v>0.99</v>
      </c>
      <c r="O19" s="35">
        <f t="shared" si="7"/>
        <v>1757.78106313919</v>
      </c>
      <c r="P19" s="35">
        <f t="shared" si="8"/>
        <v>2902.96606313919</v>
      </c>
      <c r="Q19" s="35">
        <f t="shared" si="9"/>
        <v>6418.52818941758</v>
      </c>
    </row>
    <row r="20" spans="2:17">
      <c r="B20" s="34" t="s">
        <v>20</v>
      </c>
      <c r="C20" s="34" t="s">
        <v>21</v>
      </c>
      <c r="D20" s="35">
        <v>34149.2000000001</v>
      </c>
      <c r="E20" s="36">
        <f t="shared" si="1"/>
        <v>0.0131042620989437</v>
      </c>
      <c r="F20" s="36">
        <f t="shared" si="10"/>
        <v>0.723464712855795</v>
      </c>
      <c r="G20" s="34" t="str">
        <f t="shared" si="2"/>
        <v>A</v>
      </c>
      <c r="H20" s="35">
        <f t="shared" si="3"/>
        <v>129.353030303031</v>
      </c>
      <c r="I20" s="35">
        <f t="shared" si="4"/>
        <v>2845.76666666668</v>
      </c>
      <c r="J20" s="35">
        <f>AVERAGEIF(tSaida[Produto],B20,tSaida[Saída / Demanda])</f>
        <v>166.581463414634</v>
      </c>
      <c r="K20" s="35" cm="1">
        <f t="array" ref="K20">_xlfn.STDEV.S(IF(tSaida[Produto]=Consolidação!B20,tSaida[Saída / Demanda]))</f>
        <v>208.551217137221</v>
      </c>
      <c r="L20" s="36">
        <f t="shared" si="5"/>
        <v>1.25194732272295</v>
      </c>
      <c r="M20" s="35">
        <f t="shared" si="11"/>
        <v>3</v>
      </c>
      <c r="N20" s="36">
        <f t="shared" si="0"/>
        <v>0.99</v>
      </c>
      <c r="O20" s="35">
        <f t="shared" si="7"/>
        <v>925.378417983326</v>
      </c>
      <c r="P20" s="35">
        <f t="shared" si="8"/>
        <v>1425.12280822723</v>
      </c>
      <c r="Q20" s="35">
        <f t="shared" si="9"/>
        <v>3275.87964419388</v>
      </c>
    </row>
    <row r="21" spans="2:17">
      <c r="B21" s="34" t="s">
        <v>22</v>
      </c>
      <c r="C21" s="34" t="s">
        <v>23</v>
      </c>
      <c r="D21" s="35">
        <v>32879.6999999998</v>
      </c>
      <c r="E21" s="36">
        <f t="shared" si="1"/>
        <v>0.0126171098161782</v>
      </c>
      <c r="F21" s="36">
        <f t="shared" si="10"/>
        <v>0.736081822671973</v>
      </c>
      <c r="G21" s="34" t="str">
        <f t="shared" si="2"/>
        <v>A</v>
      </c>
      <c r="H21" s="35">
        <f t="shared" si="3"/>
        <v>124.544318181817</v>
      </c>
      <c r="I21" s="35">
        <f t="shared" si="4"/>
        <v>2739.97499999998</v>
      </c>
      <c r="J21" s="35">
        <f>AVERAGEIF(tSaida[Produto],B21,tSaida[Saída / Demanda])</f>
        <v>167.753571428571</v>
      </c>
      <c r="K21" s="35" cm="1">
        <f t="array" ref="K21">_xlfn.STDEV.S(IF(tSaida[Produto]=Consolidação!B21,tSaida[Saída / Demanda]))</f>
        <v>341.621713021424</v>
      </c>
      <c r="L21" s="36">
        <f t="shared" si="5"/>
        <v>2.03644971676138</v>
      </c>
      <c r="M21" s="35">
        <f t="shared" si="11"/>
        <v>3</v>
      </c>
      <c r="N21" s="36">
        <f t="shared" si="0"/>
        <v>0.99</v>
      </c>
      <c r="O21" s="35">
        <f t="shared" si="7"/>
        <v>1430.76530602079</v>
      </c>
      <c r="P21" s="35">
        <f t="shared" si="8"/>
        <v>1934.0260203065</v>
      </c>
      <c r="Q21" s="35">
        <f t="shared" si="9"/>
        <v>4795.55663234808</v>
      </c>
    </row>
    <row r="22" spans="2:17">
      <c r="B22" s="34" t="s">
        <v>148</v>
      </c>
      <c r="C22" s="34" t="s">
        <v>149</v>
      </c>
      <c r="D22" s="35">
        <v>29307.2</v>
      </c>
      <c r="E22" s="36">
        <f t="shared" si="1"/>
        <v>0.0112462145580617</v>
      </c>
      <c r="F22" s="36">
        <f t="shared" si="10"/>
        <v>0.747328037230034</v>
      </c>
      <c r="G22" s="34" t="str">
        <f t="shared" si="2"/>
        <v>A</v>
      </c>
      <c r="H22" s="35">
        <f t="shared" si="3"/>
        <v>111.012121212121</v>
      </c>
      <c r="I22" s="35">
        <f t="shared" si="4"/>
        <v>2442.26666666667</v>
      </c>
      <c r="J22" s="35">
        <f>AVERAGEIF(tSaida[Produto],B22,tSaida[Saída / Demanda])</f>
        <v>681.562790697674</v>
      </c>
      <c r="K22" s="35" cm="1">
        <f t="array" ref="K22">_xlfn.STDEV.S(IF(tSaida[Produto]=Consolidação!B22,tSaida[Saída / Demanda]))</f>
        <v>579.042094457675</v>
      </c>
      <c r="L22" s="36">
        <f t="shared" si="5"/>
        <v>0.849579968802207</v>
      </c>
      <c r="M22" s="35">
        <f t="shared" si="11"/>
        <v>3</v>
      </c>
      <c r="N22" s="36">
        <f t="shared" si="0"/>
        <v>0.99</v>
      </c>
      <c r="O22" s="35">
        <f t="shared" si="7"/>
        <v>2820.92781969998</v>
      </c>
      <c r="P22" s="35">
        <f t="shared" si="8"/>
        <v>4865.616191793</v>
      </c>
      <c r="Q22" s="35">
        <f t="shared" si="9"/>
        <v>10507.471831193</v>
      </c>
    </row>
    <row r="23" spans="2:17">
      <c r="B23" s="34" t="s">
        <v>10</v>
      </c>
      <c r="C23" s="34" t="s">
        <v>11</v>
      </c>
      <c r="D23" s="35">
        <v>29205.15</v>
      </c>
      <c r="E23" s="36">
        <f t="shared" si="1"/>
        <v>0.0112070543450202</v>
      </c>
      <c r="F23" s="36">
        <f t="shared" si="10"/>
        <v>0.758535091575055</v>
      </c>
      <c r="G23" s="34" t="str">
        <f t="shared" si="2"/>
        <v>A</v>
      </c>
      <c r="H23" s="35">
        <f t="shared" si="3"/>
        <v>110.625568181818</v>
      </c>
      <c r="I23" s="35">
        <f t="shared" si="4"/>
        <v>2433.7625</v>
      </c>
      <c r="J23" s="35">
        <f>AVERAGEIF(tSaida[Produto],B23,tSaida[Saída / Demanda])</f>
        <v>217.948880597015</v>
      </c>
      <c r="K23" s="35" cm="1">
        <f t="array" ref="K23">_xlfn.STDEV.S(IF(tSaida[Produto]=Consolidação!B23,tSaida[Saída / Demanda]))</f>
        <v>230.178599377786</v>
      </c>
      <c r="L23" s="36">
        <f t="shared" si="5"/>
        <v>1.05611278547186</v>
      </c>
      <c r="M23" s="35">
        <f t="shared" si="11"/>
        <v>3</v>
      </c>
      <c r="N23" s="36">
        <f t="shared" si="0"/>
        <v>0.99</v>
      </c>
      <c r="O23" s="35">
        <f t="shared" si="7"/>
        <v>1057.01290564361</v>
      </c>
      <c r="P23" s="35">
        <f t="shared" si="8"/>
        <v>1710.85954743466</v>
      </c>
      <c r="Q23" s="35">
        <f t="shared" si="9"/>
        <v>3824.88535872188</v>
      </c>
    </row>
    <row r="24" spans="2:17">
      <c r="B24" s="34" t="s">
        <v>156</v>
      </c>
      <c r="C24" s="34" t="s">
        <v>157</v>
      </c>
      <c r="D24" s="35">
        <v>27326.4</v>
      </c>
      <c r="E24" s="36">
        <f t="shared" si="1"/>
        <v>0.0104861111774382</v>
      </c>
      <c r="F24" s="36">
        <f t="shared" si="10"/>
        <v>0.769021202752493</v>
      </c>
      <c r="G24" s="34" t="str">
        <f t="shared" si="2"/>
        <v>A</v>
      </c>
      <c r="H24" s="35">
        <f t="shared" si="3"/>
        <v>103.509090909091</v>
      </c>
      <c r="I24" s="35">
        <f t="shared" si="4"/>
        <v>2277.2</v>
      </c>
      <c r="J24" s="35">
        <f>AVERAGEIF(tSaida[Produto],B24,tSaida[Saída / Demanda])</f>
        <v>213.4875</v>
      </c>
      <c r="K24" s="35" cm="1">
        <f t="array" ref="K24">_xlfn.STDEV.S(IF(tSaida[Produto]=Consolidação!B24,tSaida[Saída / Demanda]))</f>
        <v>373.303546665118</v>
      </c>
      <c r="L24" s="36">
        <f t="shared" si="5"/>
        <v>1.74859674062939</v>
      </c>
      <c r="M24" s="35">
        <f t="shared" si="11"/>
        <v>3</v>
      </c>
      <c r="N24" s="36">
        <f t="shared" si="0"/>
        <v>0.99</v>
      </c>
      <c r="O24" s="35">
        <f t="shared" si="7"/>
        <v>1584.04224032641</v>
      </c>
      <c r="P24" s="35">
        <f t="shared" si="8"/>
        <v>2224.50474032641</v>
      </c>
      <c r="Q24" s="35">
        <f t="shared" si="9"/>
        <v>5392.58922097923</v>
      </c>
    </row>
    <row r="25" spans="2:17">
      <c r="B25" s="34" t="s">
        <v>66</v>
      </c>
      <c r="C25" s="34" t="s">
        <v>67</v>
      </c>
      <c r="D25" s="35">
        <v>24071.19</v>
      </c>
      <c r="E25" s="36">
        <f t="shared" si="1"/>
        <v>0.00923697137249103</v>
      </c>
      <c r="F25" s="36">
        <f t="shared" si="10"/>
        <v>0.778258174124984</v>
      </c>
      <c r="G25" s="34" t="str">
        <f t="shared" si="2"/>
        <v>A</v>
      </c>
      <c r="H25" s="35">
        <f t="shared" si="3"/>
        <v>91.17875</v>
      </c>
      <c r="I25" s="35">
        <f t="shared" si="4"/>
        <v>2005.9325</v>
      </c>
      <c r="J25" s="35">
        <f>AVERAGEIF(tSaida[Produto],B25,tSaida[Saída / Demanda])</f>
        <v>312.612857142857</v>
      </c>
      <c r="K25" s="35" cm="1">
        <f t="array" ref="K25">_xlfn.STDEV.S(IF(tSaida[Produto]=Consolidação!B25,tSaida[Saída / Demanda]))</f>
        <v>381.153517306199</v>
      </c>
      <c r="L25" s="36">
        <f t="shared" si="5"/>
        <v>1.21925093161482</v>
      </c>
      <c r="M25" s="35">
        <f t="shared" si="11"/>
        <v>3</v>
      </c>
      <c r="N25" s="36">
        <f t="shared" si="0"/>
        <v>0.99</v>
      </c>
      <c r="O25" s="35">
        <f t="shared" si="7"/>
        <v>1699.28654874013</v>
      </c>
      <c r="P25" s="35">
        <f t="shared" si="8"/>
        <v>2637.1251201687</v>
      </c>
      <c r="Q25" s="35">
        <f t="shared" si="9"/>
        <v>6035.69821764896</v>
      </c>
    </row>
    <row r="26" spans="2:17">
      <c r="B26" s="34" t="s">
        <v>76</v>
      </c>
      <c r="C26" s="34" t="s">
        <v>77</v>
      </c>
      <c r="D26" s="35">
        <v>23456.45</v>
      </c>
      <c r="E26" s="36">
        <f t="shared" si="1"/>
        <v>0.00900107377949604</v>
      </c>
      <c r="F26" s="36">
        <f t="shared" si="10"/>
        <v>0.78725924790448</v>
      </c>
      <c r="G26" s="34" t="str">
        <f t="shared" si="2"/>
        <v>A</v>
      </c>
      <c r="H26" s="35">
        <f t="shared" si="3"/>
        <v>88.8501893939394</v>
      </c>
      <c r="I26" s="35">
        <f t="shared" si="4"/>
        <v>1954.70416666667</v>
      </c>
      <c r="J26" s="35">
        <f>AVERAGEIF(tSaida[Produto],B26,tSaida[Saída / Demanda])</f>
        <v>257.763186813187</v>
      </c>
      <c r="K26" s="35" cm="1">
        <f t="array" ref="K26">_xlfn.STDEV.S(IF(tSaida[Produto]=Consolidação!B26,tSaida[Saída / Demanda]))</f>
        <v>242.480713876287</v>
      </c>
      <c r="L26" s="36">
        <f t="shared" si="5"/>
        <v>0.940711188723873</v>
      </c>
      <c r="M26" s="35">
        <f t="shared" ref="M26:M35" si="12">$M$3</f>
        <v>3</v>
      </c>
      <c r="N26" s="36">
        <f t="shared" si="0"/>
        <v>0.99</v>
      </c>
      <c r="O26" s="35">
        <f t="shared" si="7"/>
        <v>1146.37870119329</v>
      </c>
      <c r="P26" s="35">
        <f t="shared" si="8"/>
        <v>1919.66826163285</v>
      </c>
      <c r="Q26" s="35">
        <f t="shared" si="9"/>
        <v>4212.42566401943</v>
      </c>
    </row>
    <row r="27" spans="2:17">
      <c r="B27" s="34" t="s">
        <v>68</v>
      </c>
      <c r="C27" s="34" t="s">
        <v>69</v>
      </c>
      <c r="D27" s="35">
        <v>22972.3</v>
      </c>
      <c r="E27" s="36">
        <f t="shared" si="1"/>
        <v>0.00881528821218542</v>
      </c>
      <c r="F27" s="36">
        <f t="shared" si="10"/>
        <v>0.796074536116665</v>
      </c>
      <c r="G27" s="34" t="str">
        <f t="shared" si="2"/>
        <v>A</v>
      </c>
      <c r="H27" s="35">
        <f t="shared" si="3"/>
        <v>87.0162878787879</v>
      </c>
      <c r="I27" s="35">
        <f t="shared" si="4"/>
        <v>1914.35833333333</v>
      </c>
      <c r="J27" s="35">
        <f>AVERAGEIF(tSaida[Produto],B27,tSaida[Saída / Demanda])</f>
        <v>364.639682539682</v>
      </c>
      <c r="K27" s="35" cm="1">
        <f t="array" ref="K27">_xlfn.STDEV.S(IF(tSaida[Produto]=Consolidação!B27,tSaida[Saída / Demanda]))</f>
        <v>534.05648714758</v>
      </c>
      <c r="L27" s="36">
        <f t="shared" si="5"/>
        <v>1.46461428286665</v>
      </c>
      <c r="M27" s="35">
        <f t="shared" si="12"/>
        <v>3</v>
      </c>
      <c r="N27" s="36">
        <f t="shared" si="0"/>
        <v>0.99</v>
      </c>
      <c r="O27" s="35">
        <f t="shared" si="7"/>
        <v>2313.06265930017</v>
      </c>
      <c r="P27" s="35">
        <f t="shared" si="8"/>
        <v>3406.98170691922</v>
      </c>
      <c r="Q27" s="35">
        <f t="shared" si="9"/>
        <v>8033.10702551955</v>
      </c>
    </row>
    <row r="28" spans="2:17">
      <c r="B28" s="34" t="s">
        <v>90</v>
      </c>
      <c r="C28" s="34" t="s">
        <v>91</v>
      </c>
      <c r="D28" s="35">
        <v>22347.9</v>
      </c>
      <c r="E28" s="36">
        <f t="shared" si="1"/>
        <v>0.00857568373376191</v>
      </c>
      <c r="F28" s="36">
        <f t="shared" si="10"/>
        <v>0.804650219850427</v>
      </c>
      <c r="G28" s="34" t="str">
        <f t="shared" si="2"/>
        <v>B</v>
      </c>
      <c r="H28" s="35">
        <f t="shared" si="3"/>
        <v>84.6511363636364</v>
      </c>
      <c r="I28" s="35">
        <f t="shared" si="4"/>
        <v>1862.325</v>
      </c>
      <c r="J28" s="35">
        <f>AVERAGEIF(tSaida[Produto],B28,tSaida[Saída / Demanda])</f>
        <v>770.61724137931</v>
      </c>
      <c r="K28" s="35" cm="1">
        <f t="array" ref="K28">_xlfn.STDEV.S(IF(tSaida[Produto]=Consolidação!B28,tSaida[Saída / Demanda]))</f>
        <v>1493.90060533514</v>
      </c>
      <c r="L28" s="36">
        <f t="shared" si="5"/>
        <v>1.93857666960739</v>
      </c>
      <c r="M28" s="35">
        <f t="shared" si="12"/>
        <v>3</v>
      </c>
      <c r="N28" s="36">
        <f t="shared" si="0"/>
        <v>0.99</v>
      </c>
      <c r="O28" s="35">
        <f t="shared" si="7"/>
        <v>6280.73773174261</v>
      </c>
      <c r="P28" s="35">
        <f t="shared" si="8"/>
        <v>8592.58945588054</v>
      </c>
      <c r="Q28" s="35">
        <f t="shared" si="9"/>
        <v>21154.0649193658</v>
      </c>
    </row>
    <row r="29" spans="2:17">
      <c r="B29" s="34" t="s">
        <v>150</v>
      </c>
      <c r="C29" s="34" t="s">
        <v>151</v>
      </c>
      <c r="D29" s="35">
        <v>20017</v>
      </c>
      <c r="E29" s="36">
        <f t="shared" si="1"/>
        <v>0.00768123453652075</v>
      </c>
      <c r="F29" s="36">
        <f t="shared" si="10"/>
        <v>0.812331454386948</v>
      </c>
      <c r="G29" s="34" t="str">
        <f t="shared" si="2"/>
        <v>B</v>
      </c>
      <c r="H29" s="35">
        <f t="shared" si="3"/>
        <v>75.8219696969697</v>
      </c>
      <c r="I29" s="35">
        <f t="shared" si="4"/>
        <v>1668.08333333333</v>
      </c>
      <c r="J29" s="35">
        <f>AVERAGEIF(tSaida[Produto],B29,tSaida[Saída / Demanda])</f>
        <v>333.616666666667</v>
      </c>
      <c r="K29" s="35" cm="1">
        <f t="array" ref="K29">_xlfn.STDEV.S(IF(tSaida[Produto]=Consolidação!B29,tSaida[Saída / Demanda]))</f>
        <v>371.481176801078</v>
      </c>
      <c r="L29" s="36">
        <f t="shared" si="5"/>
        <v>1.11349705790402</v>
      </c>
      <c r="M29" s="35">
        <f t="shared" si="12"/>
        <v>3</v>
      </c>
      <c r="N29" s="36">
        <f t="shared" si="0"/>
        <v>0.99</v>
      </c>
      <c r="O29" s="35">
        <f t="shared" si="7"/>
        <v>1686.07247934092</v>
      </c>
      <c r="P29" s="35">
        <f t="shared" si="8"/>
        <v>2686.92247934092</v>
      </c>
      <c r="Q29" s="35">
        <f t="shared" si="9"/>
        <v>6059.06743802276</v>
      </c>
    </row>
    <row r="30" spans="2:17">
      <c r="B30" s="34" t="s">
        <v>114</v>
      </c>
      <c r="C30" s="34" t="s">
        <v>115</v>
      </c>
      <c r="D30" s="35">
        <v>19098.8</v>
      </c>
      <c r="E30" s="36">
        <f t="shared" si="1"/>
        <v>0.00732888855303504</v>
      </c>
      <c r="F30" s="36">
        <f t="shared" si="10"/>
        <v>0.819660342939983</v>
      </c>
      <c r="G30" s="34" t="str">
        <f t="shared" si="2"/>
        <v>B</v>
      </c>
      <c r="H30" s="35">
        <f t="shared" si="3"/>
        <v>72.3439393939394</v>
      </c>
      <c r="I30" s="35">
        <f t="shared" si="4"/>
        <v>1591.56666666667</v>
      </c>
      <c r="J30" s="35">
        <f>AVERAGEIF(tSaida[Produto],B30,tSaida[Saída / Demanda])</f>
        <v>258.091891891892</v>
      </c>
      <c r="K30" s="35" cm="1">
        <f t="array" ref="K30">_xlfn.STDEV.S(IF(tSaida[Produto]=Consolidação!B30,tSaida[Saída / Demanda]))</f>
        <v>253.546435052593</v>
      </c>
      <c r="L30" s="36">
        <f t="shared" si="5"/>
        <v>0.982388223024057</v>
      </c>
      <c r="M30" s="35">
        <f t="shared" si="12"/>
        <v>3</v>
      </c>
      <c r="N30" s="36">
        <f t="shared" si="0"/>
        <v>0.99</v>
      </c>
      <c r="O30" s="35">
        <f t="shared" si="7"/>
        <v>1184.99696270286</v>
      </c>
      <c r="P30" s="35">
        <f t="shared" si="8"/>
        <v>1959.27263837853</v>
      </c>
      <c r="Q30" s="35">
        <f t="shared" si="9"/>
        <v>4329.26656378424</v>
      </c>
    </row>
    <row r="31" spans="2:17">
      <c r="B31" s="34" t="s">
        <v>144</v>
      </c>
      <c r="C31" s="34" t="s">
        <v>145</v>
      </c>
      <c r="D31" s="35">
        <v>18759.2</v>
      </c>
      <c r="E31" s="36">
        <f t="shared" si="1"/>
        <v>0.00719857195970925</v>
      </c>
      <c r="F31" s="36">
        <f t="shared" si="10"/>
        <v>0.826858914899692</v>
      </c>
      <c r="G31" s="34" t="str">
        <f t="shared" si="2"/>
        <v>B</v>
      </c>
      <c r="H31" s="35">
        <f t="shared" si="3"/>
        <v>71.0575757575758</v>
      </c>
      <c r="I31" s="35">
        <f t="shared" si="4"/>
        <v>1563.26666666667</v>
      </c>
      <c r="J31" s="35">
        <f>AVERAGEIF(tSaida[Produto],B31,tSaida[Saída / Demanda])</f>
        <v>382.840816326531</v>
      </c>
      <c r="K31" s="35" cm="1">
        <f t="array" ref="K31">_xlfn.STDEV.S(IF(tSaida[Produto]=Consolidação!B31,tSaida[Saída / Demanda]))</f>
        <v>379.993936310375</v>
      </c>
      <c r="L31" s="36">
        <f t="shared" si="5"/>
        <v>0.992563802252141</v>
      </c>
      <c r="M31" s="35">
        <f t="shared" si="12"/>
        <v>3</v>
      </c>
      <c r="N31" s="36">
        <f t="shared" si="0"/>
        <v>0.99</v>
      </c>
      <c r="O31" s="35">
        <f t="shared" si="7"/>
        <v>1771.31687430018</v>
      </c>
      <c r="P31" s="35">
        <f t="shared" si="8"/>
        <v>2919.83932327977</v>
      </c>
      <c r="Q31" s="35">
        <f t="shared" si="9"/>
        <v>6462.47307188013</v>
      </c>
    </row>
    <row r="32" spans="2:17">
      <c r="B32" s="34" t="s">
        <v>198</v>
      </c>
      <c r="C32" s="34" t="s">
        <v>199</v>
      </c>
      <c r="D32" s="35">
        <v>18364.5</v>
      </c>
      <c r="E32" s="36">
        <f t="shared" si="1"/>
        <v>0.0070471115374899</v>
      </c>
      <c r="F32" s="36">
        <f t="shared" si="10"/>
        <v>0.833906026437182</v>
      </c>
      <c r="G32" s="34" t="str">
        <f t="shared" si="2"/>
        <v>B</v>
      </c>
      <c r="H32" s="35">
        <f t="shared" si="3"/>
        <v>69.5625</v>
      </c>
      <c r="I32" s="35">
        <f t="shared" si="4"/>
        <v>1530.375</v>
      </c>
      <c r="J32" s="35">
        <f>AVERAGEIF(tSaida[Produto],B32,tSaida[Saída / Demanda])</f>
        <v>399.228260869565</v>
      </c>
      <c r="K32" s="35" cm="1">
        <f t="array" ref="K32">_xlfn.STDEV.S(IF(tSaida[Produto]=Consolidação!B32,tSaida[Saída / Demanda]))</f>
        <v>459.03013924919</v>
      </c>
      <c r="L32" s="36">
        <f t="shared" si="5"/>
        <v>1.14979370009871</v>
      </c>
      <c r="M32" s="35">
        <f t="shared" si="12"/>
        <v>3</v>
      </c>
      <c r="N32" s="36">
        <f t="shared" si="0"/>
        <v>0.99</v>
      </c>
      <c r="O32" s="35">
        <f t="shared" si="7"/>
        <v>2069.67733920108</v>
      </c>
      <c r="P32" s="35">
        <f t="shared" si="8"/>
        <v>3267.36212180978</v>
      </c>
      <c r="Q32" s="35">
        <f t="shared" si="9"/>
        <v>7406.71680021195</v>
      </c>
    </row>
    <row r="33" spans="2:17">
      <c r="B33" s="34" t="s">
        <v>132</v>
      </c>
      <c r="C33" s="34" t="s">
        <v>133</v>
      </c>
      <c r="D33" s="35">
        <v>18057.96</v>
      </c>
      <c r="E33" s="36">
        <f t="shared" si="1"/>
        <v>0.00692948124150024</v>
      </c>
      <c r="F33" s="36">
        <f t="shared" si="10"/>
        <v>0.840835507678683</v>
      </c>
      <c r="G33" s="34" t="str">
        <f t="shared" si="2"/>
        <v>B</v>
      </c>
      <c r="H33" s="35">
        <f t="shared" si="3"/>
        <v>68.4013636363636</v>
      </c>
      <c r="I33" s="35">
        <f t="shared" si="4"/>
        <v>1504.83</v>
      </c>
      <c r="J33" s="35">
        <f>AVERAGEIF(tSaida[Produto],B33,tSaida[Saída / Demanda])</f>
        <v>440.438048780488</v>
      </c>
      <c r="K33" s="35" cm="1">
        <f t="array" ref="K33">_xlfn.STDEV.S(IF(tSaida[Produto]=Consolidação!B33,tSaida[Saída / Demanda]))</f>
        <v>1074.00419075351</v>
      </c>
      <c r="L33" s="36">
        <f t="shared" si="5"/>
        <v>2.43849093811781</v>
      </c>
      <c r="M33" s="35">
        <f t="shared" si="12"/>
        <v>3</v>
      </c>
      <c r="N33" s="36">
        <f t="shared" si="0"/>
        <v>0.99</v>
      </c>
      <c r="O33" s="35">
        <f t="shared" si="7"/>
        <v>4447.18418385763</v>
      </c>
      <c r="P33" s="35">
        <f t="shared" si="8"/>
        <v>5768.49833019909</v>
      </c>
      <c r="Q33" s="35">
        <f t="shared" si="9"/>
        <v>14662.8666979143</v>
      </c>
    </row>
    <row r="34" spans="2:17">
      <c r="B34" s="34" t="s">
        <v>140</v>
      </c>
      <c r="C34" s="34" t="s">
        <v>141</v>
      </c>
      <c r="D34" s="35">
        <v>15497.6</v>
      </c>
      <c r="E34" s="36">
        <f t="shared" si="1"/>
        <v>0.0059469800845873</v>
      </c>
      <c r="F34" s="36">
        <f t="shared" si="10"/>
        <v>0.84678248776327</v>
      </c>
      <c r="G34" s="34" t="str">
        <f t="shared" si="2"/>
        <v>B</v>
      </c>
      <c r="H34" s="35">
        <f t="shared" si="3"/>
        <v>58.7030303030303</v>
      </c>
      <c r="I34" s="35">
        <f t="shared" si="4"/>
        <v>1291.46666666667</v>
      </c>
      <c r="J34" s="35">
        <f>AVERAGEIF(tSaida[Produto],B34,tSaida[Saída / Demanda])</f>
        <v>377.990243902439</v>
      </c>
      <c r="K34" s="35" cm="1">
        <f t="array" ref="K34">_xlfn.STDEV.S(IF(tSaida[Produto]=Consolidação!B34,tSaida[Saída / Demanda]))</f>
        <v>379.525477277137</v>
      </c>
      <c r="L34" s="36">
        <f t="shared" si="5"/>
        <v>1.00406156878243</v>
      </c>
      <c r="M34" s="35">
        <f t="shared" si="12"/>
        <v>3</v>
      </c>
      <c r="N34" s="36">
        <f t="shared" si="0"/>
        <v>0.99</v>
      </c>
      <c r="O34" s="35">
        <f t="shared" si="7"/>
        <v>1764.03354255021</v>
      </c>
      <c r="P34" s="35">
        <f t="shared" si="8"/>
        <v>2898.00427425752</v>
      </c>
      <c r="Q34" s="35">
        <f t="shared" si="9"/>
        <v>6426.07135935794</v>
      </c>
    </row>
    <row r="35" spans="2:17">
      <c r="B35" s="34" t="s">
        <v>72</v>
      </c>
      <c r="C35" s="34" t="s">
        <v>73</v>
      </c>
      <c r="D35" s="35">
        <v>14014.79</v>
      </c>
      <c r="E35" s="36">
        <f t="shared" si="1"/>
        <v>0.00537797317130867</v>
      </c>
      <c r="F35" s="36">
        <f t="shared" si="10"/>
        <v>0.852160460934579</v>
      </c>
      <c r="G35" s="34" t="str">
        <f t="shared" si="2"/>
        <v>B</v>
      </c>
      <c r="H35" s="35">
        <f t="shared" si="3"/>
        <v>53.0863257575758</v>
      </c>
      <c r="I35" s="35">
        <f t="shared" si="4"/>
        <v>1167.89916666667</v>
      </c>
      <c r="J35" s="35">
        <f>AVERAGEIF(tSaida[Produto],B35,tSaida[Saída / Demanda])</f>
        <v>237.538813559322</v>
      </c>
      <c r="K35" s="35" cm="1">
        <f t="array" ref="K35">_xlfn.STDEV.S(IF(tSaida[Produto]=Consolidação!B35,tSaida[Saída / Demanda]))</f>
        <v>229.529692738365</v>
      </c>
      <c r="L35" s="36">
        <f t="shared" si="5"/>
        <v>0.966282896251996</v>
      </c>
      <c r="M35" s="35">
        <f t="shared" si="12"/>
        <v>3</v>
      </c>
      <c r="N35" s="36">
        <f t="shared" si="0"/>
        <v>0.99</v>
      </c>
      <c r="O35" s="35">
        <f t="shared" si="7"/>
        <v>1077.36866594109</v>
      </c>
      <c r="P35" s="35">
        <f t="shared" si="8"/>
        <v>1789.98510661905</v>
      </c>
      <c r="Q35" s="35">
        <f t="shared" si="9"/>
        <v>3944.72243850122</v>
      </c>
    </row>
    <row r="36" spans="2:17">
      <c r="B36" s="34" t="s">
        <v>84</v>
      </c>
      <c r="C36" s="34" t="s">
        <v>85</v>
      </c>
      <c r="D36" s="35">
        <v>13847.25</v>
      </c>
      <c r="E36" s="36">
        <f t="shared" si="1"/>
        <v>0.0053136821169924</v>
      </c>
      <c r="F36" s="36">
        <f t="shared" si="10"/>
        <v>0.857474143051571</v>
      </c>
      <c r="G36" s="34" t="str">
        <f t="shared" si="2"/>
        <v>B</v>
      </c>
      <c r="H36" s="35">
        <f t="shared" si="3"/>
        <v>52.4517045454545</v>
      </c>
      <c r="I36" s="35">
        <f t="shared" si="4"/>
        <v>1153.9375</v>
      </c>
      <c r="J36" s="35">
        <f>AVERAGEIF(tSaida[Produto],B36,tSaida[Saída / Demanda])</f>
        <v>384.645833333333</v>
      </c>
      <c r="K36" s="35" cm="1">
        <f t="array" ref="K36">_xlfn.STDEV.S(IF(tSaida[Produto]=Consolidação!B36,tSaida[Saída / Demanda]))</f>
        <v>724.652245403171</v>
      </c>
      <c r="L36" s="36">
        <f t="shared" si="5"/>
        <v>1.88394669226844</v>
      </c>
      <c r="M36" s="35">
        <f t="shared" ref="M36:M45" si="13">$M$3</f>
        <v>3</v>
      </c>
      <c r="N36" s="36">
        <f t="shared" si="0"/>
        <v>0.99</v>
      </c>
      <c r="O36" s="35">
        <f t="shared" si="7"/>
        <v>3053.91537341808</v>
      </c>
      <c r="P36" s="35">
        <f t="shared" si="8"/>
        <v>4207.85287341808</v>
      </c>
      <c r="Q36" s="35">
        <f t="shared" si="9"/>
        <v>10315.6836202542</v>
      </c>
    </row>
    <row r="37" spans="2:17">
      <c r="B37" s="34" t="s">
        <v>110</v>
      </c>
      <c r="C37" s="34" t="s">
        <v>111</v>
      </c>
      <c r="D37" s="35">
        <v>13678.5</v>
      </c>
      <c r="E37" s="36">
        <f t="shared" si="1"/>
        <v>0.00524892674265869</v>
      </c>
      <c r="F37" s="36">
        <f t="shared" si="10"/>
        <v>0.86272306979423</v>
      </c>
      <c r="G37" s="34" t="str">
        <f t="shared" si="2"/>
        <v>B</v>
      </c>
      <c r="H37" s="35">
        <f t="shared" si="3"/>
        <v>51.8125</v>
      </c>
      <c r="I37" s="35">
        <f t="shared" si="4"/>
        <v>1139.875</v>
      </c>
      <c r="J37" s="35">
        <f>AVERAGEIF(tSaida[Produto],B37,tSaida[Saída / Demanda])</f>
        <v>427.453125</v>
      </c>
      <c r="K37" s="35" cm="1">
        <f t="array" ref="K37">_xlfn.STDEV.S(IF(tSaida[Produto]=Consolidação!B37,tSaida[Saída / Demanda]))</f>
        <v>491.552434760476</v>
      </c>
      <c r="L37" s="36">
        <f t="shared" si="5"/>
        <v>1.14995634845452</v>
      </c>
      <c r="M37" s="35">
        <f t="shared" si="13"/>
        <v>3</v>
      </c>
      <c r="N37" s="36">
        <f t="shared" ref="N37:N68" si="14">$N$3</f>
        <v>0.99</v>
      </c>
      <c r="O37" s="35">
        <f t="shared" si="7"/>
        <v>2216.25090520102</v>
      </c>
      <c r="P37" s="35">
        <f t="shared" si="8"/>
        <v>3498.61028020102</v>
      </c>
      <c r="Q37" s="35">
        <f t="shared" si="9"/>
        <v>7931.11209060306</v>
      </c>
    </row>
    <row r="38" spans="2:17">
      <c r="B38" s="34" t="s">
        <v>162</v>
      </c>
      <c r="C38" s="34" t="s">
        <v>163</v>
      </c>
      <c r="D38" s="35">
        <v>13372.4</v>
      </c>
      <c r="E38" s="36">
        <f t="shared" ref="E38:E69" si="15">D38/$C$2</f>
        <v>0.00513146529031174</v>
      </c>
      <c r="F38" s="36">
        <f t="shared" si="10"/>
        <v>0.867854535084541</v>
      </c>
      <c r="G38" s="34" t="str">
        <f t="shared" ref="G38:G69" si="16">IF(F38&lt;0.8,"A",IF(F38&gt;=0.95,"C","B"))</f>
        <v>B</v>
      </c>
      <c r="H38" s="35">
        <f t="shared" ref="H38:H69" si="17">D38/12/22</f>
        <v>50.6530303030303</v>
      </c>
      <c r="I38" s="35">
        <f t="shared" si="4"/>
        <v>1114.36666666667</v>
      </c>
      <c r="J38" s="35">
        <f>AVERAGEIF(tSaida[Produto],B38,tSaida[Saída / Demanda])</f>
        <v>405.224242424242</v>
      </c>
      <c r="K38" s="35" cm="1">
        <f t="array" ref="K38">_xlfn.STDEV.S(IF(tSaida[Produto]=Consolidação!B38,tSaida[Saída / Demanda]))</f>
        <v>345.91355046303</v>
      </c>
      <c r="L38" s="36">
        <f t="shared" ref="L38:L69" si="18">K38/J38</f>
        <v>0.853634887176573</v>
      </c>
      <c r="M38" s="35">
        <f t="shared" si="13"/>
        <v>3</v>
      </c>
      <c r="N38" s="36">
        <f t="shared" si="14"/>
        <v>0.99</v>
      </c>
      <c r="O38" s="35">
        <f t="shared" si="7"/>
        <v>1682.66727753948</v>
      </c>
      <c r="P38" s="35">
        <f t="shared" si="8"/>
        <v>2898.34000481221</v>
      </c>
      <c r="Q38" s="35">
        <f t="shared" ref="Q38:Q69" si="19">IFERROR((J38+O38)*M38,"")</f>
        <v>6263.67455989118</v>
      </c>
    </row>
    <row r="39" spans="2:17">
      <c r="B39" s="34" t="s">
        <v>4</v>
      </c>
      <c r="C39" s="34" t="s">
        <v>5</v>
      </c>
      <c r="D39" s="35">
        <v>12803.7</v>
      </c>
      <c r="E39" s="36">
        <f t="shared" si="15"/>
        <v>0.00491323488211274</v>
      </c>
      <c r="F39" s="36">
        <f t="shared" ref="F39:F70" si="20">E39+F38</f>
        <v>0.872767769966654</v>
      </c>
      <c r="G39" s="34" t="str">
        <f t="shared" si="16"/>
        <v>B</v>
      </c>
      <c r="H39" s="35">
        <f t="shared" si="17"/>
        <v>48.4988636363636</v>
      </c>
      <c r="I39" s="35">
        <f t="shared" si="4"/>
        <v>1066.975</v>
      </c>
      <c r="J39" s="35">
        <f>AVERAGEIF(tSaida[Produto],B39,tSaida[Saída / Demanda])</f>
        <v>103.25564516129</v>
      </c>
      <c r="K39" s="35" cm="1">
        <f t="array" ref="K39">_xlfn.STDEV.S(IF(tSaida[Produto]=Consolidação!B39,tSaida[Saída / Demanda]))</f>
        <v>91.5155505044538</v>
      </c>
      <c r="L39" s="36">
        <f t="shared" si="18"/>
        <v>0.886300699216028</v>
      </c>
      <c r="M39" s="35">
        <f t="shared" si="13"/>
        <v>3</v>
      </c>
      <c r="N39" s="36">
        <f t="shared" si="14"/>
        <v>0.99</v>
      </c>
      <c r="O39" s="35">
        <f t="shared" si="7"/>
        <v>440.085848138009</v>
      </c>
      <c r="P39" s="35">
        <f t="shared" si="8"/>
        <v>749.85278362188</v>
      </c>
      <c r="Q39" s="35">
        <f t="shared" si="19"/>
        <v>1630.0244798979</v>
      </c>
    </row>
    <row r="40" spans="2:17">
      <c r="B40" s="34" t="s">
        <v>94</v>
      </c>
      <c r="C40" s="34" t="s">
        <v>95</v>
      </c>
      <c r="D40" s="35">
        <v>12334.59</v>
      </c>
      <c r="E40" s="36">
        <f t="shared" si="15"/>
        <v>0.0047332206974983</v>
      </c>
      <c r="F40" s="36">
        <f t="shared" si="20"/>
        <v>0.877500990664152</v>
      </c>
      <c r="G40" s="34" t="str">
        <f t="shared" si="16"/>
        <v>B</v>
      </c>
      <c r="H40" s="35">
        <f t="shared" si="17"/>
        <v>46.7219318181818</v>
      </c>
      <c r="I40" s="35">
        <f t="shared" si="4"/>
        <v>1027.8825</v>
      </c>
      <c r="J40" s="35">
        <f>AVERAGEIF(tSaida[Produto],B40,tSaida[Saída / Demanda])</f>
        <v>587.361428571429</v>
      </c>
      <c r="K40" s="35" cm="1">
        <f t="array" ref="K40">_xlfn.STDEV.S(IF(tSaida[Produto]=Consolidação!B40,tSaida[Saída / Demanda]))</f>
        <v>541.358143416036</v>
      </c>
      <c r="L40" s="36">
        <f t="shared" si="18"/>
        <v>0.921678062403108</v>
      </c>
      <c r="M40" s="35">
        <f t="shared" si="13"/>
        <v>3</v>
      </c>
      <c r="N40" s="36">
        <f t="shared" si="14"/>
        <v>0.99</v>
      </c>
      <c r="O40" s="35">
        <f t="shared" si="7"/>
        <v>2573.9537159607</v>
      </c>
      <c r="P40" s="35">
        <f t="shared" si="8"/>
        <v>4336.03800167498</v>
      </c>
      <c r="Q40" s="35">
        <f t="shared" si="19"/>
        <v>9483.94543359638</v>
      </c>
    </row>
    <row r="41" spans="2:17">
      <c r="B41" s="34" t="s">
        <v>42</v>
      </c>
      <c r="C41" s="34" t="s">
        <v>43</v>
      </c>
      <c r="D41" s="35">
        <v>12063.7</v>
      </c>
      <c r="E41" s="36">
        <f t="shared" si="15"/>
        <v>0.00462927057392343</v>
      </c>
      <c r="F41" s="36">
        <f t="shared" si="20"/>
        <v>0.882130261238076</v>
      </c>
      <c r="G41" s="34" t="str">
        <f t="shared" si="16"/>
        <v>B</v>
      </c>
      <c r="H41" s="35">
        <f t="shared" si="17"/>
        <v>45.6958333333333</v>
      </c>
      <c r="I41" s="35">
        <f t="shared" si="4"/>
        <v>1005.30833333333</v>
      </c>
      <c r="J41" s="35">
        <f>AVERAGEIF(tSaida[Produto],B41,tSaida[Saída / Demanda])</f>
        <v>207.994827586207</v>
      </c>
      <c r="K41" s="35" cm="1">
        <f t="array" ref="K41">_xlfn.STDEV.S(IF(tSaida[Produto]=Consolidação!B41,tSaida[Saída / Demanda]))</f>
        <v>301.549245154881</v>
      </c>
      <c r="L41" s="36">
        <f t="shared" si="18"/>
        <v>1.4497920388424</v>
      </c>
      <c r="M41" s="35">
        <f t="shared" si="13"/>
        <v>3</v>
      </c>
      <c r="N41" s="36">
        <f t="shared" si="14"/>
        <v>0.99</v>
      </c>
      <c r="O41" s="35">
        <f t="shared" si="7"/>
        <v>1307.84970571703</v>
      </c>
      <c r="P41" s="35">
        <f t="shared" si="8"/>
        <v>1931.83418847565</v>
      </c>
      <c r="Q41" s="35">
        <f t="shared" si="19"/>
        <v>4547.53359990972</v>
      </c>
    </row>
    <row r="42" spans="2:17">
      <c r="B42" s="34" t="s">
        <v>54</v>
      </c>
      <c r="C42" s="34" t="s">
        <v>55</v>
      </c>
      <c r="D42" s="35">
        <v>11970</v>
      </c>
      <c r="E42" s="36">
        <f t="shared" si="15"/>
        <v>0.00459331455273784</v>
      </c>
      <c r="F42" s="36">
        <f t="shared" si="20"/>
        <v>0.886723575790814</v>
      </c>
      <c r="G42" s="34" t="str">
        <f t="shared" si="16"/>
        <v>B</v>
      </c>
      <c r="H42" s="35">
        <f t="shared" si="17"/>
        <v>45.3409090909091</v>
      </c>
      <c r="I42" s="35">
        <f t="shared" si="4"/>
        <v>997.5</v>
      </c>
      <c r="J42" s="35">
        <f>AVERAGEIF(tSaida[Produto],B42,tSaida[Saída / Demanda])</f>
        <v>427.5</v>
      </c>
      <c r="K42" s="35" cm="1">
        <f t="array" ref="K42">_xlfn.STDEV.S(IF(tSaida[Produto]=Consolidação!B42,tSaida[Saída / Demanda]))</f>
        <v>404.636727796034</v>
      </c>
      <c r="L42" s="36">
        <f t="shared" si="18"/>
        <v>0.94651866151119</v>
      </c>
      <c r="M42" s="35">
        <f t="shared" si="13"/>
        <v>3</v>
      </c>
      <c r="N42" s="36">
        <f t="shared" si="14"/>
        <v>0.99</v>
      </c>
      <c r="O42" s="35">
        <f t="shared" si="7"/>
        <v>1909.80110709443</v>
      </c>
      <c r="P42" s="35">
        <f t="shared" si="8"/>
        <v>3192.30110709443</v>
      </c>
      <c r="Q42" s="35">
        <f t="shared" si="19"/>
        <v>7011.90332128329</v>
      </c>
    </row>
    <row r="43" spans="2:17">
      <c r="B43" s="34" t="s">
        <v>96</v>
      </c>
      <c r="C43" s="34" t="s">
        <v>97</v>
      </c>
      <c r="D43" s="35">
        <v>11622</v>
      </c>
      <c r="E43" s="36">
        <f t="shared" si="15"/>
        <v>0.00445977458077855</v>
      </c>
      <c r="F43" s="36">
        <f t="shared" si="20"/>
        <v>0.891183350371592</v>
      </c>
      <c r="G43" s="34" t="str">
        <f t="shared" si="16"/>
        <v>B</v>
      </c>
      <c r="H43" s="35">
        <f t="shared" si="17"/>
        <v>44.0227272727273</v>
      </c>
      <c r="I43" s="35">
        <f t="shared" si="4"/>
        <v>968.5</v>
      </c>
      <c r="J43" s="35">
        <f>AVERAGEIF(tSaida[Produto],B43,tSaida[Saída / Demanda])</f>
        <v>48.425</v>
      </c>
      <c r="K43" s="35" cm="1">
        <f t="array" ref="K43">_xlfn.STDEV.S(IF(tSaida[Produto]=Consolidação!B43,tSaida[Saída / Demanda]))</f>
        <v>75.0213540032793</v>
      </c>
      <c r="L43" s="36">
        <f t="shared" si="18"/>
        <v>1.54922775432688</v>
      </c>
      <c r="M43" s="35">
        <f t="shared" si="13"/>
        <v>3</v>
      </c>
      <c r="N43" s="36">
        <f t="shared" si="14"/>
        <v>0.99</v>
      </c>
      <c r="O43" s="35">
        <f t="shared" si="7"/>
        <v>322.596525148548</v>
      </c>
      <c r="P43" s="35">
        <f t="shared" si="8"/>
        <v>467.871525148548</v>
      </c>
      <c r="Q43" s="35">
        <f t="shared" si="19"/>
        <v>1113.06457544564</v>
      </c>
    </row>
    <row r="44" spans="2:17">
      <c r="B44" s="34" t="s">
        <v>108</v>
      </c>
      <c r="C44" s="34" t="s">
        <v>109</v>
      </c>
      <c r="D44" s="35">
        <v>11592.1</v>
      </c>
      <c r="E44" s="36">
        <f t="shared" si="15"/>
        <v>0.00444830088778549</v>
      </c>
      <c r="F44" s="36">
        <f t="shared" si="20"/>
        <v>0.895631651259378</v>
      </c>
      <c r="G44" s="34" t="str">
        <f t="shared" si="16"/>
        <v>B</v>
      </c>
      <c r="H44" s="35">
        <f t="shared" si="17"/>
        <v>43.9094696969697</v>
      </c>
      <c r="I44" s="35">
        <f t="shared" si="4"/>
        <v>966.008333333333</v>
      </c>
      <c r="J44" s="35">
        <f>AVERAGEIF(tSaida[Produto],B44,tSaida[Saída / Demanda])</f>
        <v>269.583720930233</v>
      </c>
      <c r="K44" s="35" cm="1">
        <f t="array" ref="K44">_xlfn.STDEV.S(IF(tSaida[Produto]=Consolidação!B44,tSaida[Saída / Demanda]))</f>
        <v>309.001585702691</v>
      </c>
      <c r="L44" s="36">
        <f t="shared" si="18"/>
        <v>1.14621752617867</v>
      </c>
      <c r="M44" s="35">
        <f t="shared" si="13"/>
        <v>3</v>
      </c>
      <c r="N44" s="36">
        <f t="shared" si="14"/>
        <v>0.99</v>
      </c>
      <c r="O44" s="35">
        <f t="shared" si="7"/>
        <v>1394.10425910743</v>
      </c>
      <c r="P44" s="35">
        <f t="shared" si="8"/>
        <v>2202.85542189813</v>
      </c>
      <c r="Q44" s="35">
        <f t="shared" si="19"/>
        <v>4991.063940113</v>
      </c>
    </row>
    <row r="45" spans="2:17">
      <c r="B45" s="34" t="s">
        <v>78</v>
      </c>
      <c r="C45" s="34" t="s">
        <v>79</v>
      </c>
      <c r="D45" s="35">
        <v>10766.8686</v>
      </c>
      <c r="E45" s="36">
        <f t="shared" si="15"/>
        <v>0.00413163026130293</v>
      </c>
      <c r="F45" s="36">
        <f t="shared" si="20"/>
        <v>0.899763281520681</v>
      </c>
      <c r="G45" s="34" t="str">
        <f t="shared" si="16"/>
        <v>B</v>
      </c>
      <c r="H45" s="35">
        <f t="shared" si="17"/>
        <v>40.7835931818182</v>
      </c>
      <c r="I45" s="35">
        <f t="shared" si="4"/>
        <v>897.23905</v>
      </c>
      <c r="J45" s="35">
        <f>AVERAGEIF(tSaida[Produto],B45,tSaida[Saída / Demanda])</f>
        <v>119.631873333333</v>
      </c>
      <c r="K45" s="35" cm="1">
        <f t="array" ref="K45">_xlfn.STDEV.S(IF(tSaida[Produto]=Consolidação!B45,tSaida[Saída / Demanda]))</f>
        <v>253.977772719267</v>
      </c>
      <c r="L45" s="36">
        <f t="shared" si="18"/>
        <v>2.12299419579932</v>
      </c>
      <c r="M45" s="35">
        <f t="shared" si="13"/>
        <v>3</v>
      </c>
      <c r="N45" s="36">
        <f t="shared" si="14"/>
        <v>0.99</v>
      </c>
      <c r="O45" s="35">
        <f t="shared" si="7"/>
        <v>1060.53377927885</v>
      </c>
      <c r="P45" s="35">
        <f t="shared" si="8"/>
        <v>1419.42939927885</v>
      </c>
      <c r="Q45" s="35">
        <f t="shared" si="19"/>
        <v>3540.49695783655</v>
      </c>
    </row>
    <row r="46" spans="2:17">
      <c r="B46" s="34" t="s">
        <v>172</v>
      </c>
      <c r="C46" s="34" t="s">
        <v>173</v>
      </c>
      <c r="D46" s="35">
        <v>10733.8</v>
      </c>
      <c r="E46" s="36">
        <f t="shared" si="15"/>
        <v>0.00411894066384106</v>
      </c>
      <c r="F46" s="36">
        <f t="shared" si="20"/>
        <v>0.903882222184522</v>
      </c>
      <c r="G46" s="34" t="str">
        <f t="shared" si="16"/>
        <v>B</v>
      </c>
      <c r="H46" s="35">
        <f t="shared" si="17"/>
        <v>40.6583333333333</v>
      </c>
      <c r="I46" s="35">
        <f t="shared" si="4"/>
        <v>894.483333333333</v>
      </c>
      <c r="J46" s="35">
        <f>AVERAGEIF(tSaida[Produto],B46,tSaida[Saída / Demanda])</f>
        <v>198.774074074074</v>
      </c>
      <c r="K46" s="35" cm="1">
        <f t="array" ref="K46">_xlfn.STDEV.S(IF(tSaida[Produto]=Consolidação!B46,tSaida[Saída / Demanda]))</f>
        <v>247.530150582186</v>
      </c>
      <c r="L46" s="36">
        <f t="shared" si="18"/>
        <v>1.24528388189067</v>
      </c>
      <c r="M46" s="35">
        <f t="shared" ref="M46:M55" si="21">$M$3</f>
        <v>3</v>
      </c>
      <c r="N46" s="36">
        <f t="shared" si="14"/>
        <v>0.99</v>
      </c>
      <c r="O46" s="35">
        <f t="shared" si="7"/>
        <v>1099.36776268568</v>
      </c>
      <c r="P46" s="35">
        <f t="shared" si="8"/>
        <v>1695.68998490791</v>
      </c>
      <c r="Q46" s="35">
        <f t="shared" si="19"/>
        <v>3894.42551027927</v>
      </c>
    </row>
    <row r="47" spans="2:17">
      <c r="B47" s="34" t="s">
        <v>92</v>
      </c>
      <c r="C47" s="34" t="s">
        <v>93</v>
      </c>
      <c r="D47" s="35">
        <v>10721.75</v>
      </c>
      <c r="E47" s="36">
        <f t="shared" si="15"/>
        <v>0.00411431665044419</v>
      </c>
      <c r="F47" s="36">
        <f t="shared" si="20"/>
        <v>0.907996538834966</v>
      </c>
      <c r="G47" s="34" t="str">
        <f t="shared" si="16"/>
        <v>B</v>
      </c>
      <c r="H47" s="35">
        <f t="shared" si="17"/>
        <v>40.6126893939394</v>
      </c>
      <c r="I47" s="35">
        <f t="shared" si="4"/>
        <v>893.479166666667</v>
      </c>
      <c r="J47" s="35">
        <f>AVERAGEIF(tSaida[Produto],B47,tSaida[Saída / Demanda])</f>
        <v>466.163043478261</v>
      </c>
      <c r="K47" s="35" cm="1">
        <f t="array" ref="K47">_xlfn.STDEV.S(IF(tSaida[Produto]=Consolidação!B47,tSaida[Saída / Demanda]))</f>
        <v>479.649740155486</v>
      </c>
      <c r="L47" s="36">
        <f t="shared" si="18"/>
        <v>1.02893128673735</v>
      </c>
      <c r="M47" s="35">
        <f t="shared" si="21"/>
        <v>3</v>
      </c>
      <c r="N47" s="36">
        <f t="shared" si="14"/>
        <v>0.99</v>
      </c>
      <c r="O47" s="35">
        <f t="shared" si="7"/>
        <v>2216.1435076659</v>
      </c>
      <c r="P47" s="35">
        <f t="shared" si="8"/>
        <v>3614.63263810068</v>
      </c>
      <c r="Q47" s="35">
        <f t="shared" si="19"/>
        <v>8046.91965343248</v>
      </c>
    </row>
    <row r="48" spans="2:17">
      <c r="B48" s="34" t="s">
        <v>126</v>
      </c>
      <c r="C48" s="34" t="s">
        <v>127</v>
      </c>
      <c r="D48" s="35">
        <v>10549.2</v>
      </c>
      <c r="E48" s="36">
        <f t="shared" si="15"/>
        <v>0.00404810308101437</v>
      </c>
      <c r="F48" s="36">
        <f t="shared" si="20"/>
        <v>0.91204464191598</v>
      </c>
      <c r="G48" s="34" t="str">
        <f t="shared" si="16"/>
        <v>B</v>
      </c>
      <c r="H48" s="35">
        <f t="shared" si="17"/>
        <v>39.9590909090909</v>
      </c>
      <c r="I48" s="35">
        <f t="shared" si="4"/>
        <v>879.1</v>
      </c>
      <c r="J48" s="35">
        <f>AVERAGEIF(tSaida[Produto],B48,tSaida[Saída / Demanda])</f>
        <v>340.296774193548</v>
      </c>
      <c r="K48" s="35" cm="1">
        <f t="array" ref="K48">_xlfn.STDEV.S(IF(tSaida[Produto]=Consolidação!B48,tSaida[Saída / Demanda]))</f>
        <v>355.81903966658</v>
      </c>
      <c r="L48" s="36">
        <f t="shared" si="18"/>
        <v>1.04561390718386</v>
      </c>
      <c r="M48" s="35">
        <f t="shared" si="21"/>
        <v>3</v>
      </c>
      <c r="N48" s="36">
        <f t="shared" si="14"/>
        <v>0.99</v>
      </c>
      <c r="O48" s="35">
        <f t="shared" si="7"/>
        <v>1637.76123142562</v>
      </c>
      <c r="P48" s="35">
        <f t="shared" si="8"/>
        <v>2658.65155400626</v>
      </c>
      <c r="Q48" s="35">
        <f t="shared" si="19"/>
        <v>5934.17401685749</v>
      </c>
    </row>
    <row r="49" spans="2:17">
      <c r="B49" s="34" t="s">
        <v>178</v>
      </c>
      <c r="C49" s="34" t="s">
        <v>179</v>
      </c>
      <c r="D49" s="35">
        <v>10062</v>
      </c>
      <c r="E49" s="36">
        <f t="shared" si="15"/>
        <v>0.00386114712027136</v>
      </c>
      <c r="F49" s="36">
        <f t="shared" si="20"/>
        <v>0.915905789036252</v>
      </c>
      <c r="G49" s="34" t="str">
        <f t="shared" si="16"/>
        <v>B</v>
      </c>
      <c r="H49" s="35">
        <f t="shared" si="17"/>
        <v>38.1136363636364</v>
      </c>
      <c r="I49" s="35">
        <f t="shared" si="4"/>
        <v>838.5</v>
      </c>
      <c r="J49" s="35">
        <f>AVERAGEIF(tSaida[Produto],B49,tSaida[Saída / Demanda])</f>
        <v>201.24</v>
      </c>
      <c r="K49" s="35" cm="1">
        <f t="array" ref="K49">_xlfn.STDEV.S(IF(tSaida[Produto]=Consolidação!B49,tSaida[Saída / Demanda]))</f>
        <v>284.644250579131</v>
      </c>
      <c r="L49" s="36">
        <f t="shared" si="18"/>
        <v>1.41445165264923</v>
      </c>
      <c r="M49" s="35">
        <f t="shared" si="21"/>
        <v>3</v>
      </c>
      <c r="N49" s="36">
        <f t="shared" si="14"/>
        <v>0.99</v>
      </c>
      <c r="O49" s="35">
        <f t="shared" si="7"/>
        <v>1238.7984511358</v>
      </c>
      <c r="P49" s="35">
        <f t="shared" si="8"/>
        <v>1842.5184511358</v>
      </c>
      <c r="Q49" s="35">
        <f t="shared" si="19"/>
        <v>4320.11535340739</v>
      </c>
    </row>
    <row r="50" spans="2:17">
      <c r="B50" s="34" t="s">
        <v>48</v>
      </c>
      <c r="C50" s="34" t="s">
        <v>49</v>
      </c>
      <c r="D50" s="35">
        <v>10018.2</v>
      </c>
      <c r="E50" s="36">
        <f t="shared" si="15"/>
        <v>0.00384433950311096</v>
      </c>
      <c r="F50" s="36">
        <f t="shared" si="20"/>
        <v>0.919750128539362</v>
      </c>
      <c r="G50" s="34" t="str">
        <f t="shared" si="16"/>
        <v>B</v>
      </c>
      <c r="H50" s="35">
        <f t="shared" si="17"/>
        <v>37.9477272727273</v>
      </c>
      <c r="I50" s="35">
        <f t="shared" si="4"/>
        <v>834.85</v>
      </c>
      <c r="J50" s="35">
        <f>AVERAGEIF(tSaida[Produto],B50,tSaida[Saída / Demanda])</f>
        <v>185.522222222222</v>
      </c>
      <c r="K50" s="35" cm="1">
        <f t="array" ref="K50">_xlfn.STDEV.S(IF(tSaida[Produto]=Consolidação!B50,tSaida[Saída / Demanda]))</f>
        <v>305.868638197591</v>
      </c>
      <c r="L50" s="36">
        <f t="shared" si="18"/>
        <v>1.64869003041164</v>
      </c>
      <c r="M50" s="35">
        <f t="shared" si="21"/>
        <v>3</v>
      </c>
      <c r="N50" s="36">
        <f t="shared" si="14"/>
        <v>0.99</v>
      </c>
      <c r="O50" s="35">
        <f t="shared" si="7"/>
        <v>1305.83641392256</v>
      </c>
      <c r="P50" s="35">
        <f t="shared" si="8"/>
        <v>1862.40308058923</v>
      </c>
      <c r="Q50" s="35">
        <f t="shared" si="19"/>
        <v>4474.07590843435</v>
      </c>
    </row>
    <row r="51" spans="2:17">
      <c r="B51" s="34" t="s">
        <v>186</v>
      </c>
      <c r="C51" s="34" t="s">
        <v>187</v>
      </c>
      <c r="D51" s="35">
        <v>9711</v>
      </c>
      <c r="E51" s="36">
        <f t="shared" si="15"/>
        <v>0.00372645594165724</v>
      </c>
      <c r="F51" s="36">
        <f t="shared" si="20"/>
        <v>0.92347658448102</v>
      </c>
      <c r="G51" s="34" t="str">
        <f t="shared" si="16"/>
        <v>B</v>
      </c>
      <c r="H51" s="35">
        <f t="shared" si="17"/>
        <v>36.7840909090909</v>
      </c>
      <c r="I51" s="35">
        <f t="shared" si="4"/>
        <v>809.25</v>
      </c>
      <c r="J51" s="35">
        <f>AVERAGEIF(tSaida[Produto],B51,tSaida[Saída / Demanda])</f>
        <v>462.428571428571</v>
      </c>
      <c r="K51" s="35" cm="1">
        <f t="array" ref="K51">_xlfn.STDEV.S(IF(tSaida[Produto]=Consolidação!B51,tSaida[Saída / Demanda]))</f>
        <v>487.948173623856</v>
      </c>
      <c r="L51" s="36">
        <f t="shared" si="18"/>
        <v>1.0551860412008</v>
      </c>
      <c r="M51" s="35">
        <f t="shared" si="21"/>
        <v>3</v>
      </c>
      <c r="N51" s="36">
        <f t="shared" si="14"/>
        <v>0.99</v>
      </c>
      <c r="O51" s="35">
        <f t="shared" si="7"/>
        <v>2241.18046189581</v>
      </c>
      <c r="P51" s="35">
        <f t="shared" si="8"/>
        <v>3628.46617618152</v>
      </c>
      <c r="Q51" s="35">
        <f t="shared" si="19"/>
        <v>8110.82709997314</v>
      </c>
    </row>
    <row r="52" spans="2:17">
      <c r="B52" s="34" t="s">
        <v>138</v>
      </c>
      <c r="C52" s="34" t="s">
        <v>139</v>
      </c>
      <c r="D52" s="35">
        <v>9620.65000000001</v>
      </c>
      <c r="E52" s="36">
        <f t="shared" si="15"/>
        <v>0.00369178543456954</v>
      </c>
      <c r="F52" s="36">
        <f t="shared" si="20"/>
        <v>0.927168369915589</v>
      </c>
      <c r="G52" s="34" t="str">
        <f t="shared" si="16"/>
        <v>B</v>
      </c>
      <c r="H52" s="35">
        <f t="shared" si="17"/>
        <v>36.4418560606061</v>
      </c>
      <c r="I52" s="35">
        <f t="shared" si="4"/>
        <v>801.720833333334</v>
      </c>
      <c r="J52" s="35">
        <f>AVERAGEIF(tSaida[Produto],B52,tSaida[Saída / Demanda])</f>
        <v>165.873275862069</v>
      </c>
      <c r="K52" s="35" cm="1">
        <f t="array" ref="K52">_xlfn.STDEV.S(IF(tSaida[Produto]=Consolidação!B52,tSaida[Saída / Demanda]))</f>
        <v>244.601093299818</v>
      </c>
      <c r="L52" s="36">
        <f t="shared" si="18"/>
        <v>1.47462628942841</v>
      </c>
      <c r="M52" s="35">
        <f t="shared" si="21"/>
        <v>3</v>
      </c>
      <c r="N52" s="36">
        <f t="shared" si="14"/>
        <v>0.99</v>
      </c>
      <c r="O52" s="35">
        <f t="shared" si="7"/>
        <v>1058.43211184987</v>
      </c>
      <c r="P52" s="35">
        <f t="shared" si="8"/>
        <v>1556.05193943608</v>
      </c>
      <c r="Q52" s="35">
        <f t="shared" si="19"/>
        <v>3672.91616313583</v>
      </c>
    </row>
    <row r="53" spans="2:17">
      <c r="B53" s="34" t="s">
        <v>166</v>
      </c>
      <c r="C53" s="34" t="s">
        <v>167</v>
      </c>
      <c r="D53" s="35">
        <v>8628.3</v>
      </c>
      <c r="E53" s="36">
        <f t="shared" si="15"/>
        <v>0.00331098545993216</v>
      </c>
      <c r="F53" s="36">
        <f t="shared" si="20"/>
        <v>0.930479355375521</v>
      </c>
      <c r="G53" s="34" t="str">
        <f t="shared" si="16"/>
        <v>B</v>
      </c>
      <c r="H53" s="35">
        <f t="shared" si="17"/>
        <v>32.6829545454545</v>
      </c>
      <c r="I53" s="35">
        <f t="shared" si="4"/>
        <v>719.025</v>
      </c>
      <c r="J53" s="35">
        <f>AVERAGEIF(tSaida[Produto],B53,tSaida[Saída / Demanda])</f>
        <v>454.121052631579</v>
      </c>
      <c r="K53" s="35" cm="1">
        <f t="array" ref="K53">_xlfn.STDEV.S(IF(tSaida[Produto]=Consolidação!B53,tSaida[Saída / Demanda]))</f>
        <v>630.097356303812</v>
      </c>
      <c r="L53" s="36">
        <f t="shared" si="18"/>
        <v>1.38750967974832</v>
      </c>
      <c r="M53" s="35">
        <f t="shared" si="21"/>
        <v>3</v>
      </c>
      <c r="N53" s="36">
        <f t="shared" si="14"/>
        <v>0.99</v>
      </c>
      <c r="O53" s="35">
        <f t="shared" si="7"/>
        <v>2749.91044064205</v>
      </c>
      <c r="P53" s="35">
        <f t="shared" si="8"/>
        <v>4112.27359853679</v>
      </c>
      <c r="Q53" s="35">
        <f t="shared" si="19"/>
        <v>9612.09447982088</v>
      </c>
    </row>
    <row r="54" spans="2:17">
      <c r="B54" s="34" t="s">
        <v>206</v>
      </c>
      <c r="C54" s="34" t="s">
        <v>207</v>
      </c>
      <c r="D54" s="35">
        <v>7999.2</v>
      </c>
      <c r="E54" s="36">
        <f t="shared" si="15"/>
        <v>0.00306957742441609</v>
      </c>
      <c r="F54" s="36">
        <f t="shared" si="20"/>
        <v>0.933548932799937</v>
      </c>
      <c r="G54" s="34" t="str">
        <f t="shared" si="16"/>
        <v>B</v>
      </c>
      <c r="H54" s="35">
        <f t="shared" si="17"/>
        <v>30.3</v>
      </c>
      <c r="I54" s="35">
        <f t="shared" si="4"/>
        <v>666.6</v>
      </c>
      <c r="J54" s="35">
        <f>AVERAGEIF(tSaida[Produto],B54,tSaida[Saída / Demanda])</f>
        <v>249.975</v>
      </c>
      <c r="K54" s="35" cm="1">
        <f t="array" ref="K54">_xlfn.STDEV.S(IF(tSaida[Produto]=Consolidação!B54,tSaida[Saída / Demanda]))</f>
        <v>356.350946082922</v>
      </c>
      <c r="L54" s="36">
        <f t="shared" si="18"/>
        <v>1.42554633896558</v>
      </c>
      <c r="M54" s="35">
        <f t="shared" si="21"/>
        <v>3</v>
      </c>
      <c r="N54" s="36">
        <f t="shared" si="14"/>
        <v>0.99</v>
      </c>
      <c r="O54" s="35">
        <f t="shared" si="7"/>
        <v>1549.15466720898</v>
      </c>
      <c r="P54" s="35">
        <f t="shared" si="8"/>
        <v>2299.07966720898</v>
      </c>
      <c r="Q54" s="35">
        <f t="shared" si="19"/>
        <v>5397.38900162695</v>
      </c>
    </row>
    <row r="55" spans="2:17">
      <c r="B55" s="34" t="s">
        <v>152</v>
      </c>
      <c r="C55" s="34" t="s">
        <v>153</v>
      </c>
      <c r="D55" s="35">
        <v>7719</v>
      </c>
      <c r="E55" s="36">
        <f t="shared" si="15"/>
        <v>0.00296205472285576</v>
      </c>
      <c r="F55" s="36">
        <f t="shared" si="20"/>
        <v>0.936510987522793</v>
      </c>
      <c r="G55" s="34" t="str">
        <f t="shared" si="16"/>
        <v>B</v>
      </c>
      <c r="H55" s="35">
        <f t="shared" si="17"/>
        <v>29.2386363636364</v>
      </c>
      <c r="I55" s="35">
        <f t="shared" si="4"/>
        <v>643.25</v>
      </c>
      <c r="J55" s="35">
        <f>AVERAGEIF(tSaida[Produto],B55,tSaida[Saída / Demanda])</f>
        <v>148.442307692308</v>
      </c>
      <c r="K55" s="35" cm="1">
        <f t="array" ref="K55">_xlfn.STDEV.S(IF(tSaida[Produto]=Consolidação!B55,tSaida[Saída / Demanda]))</f>
        <v>149.061464288214</v>
      </c>
      <c r="L55" s="36">
        <f t="shared" si="18"/>
        <v>1.00417102513112</v>
      </c>
      <c r="M55" s="35">
        <f t="shared" si="21"/>
        <v>3</v>
      </c>
      <c r="N55" s="36">
        <f t="shared" si="14"/>
        <v>0.99</v>
      </c>
      <c r="O55" s="35">
        <f t="shared" si="7"/>
        <v>692.818577236482</v>
      </c>
      <c r="P55" s="35">
        <f t="shared" si="8"/>
        <v>1138.14550031341</v>
      </c>
      <c r="Q55" s="35">
        <f t="shared" si="19"/>
        <v>2523.78265478637</v>
      </c>
    </row>
    <row r="56" spans="2:17">
      <c r="B56" s="34" t="s">
        <v>134</v>
      </c>
      <c r="C56" s="34" t="s">
        <v>135</v>
      </c>
      <c r="D56" s="35">
        <v>7705.25</v>
      </c>
      <c r="E56" s="36">
        <f t="shared" si="15"/>
        <v>0.00295677835902116</v>
      </c>
      <c r="F56" s="36">
        <f t="shared" si="20"/>
        <v>0.939467765881814</v>
      </c>
      <c r="G56" s="34" t="str">
        <f t="shared" si="16"/>
        <v>B</v>
      </c>
      <c r="H56" s="35">
        <f t="shared" si="17"/>
        <v>29.186553030303</v>
      </c>
      <c r="I56" s="35">
        <f t="shared" si="4"/>
        <v>642.104166666667</v>
      </c>
      <c r="J56" s="35">
        <f>AVERAGEIF(tSaida[Produto],B56,tSaida[Saída / Demanda])</f>
        <v>265.698275862069</v>
      </c>
      <c r="K56" s="35" cm="1">
        <f t="array" ref="K56">_xlfn.STDEV.S(IF(tSaida[Produto]=Consolidação!B56,tSaida[Saída / Demanda]))</f>
        <v>262.959626342537</v>
      </c>
      <c r="L56" s="36">
        <f t="shared" si="18"/>
        <v>0.989692633455577</v>
      </c>
      <c r="M56" s="35">
        <f t="shared" ref="M56:M65" si="22">$M$3</f>
        <v>3</v>
      </c>
      <c r="N56" s="36">
        <f t="shared" si="14"/>
        <v>0.99</v>
      </c>
      <c r="O56" s="35">
        <f t="shared" si="7"/>
        <v>1226.66906990181</v>
      </c>
      <c r="P56" s="35">
        <f t="shared" si="8"/>
        <v>2023.76389748801</v>
      </c>
      <c r="Q56" s="35">
        <f t="shared" si="19"/>
        <v>4477.10203729162</v>
      </c>
    </row>
    <row r="57" spans="2:17">
      <c r="B57" s="34" t="s">
        <v>18</v>
      </c>
      <c r="C57" s="34" t="s">
        <v>19</v>
      </c>
      <c r="D57" s="35">
        <v>7520.71</v>
      </c>
      <c r="E57" s="36">
        <f t="shared" si="15"/>
        <v>0.00288596380032757</v>
      </c>
      <c r="F57" s="36">
        <f t="shared" si="20"/>
        <v>0.942353729682142</v>
      </c>
      <c r="G57" s="34" t="str">
        <f t="shared" si="16"/>
        <v>B</v>
      </c>
      <c r="H57" s="35">
        <f t="shared" si="17"/>
        <v>28.4875378787879</v>
      </c>
      <c r="I57" s="35">
        <f t="shared" si="4"/>
        <v>626.725833333333</v>
      </c>
      <c r="J57" s="35">
        <f>AVERAGEIF(tSaida[Produto],B57,tSaida[Saída / Demanda])</f>
        <v>117.51109375</v>
      </c>
      <c r="K57" s="35" cm="1">
        <f t="array" ref="K57">_xlfn.STDEV.S(IF(tSaida[Produto]=Consolidação!B57,tSaida[Saída / Demanda]))</f>
        <v>140.410938626897</v>
      </c>
      <c r="L57" s="36">
        <f t="shared" si="18"/>
        <v>1.19487389782633</v>
      </c>
      <c r="M57" s="35">
        <f t="shared" si="22"/>
        <v>3</v>
      </c>
      <c r="N57" s="36">
        <f t="shared" si="14"/>
        <v>0.99</v>
      </c>
      <c r="O57" s="35">
        <f t="shared" si="7"/>
        <v>628.348895789056</v>
      </c>
      <c r="P57" s="35">
        <f t="shared" si="8"/>
        <v>980.882177039056</v>
      </c>
      <c r="Q57" s="35">
        <f t="shared" si="19"/>
        <v>2237.57996861717</v>
      </c>
    </row>
    <row r="58" spans="2:17">
      <c r="B58" s="34" t="s">
        <v>130</v>
      </c>
      <c r="C58" s="34" t="s">
        <v>131</v>
      </c>
      <c r="D58" s="35">
        <v>7393.1</v>
      </c>
      <c r="E58" s="36">
        <f t="shared" si="15"/>
        <v>0.00283699530658698</v>
      </c>
      <c r="F58" s="36">
        <f t="shared" si="20"/>
        <v>0.945190724988729</v>
      </c>
      <c r="G58" s="34" t="str">
        <f t="shared" si="16"/>
        <v>B</v>
      </c>
      <c r="H58" s="35">
        <f t="shared" si="17"/>
        <v>28.0041666666667</v>
      </c>
      <c r="I58" s="35">
        <f t="shared" si="4"/>
        <v>616.091666666667</v>
      </c>
      <c r="J58" s="35">
        <f>AVERAGEIF(tSaida[Produto],B58,tSaida[Saída / Demanda])</f>
        <v>410.727777777778</v>
      </c>
      <c r="K58" s="35" cm="1">
        <f t="array" ref="K58">_xlfn.STDEV.S(IF(tSaida[Produto]=Consolidação!B58,tSaida[Saída / Demanda]))</f>
        <v>379.283058670924</v>
      </c>
      <c r="L58" s="36">
        <f t="shared" si="18"/>
        <v>0.923441459749851</v>
      </c>
      <c r="M58" s="35">
        <f t="shared" si="22"/>
        <v>3</v>
      </c>
      <c r="N58" s="36">
        <f t="shared" si="14"/>
        <v>0.99</v>
      </c>
      <c r="O58" s="35">
        <f t="shared" si="7"/>
        <v>1802.37804214861</v>
      </c>
      <c r="P58" s="35">
        <f t="shared" si="8"/>
        <v>3034.56137548195</v>
      </c>
      <c r="Q58" s="35">
        <f t="shared" si="19"/>
        <v>6639.31745977917</v>
      </c>
    </row>
    <row r="59" spans="2:17">
      <c r="B59" s="34" t="s">
        <v>210</v>
      </c>
      <c r="C59" s="34" t="s">
        <v>211</v>
      </c>
      <c r="D59" s="35">
        <v>7257.5</v>
      </c>
      <c r="E59" s="36">
        <f t="shared" si="15"/>
        <v>0.00278496076578905</v>
      </c>
      <c r="F59" s="36">
        <f t="shared" si="20"/>
        <v>0.947975685754518</v>
      </c>
      <c r="G59" s="34" t="str">
        <f t="shared" si="16"/>
        <v>B</v>
      </c>
      <c r="H59" s="35">
        <f t="shared" si="17"/>
        <v>27.4905303030303</v>
      </c>
      <c r="I59" s="35">
        <f t="shared" si="4"/>
        <v>604.791666666667</v>
      </c>
      <c r="J59" s="35">
        <f>AVERAGEIF(tSaida[Produto],B59,tSaida[Saída / Demanda])</f>
        <v>381.973684210526</v>
      </c>
      <c r="K59" s="35" cm="1">
        <f t="array" ref="K59">_xlfn.STDEV.S(IF(tSaida[Produto]=Consolidação!B59,tSaida[Saída / Demanda]))</f>
        <v>331.127470993851</v>
      </c>
      <c r="L59" s="36">
        <f t="shared" si="18"/>
        <v>0.866885559611873</v>
      </c>
      <c r="M59" s="35">
        <f t="shared" si="22"/>
        <v>3</v>
      </c>
      <c r="N59" s="36">
        <f t="shared" si="14"/>
        <v>0.99</v>
      </c>
      <c r="O59" s="35">
        <f t="shared" si="7"/>
        <v>1603.05474058948</v>
      </c>
      <c r="P59" s="35">
        <f t="shared" si="8"/>
        <v>2748.97579322106</v>
      </c>
      <c r="Q59" s="35">
        <f t="shared" si="19"/>
        <v>5955.08527440002</v>
      </c>
    </row>
    <row r="60" spans="2:17">
      <c r="B60" s="34" t="s">
        <v>208</v>
      </c>
      <c r="C60" s="34" t="s">
        <v>209</v>
      </c>
      <c r="D60" s="35">
        <v>7175</v>
      </c>
      <c r="E60" s="36">
        <f t="shared" si="15"/>
        <v>0.00275330258278145</v>
      </c>
      <c r="F60" s="36">
        <f t="shared" si="20"/>
        <v>0.950728988337299</v>
      </c>
      <c r="G60" s="34" t="str">
        <f t="shared" si="16"/>
        <v>C</v>
      </c>
      <c r="H60" s="35">
        <f t="shared" si="17"/>
        <v>27.1780303030303</v>
      </c>
      <c r="I60" s="35">
        <f t="shared" si="4"/>
        <v>597.916666666667</v>
      </c>
      <c r="J60" s="35">
        <f>AVERAGEIF(tSaida[Produto],B60,tSaida[Saída / Demanda])</f>
        <v>358.75</v>
      </c>
      <c r="K60" s="35" cm="1">
        <f t="array" ref="K60">_xlfn.STDEV.S(IF(tSaida[Produto]=Consolidação!B60,tSaida[Saída / Demanda]))</f>
        <v>413.014830242208</v>
      </c>
      <c r="L60" s="36">
        <f t="shared" si="18"/>
        <v>1.15126085084936</v>
      </c>
      <c r="M60" s="35">
        <f t="shared" si="22"/>
        <v>3</v>
      </c>
      <c r="N60" s="36">
        <f t="shared" si="14"/>
        <v>0.99</v>
      </c>
      <c r="O60" s="35">
        <f t="shared" si="7"/>
        <v>1861.72565651162</v>
      </c>
      <c r="P60" s="35">
        <f t="shared" si="8"/>
        <v>2937.97565651162</v>
      </c>
      <c r="Q60" s="35">
        <f t="shared" si="19"/>
        <v>6661.42696953485</v>
      </c>
    </row>
    <row r="61" spans="2:17">
      <c r="B61" s="34" t="s">
        <v>176</v>
      </c>
      <c r="C61" s="34" t="s">
        <v>177</v>
      </c>
      <c r="D61" s="35">
        <v>6885</v>
      </c>
      <c r="E61" s="36">
        <f t="shared" si="15"/>
        <v>0.00264201927281538</v>
      </c>
      <c r="F61" s="36">
        <f t="shared" si="20"/>
        <v>0.953371007610115</v>
      </c>
      <c r="G61" s="34" t="str">
        <f t="shared" si="16"/>
        <v>C</v>
      </c>
      <c r="H61" s="35">
        <f t="shared" si="17"/>
        <v>26.0795454545455</v>
      </c>
      <c r="I61" s="35">
        <f t="shared" si="4"/>
        <v>573.75</v>
      </c>
      <c r="J61" s="35">
        <f>AVERAGEIF(tSaida[Produto],B61,tSaida[Saída / Demanda])</f>
        <v>186.081081081081</v>
      </c>
      <c r="K61" s="35" cm="1">
        <f t="array" ref="K61">_xlfn.STDEV.S(IF(tSaida[Produto]=Consolidação!B61,tSaida[Saída / Demanda]))</f>
        <v>282.285526095907</v>
      </c>
      <c r="L61" s="36">
        <f t="shared" si="18"/>
        <v>1.51700282724017</v>
      </c>
      <c r="M61" s="35">
        <f t="shared" si="22"/>
        <v>3</v>
      </c>
      <c r="N61" s="36">
        <f t="shared" si="14"/>
        <v>0.99</v>
      </c>
      <c r="O61" s="35">
        <f t="shared" si="7"/>
        <v>1217.01910943432</v>
      </c>
      <c r="P61" s="35">
        <f t="shared" si="8"/>
        <v>1775.26235267756</v>
      </c>
      <c r="Q61" s="35">
        <f t="shared" si="19"/>
        <v>4209.30057154619</v>
      </c>
    </row>
    <row r="62" spans="2:17">
      <c r="B62" s="34" t="s">
        <v>44</v>
      </c>
      <c r="C62" s="34" t="s">
        <v>45</v>
      </c>
      <c r="D62" s="35">
        <v>6859.5</v>
      </c>
      <c r="E62" s="36">
        <f t="shared" si="15"/>
        <v>0.00263223401624939</v>
      </c>
      <c r="F62" s="36">
        <f t="shared" si="20"/>
        <v>0.956003241626364</v>
      </c>
      <c r="G62" s="34" t="str">
        <f t="shared" si="16"/>
        <v>C</v>
      </c>
      <c r="H62" s="35">
        <f t="shared" si="17"/>
        <v>25.9829545454545</v>
      </c>
      <c r="I62" s="35">
        <f t="shared" si="4"/>
        <v>571.625</v>
      </c>
      <c r="J62" s="35">
        <f>AVERAGEIF(tSaida[Produto],B62,tSaida[Saída / Demanda])</f>
        <v>57.1625</v>
      </c>
      <c r="K62" s="35" cm="1">
        <f t="array" ref="K62">_xlfn.STDEV.S(IF(tSaida[Produto]=Consolidação!B62,tSaida[Saída / Demanda]))</f>
        <v>77.9034945575981</v>
      </c>
      <c r="L62" s="36">
        <f t="shared" si="18"/>
        <v>1.36284267758755</v>
      </c>
      <c r="M62" s="35">
        <f t="shared" si="22"/>
        <v>3</v>
      </c>
      <c r="N62" s="36">
        <f t="shared" si="14"/>
        <v>0.99</v>
      </c>
      <c r="O62" s="35">
        <f t="shared" si="7"/>
        <v>340.906535375077</v>
      </c>
      <c r="P62" s="35">
        <f t="shared" si="8"/>
        <v>512.394035375077</v>
      </c>
      <c r="Q62" s="35">
        <f t="shared" si="19"/>
        <v>1194.20710612523</v>
      </c>
    </row>
    <row r="63" spans="2:17">
      <c r="B63" s="34" t="s">
        <v>16</v>
      </c>
      <c r="C63" s="34" t="s">
        <v>17</v>
      </c>
      <c r="D63" s="35">
        <v>6429.60000000001</v>
      </c>
      <c r="E63" s="36">
        <f t="shared" si="15"/>
        <v>0.00246726610261347</v>
      </c>
      <c r="F63" s="36">
        <f t="shared" si="20"/>
        <v>0.958470507728978</v>
      </c>
      <c r="G63" s="34" t="str">
        <f t="shared" si="16"/>
        <v>C</v>
      </c>
      <c r="H63" s="35">
        <f t="shared" si="17"/>
        <v>24.3545454545455</v>
      </c>
      <c r="I63" s="35">
        <f t="shared" si="4"/>
        <v>535.800000000001</v>
      </c>
      <c r="J63" s="35">
        <f>AVERAGEIF(tSaida[Produto],B63,tSaida[Saída / Demanda])</f>
        <v>149.525581395349</v>
      </c>
      <c r="K63" s="35" cm="1">
        <f t="array" ref="K63">_xlfn.STDEV.S(IF(tSaida[Produto]=Consolidação!B63,tSaida[Saída / Demanda]))</f>
        <v>195.836340920803</v>
      </c>
      <c r="L63" s="36">
        <f t="shared" si="18"/>
        <v>1.30971796995063</v>
      </c>
      <c r="M63" s="35">
        <f t="shared" si="22"/>
        <v>3</v>
      </c>
      <c r="N63" s="36">
        <f t="shared" si="14"/>
        <v>0.99</v>
      </c>
      <c r="O63" s="35">
        <f t="shared" si="7"/>
        <v>862.361551870729</v>
      </c>
      <c r="P63" s="35">
        <f t="shared" si="8"/>
        <v>1310.93829605678</v>
      </c>
      <c r="Q63" s="35">
        <f t="shared" si="19"/>
        <v>3035.66139979823</v>
      </c>
    </row>
    <row r="64" spans="2:17">
      <c r="B64" s="34" t="s">
        <v>122</v>
      </c>
      <c r="C64" s="34" t="s">
        <v>123</v>
      </c>
      <c r="D64" s="35">
        <v>5647.4</v>
      </c>
      <c r="E64" s="36">
        <f t="shared" si="15"/>
        <v>0.00216710815414634</v>
      </c>
      <c r="F64" s="36">
        <f t="shared" si="20"/>
        <v>0.960637615883124</v>
      </c>
      <c r="G64" s="34" t="str">
        <f t="shared" si="16"/>
        <v>C</v>
      </c>
      <c r="H64" s="35">
        <f t="shared" si="17"/>
        <v>21.3916666666667</v>
      </c>
      <c r="I64" s="35">
        <f t="shared" si="4"/>
        <v>470.616666666667</v>
      </c>
      <c r="J64" s="35">
        <f>AVERAGEIF(tSaida[Produto],B64,tSaida[Saída / Demanda])</f>
        <v>256.7</v>
      </c>
      <c r="K64" s="35" cm="1">
        <f t="array" ref="K64">_xlfn.STDEV.S(IF(tSaida[Produto]=Consolidação!B64,tSaida[Saída / Demanda]))</f>
        <v>275.805146883845</v>
      </c>
      <c r="L64" s="36">
        <f t="shared" si="18"/>
        <v>1.0744259714992</v>
      </c>
      <c r="M64" s="35">
        <f t="shared" si="22"/>
        <v>3</v>
      </c>
      <c r="N64" s="36">
        <f t="shared" si="14"/>
        <v>0.99</v>
      </c>
      <c r="O64" s="35">
        <f t="shared" si="7"/>
        <v>1261.60212532941</v>
      </c>
      <c r="P64" s="35">
        <f t="shared" si="8"/>
        <v>2031.70212532941</v>
      </c>
      <c r="Q64" s="35">
        <f t="shared" si="19"/>
        <v>4554.90637598824</v>
      </c>
    </row>
    <row r="65" spans="2:17">
      <c r="B65" s="34" t="s">
        <v>180</v>
      </c>
      <c r="C65" s="34" t="s">
        <v>181</v>
      </c>
      <c r="D65" s="35">
        <v>5174.4</v>
      </c>
      <c r="E65" s="36">
        <f t="shared" si="15"/>
        <v>0.00198560123823615</v>
      </c>
      <c r="F65" s="36">
        <f t="shared" si="20"/>
        <v>0.96262321712136</v>
      </c>
      <c r="G65" s="34" t="str">
        <f t="shared" si="16"/>
        <v>C</v>
      </c>
      <c r="H65" s="35">
        <f t="shared" si="17"/>
        <v>19.6</v>
      </c>
      <c r="I65" s="35">
        <f t="shared" si="4"/>
        <v>431.2</v>
      </c>
      <c r="J65" s="35">
        <f>AVERAGEIF(tSaida[Produto],B65,tSaida[Saída / Demanda])</f>
        <v>304.376470588235</v>
      </c>
      <c r="K65" s="35" cm="1">
        <f t="array" ref="K65">_xlfn.STDEV.S(IF(tSaida[Produto]=Consolidação!B65,tSaida[Saída / Demanda]))</f>
        <v>342.339027006511</v>
      </c>
      <c r="L65" s="36">
        <f t="shared" si="18"/>
        <v>1.12472237536926</v>
      </c>
      <c r="M65" s="35">
        <f t="shared" si="22"/>
        <v>3</v>
      </c>
      <c r="N65" s="36">
        <f t="shared" si="14"/>
        <v>0.99</v>
      </c>
      <c r="O65" s="35">
        <f t="shared" si="7"/>
        <v>1550.52973064087</v>
      </c>
      <c r="P65" s="35">
        <f t="shared" si="8"/>
        <v>2463.65914240557</v>
      </c>
      <c r="Q65" s="35">
        <f t="shared" si="19"/>
        <v>5564.7186036873</v>
      </c>
    </row>
    <row r="66" spans="2:17">
      <c r="B66" s="34" t="s">
        <v>182</v>
      </c>
      <c r="C66" s="34" t="s">
        <v>183</v>
      </c>
      <c r="D66" s="35">
        <v>5106.2</v>
      </c>
      <c r="E66" s="36">
        <f t="shared" si="15"/>
        <v>0.00195943047361654</v>
      </c>
      <c r="F66" s="36">
        <f t="shared" si="20"/>
        <v>0.964582647594977</v>
      </c>
      <c r="G66" s="34" t="str">
        <f t="shared" si="16"/>
        <v>C</v>
      </c>
      <c r="H66" s="35">
        <f t="shared" si="17"/>
        <v>19.3416666666667</v>
      </c>
      <c r="I66" s="35">
        <f t="shared" si="4"/>
        <v>425.516666666667</v>
      </c>
      <c r="J66" s="35">
        <f>AVERAGEIF(tSaida[Produto],B66,tSaida[Saída / Demanda])</f>
        <v>464.2</v>
      </c>
      <c r="K66" s="35" cm="1">
        <f t="array" ref="K66">_xlfn.STDEV.S(IF(tSaida[Produto]=Consolidação!B66,tSaida[Saída / Demanda]))</f>
        <v>496.814275157226</v>
      </c>
      <c r="L66" s="36">
        <f t="shared" si="18"/>
        <v>1.07025910201901</v>
      </c>
      <c r="M66" s="35">
        <f t="shared" ref="M66:M75" si="23">$M$3</f>
        <v>3</v>
      </c>
      <c r="N66" s="36">
        <f t="shared" si="14"/>
        <v>0.99</v>
      </c>
      <c r="O66" s="35">
        <f t="shared" si="7"/>
        <v>2274.53886856036</v>
      </c>
      <c r="P66" s="35">
        <f t="shared" si="8"/>
        <v>3667.13886856036</v>
      </c>
      <c r="Q66" s="35">
        <f t="shared" si="19"/>
        <v>8216.21660568108</v>
      </c>
    </row>
    <row r="67" spans="2:17">
      <c r="B67" s="34" t="s">
        <v>194</v>
      </c>
      <c r="C67" s="34" t="s">
        <v>195</v>
      </c>
      <c r="D67" s="35">
        <v>4872</v>
      </c>
      <c r="E67" s="36">
        <f t="shared" si="15"/>
        <v>0.00186955960743014</v>
      </c>
      <c r="F67" s="36">
        <f t="shared" si="20"/>
        <v>0.966452207202407</v>
      </c>
      <c r="G67" s="34" t="str">
        <f t="shared" si="16"/>
        <v>C</v>
      </c>
      <c r="H67" s="35">
        <f t="shared" si="17"/>
        <v>18.4545454545455</v>
      </c>
      <c r="I67" s="35">
        <f t="shared" si="4"/>
        <v>406</v>
      </c>
      <c r="J67" s="35">
        <f>AVERAGEIF(tSaida[Produto],B67,tSaida[Saída / Demanda])</f>
        <v>442.909090909091</v>
      </c>
      <c r="K67" s="35" cm="1">
        <f t="array" ref="K67">_xlfn.STDEV.S(IF(tSaida[Produto]=Consolidação!B67,tSaida[Saída / Demanda]))</f>
        <v>443.248831819206</v>
      </c>
      <c r="L67" s="36">
        <f t="shared" si="18"/>
        <v>1.00076706691528</v>
      </c>
      <c r="M67" s="35">
        <f t="shared" si="23"/>
        <v>3</v>
      </c>
      <c r="N67" s="36">
        <f t="shared" si="14"/>
        <v>0.99</v>
      </c>
      <c r="O67" s="35">
        <f t="shared" si="7"/>
        <v>2061.90689098297</v>
      </c>
      <c r="P67" s="35">
        <f t="shared" si="8"/>
        <v>3390.63416371024</v>
      </c>
      <c r="Q67" s="35">
        <f t="shared" si="19"/>
        <v>7514.44794567618</v>
      </c>
    </row>
    <row r="68" spans="2:17">
      <c r="B68" s="34" t="s">
        <v>202</v>
      </c>
      <c r="C68" s="34" t="s">
        <v>203</v>
      </c>
      <c r="D68" s="35">
        <v>4796.5</v>
      </c>
      <c r="E68" s="36">
        <f t="shared" si="15"/>
        <v>0.0018405875732838</v>
      </c>
      <c r="F68" s="36">
        <f t="shared" si="20"/>
        <v>0.968292794775691</v>
      </c>
      <c r="G68" s="34" t="str">
        <f t="shared" si="16"/>
        <v>C</v>
      </c>
      <c r="H68" s="35">
        <f t="shared" si="17"/>
        <v>18.1685606060606</v>
      </c>
      <c r="I68" s="35">
        <f t="shared" si="4"/>
        <v>399.708333333333</v>
      </c>
      <c r="J68" s="35">
        <f>AVERAGEIF(tSaida[Produto],B68,tSaida[Saída / Demanda])</f>
        <v>479.65</v>
      </c>
      <c r="K68" s="35" cm="1">
        <f t="array" ref="K68">_xlfn.STDEV.S(IF(tSaida[Produto]=Consolidação!B68,tSaida[Saída / Demanda]))</f>
        <v>445.752694888096</v>
      </c>
      <c r="L68" s="36">
        <f t="shared" si="18"/>
        <v>0.929329083473566</v>
      </c>
      <c r="M68" s="35">
        <f t="shared" si="23"/>
        <v>3</v>
      </c>
      <c r="N68" s="36">
        <f t="shared" si="14"/>
        <v>0.99</v>
      </c>
      <c r="O68" s="35">
        <f t="shared" si="7"/>
        <v>2114.48324298655</v>
      </c>
      <c r="P68" s="35">
        <f t="shared" si="8"/>
        <v>3553.43324298655</v>
      </c>
      <c r="Q68" s="35">
        <f t="shared" si="19"/>
        <v>7782.39972895964</v>
      </c>
    </row>
    <row r="69" spans="2:17">
      <c r="B69" s="34" t="s">
        <v>82</v>
      </c>
      <c r="C69" s="34" t="s">
        <v>83</v>
      </c>
      <c r="D69" s="35">
        <v>4778.55</v>
      </c>
      <c r="E69" s="36">
        <f t="shared" si="15"/>
        <v>0.00183369952013245</v>
      </c>
      <c r="F69" s="36">
        <f t="shared" si="20"/>
        <v>0.970126494295823</v>
      </c>
      <c r="G69" s="34" t="str">
        <f t="shared" si="16"/>
        <v>C</v>
      </c>
      <c r="H69" s="35">
        <f t="shared" si="17"/>
        <v>18.1005681818182</v>
      </c>
      <c r="I69" s="35">
        <f t="shared" si="4"/>
        <v>398.2125</v>
      </c>
      <c r="J69" s="35">
        <f>AVERAGEIF(tSaida[Produto],B69,tSaida[Saída / Demanda])</f>
        <v>238.9275</v>
      </c>
      <c r="K69" s="35" cm="1">
        <f t="array" ref="K69">_xlfn.STDEV.S(IF(tSaida[Produto]=Consolidação!B69,tSaida[Saída / Demanda]))</f>
        <v>200.728699122263</v>
      </c>
      <c r="L69" s="36">
        <f t="shared" si="18"/>
        <v>0.840123883279499</v>
      </c>
      <c r="M69" s="35">
        <f t="shared" si="23"/>
        <v>3</v>
      </c>
      <c r="N69" s="36">
        <f t="shared" ref="N69:N96" si="24">$N$3</f>
        <v>0.99</v>
      </c>
      <c r="O69" s="35">
        <f t="shared" si="7"/>
        <v>981.383526059273</v>
      </c>
      <c r="P69" s="35">
        <f t="shared" si="8"/>
        <v>1698.16602605927</v>
      </c>
      <c r="Q69" s="35">
        <f t="shared" si="19"/>
        <v>3660.93307817782</v>
      </c>
    </row>
    <row r="70" spans="2:17">
      <c r="B70" s="34" t="s">
        <v>158</v>
      </c>
      <c r="C70" s="34" t="s">
        <v>159</v>
      </c>
      <c r="D70" s="35">
        <v>4615.5</v>
      </c>
      <c r="E70" s="36">
        <f t="shared" ref="E70:E96" si="25">D70/$C$2</f>
        <v>0.0017711314384429</v>
      </c>
      <c r="F70" s="36">
        <f t="shared" si="20"/>
        <v>0.971897625734266</v>
      </c>
      <c r="G70" s="34" t="str">
        <f t="shared" ref="G70:G96" si="26">IF(F70&lt;0.8,"A",IF(F70&gt;=0.95,"C","B"))</f>
        <v>C</v>
      </c>
      <c r="H70" s="35">
        <f t="shared" ref="H70:H96" si="27">D70/12/22</f>
        <v>17.4829545454545</v>
      </c>
      <c r="I70" s="35">
        <f t="shared" ref="I70:I96" si="28">H70*22</f>
        <v>384.625</v>
      </c>
      <c r="J70" s="35">
        <f>AVERAGEIF(tSaida[Produto],B70,tSaida[Saída / Demanda])</f>
        <v>307.7</v>
      </c>
      <c r="K70" s="35" cm="1">
        <f t="array" ref="K70">_xlfn.STDEV.S(IF(tSaida[Produto]=Consolidação!B70,tSaida[Saída / Demanda]))</f>
        <v>414.826375039692</v>
      </c>
      <c r="L70" s="36">
        <f t="shared" ref="L70:L96" si="29">K70/J70</f>
        <v>1.34815201507862</v>
      </c>
      <c r="M70" s="35">
        <f t="shared" si="23"/>
        <v>3</v>
      </c>
      <c r="N70" s="36">
        <f t="shared" si="24"/>
        <v>0.99</v>
      </c>
      <c r="O70" s="35">
        <f t="shared" ref="O70:O96" si="30">NORMSINV(N70)*SQRT((K70^2)*M70+(J70^2)*(1^2))</f>
        <v>1818.30846211448</v>
      </c>
      <c r="P70" s="35">
        <f t="shared" ref="P70:P96" si="31">J70*M70+O70</f>
        <v>2741.40846211448</v>
      </c>
      <c r="Q70" s="35">
        <f t="shared" ref="Q70:Q96" si="32">IFERROR((J70+O70)*M70,"")</f>
        <v>6378.02538634345</v>
      </c>
    </row>
    <row r="71" spans="2:17">
      <c r="B71" s="34" t="s">
        <v>168</v>
      </c>
      <c r="C71" s="34" t="s">
        <v>169</v>
      </c>
      <c r="D71" s="35">
        <v>4522.3</v>
      </c>
      <c r="E71" s="36">
        <f t="shared" si="25"/>
        <v>0.00173536728503311</v>
      </c>
      <c r="F71" s="36">
        <f t="shared" ref="F71:F96" si="33">E71+F70</f>
        <v>0.973632993019299</v>
      </c>
      <c r="G71" s="34" t="str">
        <f t="shared" si="26"/>
        <v>C</v>
      </c>
      <c r="H71" s="35">
        <f t="shared" si="27"/>
        <v>17.1299242424242</v>
      </c>
      <c r="I71" s="35">
        <f t="shared" si="28"/>
        <v>376.858333333333</v>
      </c>
      <c r="J71" s="35">
        <f>AVERAGEIF(tSaida[Produto],B71,tSaida[Saída / Demanda])</f>
        <v>180.892</v>
      </c>
      <c r="K71" s="35" cm="1">
        <f t="array" ref="K71">_xlfn.STDEV.S(IF(tSaida[Produto]=Consolidação!B71,tSaida[Saída / Demanda]))</f>
        <v>199.914154326301</v>
      </c>
      <c r="L71" s="36">
        <f t="shared" si="29"/>
        <v>1.10515752120769</v>
      </c>
      <c r="M71" s="35">
        <f t="shared" si="23"/>
        <v>3</v>
      </c>
      <c r="N71" s="36">
        <f t="shared" si="24"/>
        <v>0.99</v>
      </c>
      <c r="O71" s="35">
        <f t="shared" si="30"/>
        <v>908.822039379758</v>
      </c>
      <c r="P71" s="35">
        <f t="shared" si="31"/>
        <v>1451.49803937976</v>
      </c>
      <c r="Q71" s="35">
        <f t="shared" si="32"/>
        <v>3269.14211813927</v>
      </c>
    </row>
    <row r="72" spans="2:17">
      <c r="B72" s="34" t="s">
        <v>38</v>
      </c>
      <c r="C72" s="34" t="s">
        <v>39</v>
      </c>
      <c r="D72" s="35">
        <v>4247</v>
      </c>
      <c r="E72" s="36">
        <f t="shared" si="25"/>
        <v>0.00162972488767566</v>
      </c>
      <c r="F72" s="36">
        <f t="shared" si="33"/>
        <v>0.975262717906975</v>
      </c>
      <c r="G72" s="34" t="str">
        <f t="shared" si="26"/>
        <v>C</v>
      </c>
      <c r="H72" s="35">
        <f t="shared" si="27"/>
        <v>16.0871212121212</v>
      </c>
      <c r="I72" s="35">
        <f t="shared" si="28"/>
        <v>353.916666666667</v>
      </c>
      <c r="J72" s="35">
        <f>AVERAGEIF(tSaida[Produto],B72,tSaida[Saída / Demanda])</f>
        <v>41.6372549019608</v>
      </c>
      <c r="K72" s="35" cm="1">
        <f t="array" ref="K72">_xlfn.STDEV.S(IF(tSaida[Produto]=Consolidação!B72,tSaida[Saída / Demanda]))</f>
        <v>43.5487184146462</v>
      </c>
      <c r="L72" s="36">
        <f t="shared" si="29"/>
        <v>1.04590752961947</v>
      </c>
      <c r="M72" s="35">
        <f t="shared" si="23"/>
        <v>3</v>
      </c>
      <c r="N72" s="36">
        <f t="shared" si="24"/>
        <v>0.99</v>
      </c>
      <c r="O72" s="35">
        <f t="shared" si="30"/>
        <v>200.432570986564</v>
      </c>
      <c r="P72" s="35">
        <f t="shared" si="31"/>
        <v>325.344335692446</v>
      </c>
      <c r="Q72" s="35">
        <f t="shared" si="32"/>
        <v>726.209477665573</v>
      </c>
    </row>
    <row r="73" spans="2:17">
      <c r="B73" s="34" t="s">
        <v>228</v>
      </c>
      <c r="C73" s="34" t="s">
        <v>229</v>
      </c>
      <c r="D73" s="35">
        <v>4224.4</v>
      </c>
      <c r="E73" s="36">
        <f t="shared" si="25"/>
        <v>0.00162105246420933</v>
      </c>
      <c r="F73" s="36">
        <f t="shared" si="33"/>
        <v>0.976883770371184</v>
      </c>
      <c r="G73" s="34" t="str">
        <f t="shared" si="26"/>
        <v>C</v>
      </c>
      <c r="H73" s="35">
        <f t="shared" si="27"/>
        <v>16.0015151515152</v>
      </c>
      <c r="I73" s="35">
        <f t="shared" si="28"/>
        <v>352.033333333333</v>
      </c>
      <c r="J73" s="35">
        <f>AVERAGEIF(tSaida[Produto],B73,tSaida[Saída / Demanda])</f>
        <v>469.377777777778</v>
      </c>
      <c r="K73" s="35" cm="1">
        <f t="array" ref="K73">_xlfn.STDEV.S(IF(tSaida[Produto]=Consolidação!B73,tSaida[Saída / Demanda]))</f>
        <v>423.231053261034</v>
      </c>
      <c r="L73" s="36">
        <f t="shared" si="29"/>
        <v>0.901685323205499</v>
      </c>
      <c r="M73" s="35">
        <f t="shared" si="23"/>
        <v>3</v>
      </c>
      <c r="N73" s="36">
        <f t="shared" si="24"/>
        <v>0.99</v>
      </c>
      <c r="O73" s="35">
        <f t="shared" si="30"/>
        <v>2024.97734977197</v>
      </c>
      <c r="P73" s="35">
        <f t="shared" si="31"/>
        <v>3433.1106831053</v>
      </c>
      <c r="Q73" s="35">
        <f t="shared" si="32"/>
        <v>7483.06538264923</v>
      </c>
    </row>
    <row r="74" spans="2:17">
      <c r="B74" s="34" t="s">
        <v>174</v>
      </c>
      <c r="C74" s="34" t="s">
        <v>175</v>
      </c>
      <c r="D74" s="35">
        <v>3982.5</v>
      </c>
      <c r="E74" s="36">
        <f t="shared" si="25"/>
        <v>0.00152822683427556</v>
      </c>
      <c r="F74" s="36">
        <f t="shared" si="33"/>
        <v>0.978411997205459</v>
      </c>
      <c r="G74" s="34" t="str">
        <f t="shared" si="26"/>
        <v>C</v>
      </c>
      <c r="H74" s="35">
        <f t="shared" si="27"/>
        <v>15.0852272727273</v>
      </c>
      <c r="I74" s="35">
        <f t="shared" si="28"/>
        <v>331.875</v>
      </c>
      <c r="J74" s="35">
        <f>AVERAGEIF(tSaida[Produto],B74,tSaida[Saída / Demanda])</f>
        <v>442.5</v>
      </c>
      <c r="K74" s="35" cm="1">
        <f t="array" ref="K74">_xlfn.STDEV.S(IF(tSaida[Produto]=Consolidação!B74,tSaida[Saída / Demanda]))</f>
        <v>549.911967954872</v>
      </c>
      <c r="L74" s="36">
        <f t="shared" si="29"/>
        <v>1.24273891063248</v>
      </c>
      <c r="M74" s="35">
        <f t="shared" si="23"/>
        <v>3</v>
      </c>
      <c r="N74" s="36">
        <f t="shared" si="24"/>
        <v>0.99</v>
      </c>
      <c r="O74" s="35">
        <f t="shared" si="30"/>
        <v>2443.23656028195</v>
      </c>
      <c r="P74" s="35">
        <f t="shared" si="31"/>
        <v>3770.73656028195</v>
      </c>
      <c r="Q74" s="35">
        <f t="shared" si="32"/>
        <v>8657.20968084585</v>
      </c>
    </row>
    <row r="75" spans="2:17">
      <c r="B75" s="34" t="s">
        <v>200</v>
      </c>
      <c r="C75" s="34" t="s">
        <v>201</v>
      </c>
      <c r="D75" s="35">
        <v>3932.5</v>
      </c>
      <c r="E75" s="36">
        <f t="shared" si="25"/>
        <v>0.0015090400566952</v>
      </c>
      <c r="F75" s="36">
        <f t="shared" si="33"/>
        <v>0.979921037262155</v>
      </c>
      <c r="G75" s="34" t="str">
        <f t="shared" si="26"/>
        <v>C</v>
      </c>
      <c r="H75" s="35">
        <f t="shared" si="27"/>
        <v>14.8958333333333</v>
      </c>
      <c r="I75" s="35">
        <f t="shared" si="28"/>
        <v>327.708333333333</v>
      </c>
      <c r="J75" s="35">
        <f>AVERAGEIF(tSaida[Produto],B75,tSaida[Saída / Demanda])</f>
        <v>109.236111111111</v>
      </c>
      <c r="K75" s="35" cm="1">
        <f t="array" ref="K75">_xlfn.STDEV.S(IF(tSaida[Produto]=Consolidação!B75,tSaida[Saída / Demanda]))</f>
        <v>128.396455564736</v>
      </c>
      <c r="L75" s="36">
        <f t="shared" si="29"/>
        <v>1.17540302614889</v>
      </c>
      <c r="M75" s="35">
        <f t="shared" si="23"/>
        <v>3</v>
      </c>
      <c r="N75" s="36">
        <f t="shared" si="24"/>
        <v>0.99</v>
      </c>
      <c r="O75" s="35">
        <f t="shared" si="30"/>
        <v>576.396886471019</v>
      </c>
      <c r="P75" s="35">
        <f t="shared" si="31"/>
        <v>904.105219804353</v>
      </c>
      <c r="Q75" s="35">
        <f t="shared" si="32"/>
        <v>2056.89899274639</v>
      </c>
    </row>
    <row r="76" spans="2:17">
      <c r="B76" s="34" t="s">
        <v>118</v>
      </c>
      <c r="C76" s="34" t="s">
        <v>119</v>
      </c>
      <c r="D76" s="35">
        <v>3860.8</v>
      </c>
      <c r="E76" s="36">
        <f t="shared" si="25"/>
        <v>0.00148152621764497</v>
      </c>
      <c r="F76" s="36">
        <f t="shared" si="33"/>
        <v>0.9814025634798</v>
      </c>
      <c r="G76" s="34" t="str">
        <f t="shared" si="26"/>
        <v>C</v>
      </c>
      <c r="H76" s="35">
        <f t="shared" si="27"/>
        <v>14.6242424242424</v>
      </c>
      <c r="I76" s="35">
        <f t="shared" si="28"/>
        <v>321.733333333333</v>
      </c>
      <c r="J76" s="35">
        <f>AVERAGEIF(tSaida[Produto],B76,tSaida[Saída / Demanda])</f>
        <v>321.733333333333</v>
      </c>
      <c r="K76" s="35" cm="1">
        <f t="array" ref="K76">_xlfn.STDEV.S(IF(tSaida[Produto]=Consolidação!B76,tSaida[Saída / Demanda]))</f>
        <v>289.114979748804</v>
      </c>
      <c r="L76" s="36">
        <f t="shared" si="29"/>
        <v>0.898616804026536</v>
      </c>
      <c r="M76" s="35">
        <f t="shared" ref="M76:M85" si="34">$M$3</f>
        <v>3</v>
      </c>
      <c r="N76" s="36">
        <f t="shared" si="24"/>
        <v>0.99</v>
      </c>
      <c r="O76" s="35">
        <f t="shared" si="30"/>
        <v>1384.66514333295</v>
      </c>
      <c r="P76" s="35">
        <f t="shared" si="31"/>
        <v>2349.86514333295</v>
      </c>
      <c r="Q76" s="35">
        <f t="shared" si="32"/>
        <v>5119.19542999885</v>
      </c>
    </row>
    <row r="77" spans="2:17">
      <c r="B77" s="34" t="s">
        <v>124</v>
      </c>
      <c r="C77" s="34" t="s">
        <v>125</v>
      </c>
      <c r="D77" s="35">
        <v>3546.4</v>
      </c>
      <c r="E77" s="36">
        <f t="shared" si="25"/>
        <v>0.00136087976021967</v>
      </c>
      <c r="F77" s="36">
        <f t="shared" si="33"/>
        <v>0.982763443240019</v>
      </c>
      <c r="G77" s="34" t="str">
        <f t="shared" si="26"/>
        <v>C</v>
      </c>
      <c r="H77" s="35">
        <f t="shared" si="27"/>
        <v>13.4333333333333</v>
      </c>
      <c r="I77" s="35">
        <f t="shared" si="28"/>
        <v>295.533333333333</v>
      </c>
      <c r="J77" s="35">
        <f>AVERAGEIF(tSaida[Produto],B77,tSaida[Saída / Demanda])</f>
        <v>253.314285714286</v>
      </c>
      <c r="K77" s="35" cm="1">
        <f t="array" ref="K77">_xlfn.STDEV.S(IF(tSaida[Produto]=Consolidação!B77,tSaida[Saída / Demanda]))</f>
        <v>252.628943031361</v>
      </c>
      <c r="L77" s="36">
        <f t="shared" si="29"/>
        <v>0.997294496514511</v>
      </c>
      <c r="M77" s="35">
        <f t="shared" si="34"/>
        <v>3</v>
      </c>
      <c r="N77" s="36">
        <f t="shared" si="24"/>
        <v>0.99</v>
      </c>
      <c r="O77" s="35">
        <f t="shared" si="30"/>
        <v>1176.20359225789</v>
      </c>
      <c r="P77" s="35">
        <f t="shared" si="31"/>
        <v>1936.14644940074</v>
      </c>
      <c r="Q77" s="35">
        <f t="shared" si="32"/>
        <v>4288.55363391652</v>
      </c>
    </row>
    <row r="78" spans="2:17">
      <c r="B78" s="34" t="s">
        <v>116</v>
      </c>
      <c r="C78" s="34" t="s">
        <v>117</v>
      </c>
      <c r="D78" s="35">
        <v>3278.1</v>
      </c>
      <c r="E78" s="36">
        <f t="shared" si="25"/>
        <v>0.00125792351172347</v>
      </c>
      <c r="F78" s="36">
        <f t="shared" si="33"/>
        <v>0.984021366751743</v>
      </c>
      <c r="G78" s="34" t="str">
        <f t="shared" si="26"/>
        <v>C</v>
      </c>
      <c r="H78" s="35">
        <f t="shared" si="27"/>
        <v>12.4170454545455</v>
      </c>
      <c r="I78" s="35">
        <f t="shared" si="28"/>
        <v>273.175</v>
      </c>
      <c r="J78" s="35">
        <f>AVERAGEIF(tSaida[Produto],B78,tSaida[Saída / Demanda])</f>
        <v>172.531578947368</v>
      </c>
      <c r="K78" s="35" cm="1">
        <f t="array" ref="K78">_xlfn.STDEV.S(IF(tSaida[Produto]=Consolidação!B78,tSaida[Saída / Demanda]))</f>
        <v>155.536923278442</v>
      </c>
      <c r="L78" s="36">
        <f t="shared" si="29"/>
        <v>0.901498289341509</v>
      </c>
      <c r="M78" s="35">
        <f t="shared" si="34"/>
        <v>3</v>
      </c>
      <c r="N78" s="36">
        <f t="shared" si="24"/>
        <v>0.99</v>
      </c>
      <c r="O78" s="35">
        <f t="shared" si="30"/>
        <v>744.221734383218</v>
      </c>
      <c r="P78" s="35">
        <f t="shared" si="31"/>
        <v>1261.81647122532</v>
      </c>
      <c r="Q78" s="35">
        <f t="shared" si="32"/>
        <v>2750.25993999176</v>
      </c>
    </row>
    <row r="79" spans="2:17">
      <c r="B79" s="34" t="s">
        <v>164</v>
      </c>
      <c r="C79" s="34" t="s">
        <v>165</v>
      </c>
      <c r="D79" s="35">
        <v>3118.8</v>
      </c>
      <c r="E79" s="36">
        <f t="shared" si="25"/>
        <v>0.00119679443835245</v>
      </c>
      <c r="F79" s="36">
        <f t="shared" si="33"/>
        <v>0.985218161190095</v>
      </c>
      <c r="G79" s="34" t="str">
        <f t="shared" si="26"/>
        <v>C</v>
      </c>
      <c r="H79" s="35">
        <f t="shared" si="27"/>
        <v>11.8136363636364</v>
      </c>
      <c r="I79" s="35">
        <f t="shared" si="28"/>
        <v>259.9</v>
      </c>
      <c r="J79" s="35">
        <f>AVERAGEIF(tSaida[Produto],B79,tSaida[Saída / Demanda])</f>
        <v>259.9</v>
      </c>
      <c r="K79" s="35" cm="1">
        <f t="array" ref="K79">_xlfn.STDEV.S(IF(tSaida[Produto]=Consolidação!B79,tSaida[Saída / Demanda]))</f>
        <v>315.481458899078</v>
      </c>
      <c r="L79" s="36">
        <f t="shared" si="29"/>
        <v>1.21385709464824</v>
      </c>
      <c r="M79" s="35">
        <f t="shared" si="34"/>
        <v>3</v>
      </c>
      <c r="N79" s="36">
        <f t="shared" si="24"/>
        <v>0.99</v>
      </c>
      <c r="O79" s="35">
        <f t="shared" si="30"/>
        <v>1407.64936341948</v>
      </c>
      <c r="P79" s="35">
        <f t="shared" si="31"/>
        <v>2187.34936341948</v>
      </c>
      <c r="Q79" s="35">
        <f t="shared" si="32"/>
        <v>5002.64809025843</v>
      </c>
    </row>
    <row r="80" spans="2:17">
      <c r="B80" s="34" t="s">
        <v>52</v>
      </c>
      <c r="C80" s="34" t="s">
        <v>53</v>
      </c>
      <c r="D80" s="35">
        <v>2915.1</v>
      </c>
      <c r="E80" s="36">
        <f t="shared" si="25"/>
        <v>0.00111862750649007</v>
      </c>
      <c r="F80" s="36">
        <f t="shared" si="33"/>
        <v>0.986336788696585</v>
      </c>
      <c r="G80" s="34" t="str">
        <f t="shared" si="26"/>
        <v>C</v>
      </c>
      <c r="H80" s="35">
        <f t="shared" si="27"/>
        <v>11.0420454545455</v>
      </c>
      <c r="I80" s="35">
        <f t="shared" si="28"/>
        <v>242.925</v>
      </c>
      <c r="J80" s="35">
        <f>AVERAGEIF(tSaida[Produto],B80,tSaida[Saída / Demanda])</f>
        <v>265.009090909091</v>
      </c>
      <c r="K80" s="35" cm="1">
        <f t="array" ref="K80">_xlfn.STDEV.S(IF(tSaida[Produto]=Consolidação!B80,tSaida[Saída / Demanda]))</f>
        <v>250.776503901564</v>
      </c>
      <c r="L80" s="36">
        <f t="shared" si="29"/>
        <v>0.946293966902404</v>
      </c>
      <c r="M80" s="35">
        <f t="shared" si="34"/>
        <v>3</v>
      </c>
      <c r="N80" s="36">
        <f t="shared" si="24"/>
        <v>0.99</v>
      </c>
      <c r="O80" s="35">
        <f t="shared" si="30"/>
        <v>1183.68910332616</v>
      </c>
      <c r="P80" s="35">
        <f t="shared" si="31"/>
        <v>1978.71637605343</v>
      </c>
      <c r="Q80" s="35">
        <f t="shared" si="32"/>
        <v>4346.09458270575</v>
      </c>
    </row>
    <row r="81" spans="2:17">
      <c r="B81" s="34" t="s">
        <v>128</v>
      </c>
      <c r="C81" s="34" t="s">
        <v>129</v>
      </c>
      <c r="D81" s="35">
        <v>2801.2</v>
      </c>
      <c r="E81" s="36">
        <f t="shared" si="25"/>
        <v>0.00107492002716201</v>
      </c>
      <c r="F81" s="36">
        <f t="shared" si="33"/>
        <v>0.987411708723747</v>
      </c>
      <c r="G81" s="34" t="str">
        <f t="shared" si="26"/>
        <v>C</v>
      </c>
      <c r="H81" s="35">
        <f t="shared" si="27"/>
        <v>10.6106060606061</v>
      </c>
      <c r="I81" s="35">
        <f t="shared" si="28"/>
        <v>233.433333333333</v>
      </c>
      <c r="J81" s="35">
        <f>AVERAGEIF(tSaida[Produto],B81,tSaida[Saída / Demanda])</f>
        <v>147.431578947368</v>
      </c>
      <c r="K81" s="35" cm="1">
        <f t="array" ref="K81">_xlfn.STDEV.S(IF(tSaida[Produto]=Consolidação!B81,tSaida[Saída / Demanda]))</f>
        <v>220.438031233349</v>
      </c>
      <c r="L81" s="36">
        <f t="shared" si="29"/>
        <v>1.49518870249666</v>
      </c>
      <c r="M81" s="35">
        <f t="shared" si="34"/>
        <v>3</v>
      </c>
      <c r="N81" s="36">
        <f t="shared" si="24"/>
        <v>0.99</v>
      </c>
      <c r="O81" s="35">
        <f t="shared" si="30"/>
        <v>952.141097365431</v>
      </c>
      <c r="P81" s="35">
        <f t="shared" si="31"/>
        <v>1394.43583420754</v>
      </c>
      <c r="Q81" s="35">
        <f t="shared" si="32"/>
        <v>3298.7180289384</v>
      </c>
    </row>
    <row r="82" spans="2:17">
      <c r="B82" s="34" t="s">
        <v>6</v>
      </c>
      <c r="C82" s="34" t="s">
        <v>7</v>
      </c>
      <c r="D82" s="35">
        <v>2796.85</v>
      </c>
      <c r="E82" s="36">
        <f t="shared" si="25"/>
        <v>0.00107325077751252</v>
      </c>
      <c r="F82" s="36">
        <f t="shared" si="33"/>
        <v>0.98848495950126</v>
      </c>
      <c r="G82" s="34" t="str">
        <f t="shared" si="26"/>
        <v>C</v>
      </c>
      <c r="H82" s="35">
        <f t="shared" si="27"/>
        <v>10.5941287878788</v>
      </c>
      <c r="I82" s="35">
        <f t="shared" si="28"/>
        <v>233.070833333333</v>
      </c>
      <c r="J82" s="35">
        <f>AVERAGEIF(tSaida[Produto],B82,tSaida[Saída / Demanda])</f>
        <v>103.587037037037</v>
      </c>
      <c r="K82" s="35" cm="1">
        <f t="array" ref="K82">_xlfn.STDEV.S(IF(tSaida[Produto]=Consolidação!B82,tSaida[Saída / Demanda]))</f>
        <v>168.596199765886</v>
      </c>
      <c r="L82" s="36">
        <f t="shared" si="29"/>
        <v>1.62758009677992</v>
      </c>
      <c r="M82" s="35">
        <f t="shared" si="34"/>
        <v>3</v>
      </c>
      <c r="N82" s="36">
        <f t="shared" si="24"/>
        <v>0.99</v>
      </c>
      <c r="O82" s="35">
        <f t="shared" si="30"/>
        <v>720.808705882723</v>
      </c>
      <c r="P82" s="35">
        <f t="shared" si="31"/>
        <v>1031.56981699383</v>
      </c>
      <c r="Q82" s="35">
        <f t="shared" si="32"/>
        <v>2473.18722875928</v>
      </c>
    </row>
    <row r="83" spans="2:17">
      <c r="B83" s="34" t="s">
        <v>32</v>
      </c>
      <c r="C83" s="34" t="s">
        <v>33</v>
      </c>
      <c r="D83" s="35">
        <v>2500</v>
      </c>
      <c r="E83" s="36">
        <f t="shared" si="25"/>
        <v>0.000959338879017928</v>
      </c>
      <c r="F83" s="36">
        <f t="shared" si="33"/>
        <v>0.989444298380278</v>
      </c>
      <c r="G83" s="34" t="str">
        <f t="shared" si="26"/>
        <v>C</v>
      </c>
      <c r="H83" s="35">
        <f t="shared" si="27"/>
        <v>9.46969696969697</v>
      </c>
      <c r="I83" s="35">
        <f t="shared" si="28"/>
        <v>208.333333333333</v>
      </c>
      <c r="J83" s="35">
        <f>AVERAGEIF(tSaida[Produto],B83,tSaida[Saída / Demanda])</f>
        <v>12.1359223300971</v>
      </c>
      <c r="K83" s="35" cm="1">
        <f t="array" ref="K83">_xlfn.STDEV.S(IF(tSaida[Produto]=Consolidação!B83,tSaida[Saída / Demanda]))</f>
        <v>15.0112468689244</v>
      </c>
      <c r="L83" s="36">
        <f t="shared" si="29"/>
        <v>1.23692674199937</v>
      </c>
      <c r="M83" s="35">
        <f t="shared" si="34"/>
        <v>3</v>
      </c>
      <c r="N83" s="36">
        <f t="shared" si="24"/>
        <v>0.99</v>
      </c>
      <c r="O83" s="35">
        <f t="shared" si="30"/>
        <v>66.7501005999692</v>
      </c>
      <c r="P83" s="35">
        <f t="shared" si="31"/>
        <v>103.157867590261</v>
      </c>
      <c r="Q83" s="35">
        <f t="shared" si="32"/>
        <v>236.658068790199</v>
      </c>
    </row>
    <row r="84" spans="2:17">
      <c r="B84" s="34" t="s">
        <v>146</v>
      </c>
      <c r="C84" s="34" t="s">
        <v>147</v>
      </c>
      <c r="D84" s="35">
        <v>2482.7</v>
      </c>
      <c r="E84" s="36">
        <f t="shared" si="25"/>
        <v>0.000952700253975124</v>
      </c>
      <c r="F84" s="36">
        <f t="shared" si="33"/>
        <v>0.990396998634253</v>
      </c>
      <c r="G84" s="34" t="str">
        <f t="shared" si="26"/>
        <v>C</v>
      </c>
      <c r="H84" s="35">
        <f t="shared" si="27"/>
        <v>9.40416666666667</v>
      </c>
      <c r="I84" s="35">
        <f t="shared" si="28"/>
        <v>206.891666666667</v>
      </c>
      <c r="J84" s="35">
        <f>AVERAGEIF(tSaida[Produto],B84,tSaida[Saída / Demanda])</f>
        <v>177.335714285714</v>
      </c>
      <c r="K84" s="35" cm="1">
        <f t="array" ref="K84">_xlfn.STDEV.S(IF(tSaida[Produto]=Consolidação!B84,tSaida[Saída / Demanda]))</f>
        <v>158.522867106309</v>
      </c>
      <c r="L84" s="36">
        <f t="shared" si="29"/>
        <v>0.893913940261941</v>
      </c>
      <c r="M84" s="35">
        <f t="shared" si="34"/>
        <v>3</v>
      </c>
      <c r="N84" s="36">
        <f t="shared" si="24"/>
        <v>0.99</v>
      </c>
      <c r="O84" s="35">
        <f t="shared" si="30"/>
        <v>760.386486645179</v>
      </c>
      <c r="P84" s="35">
        <f t="shared" si="31"/>
        <v>1292.39362950232</v>
      </c>
      <c r="Q84" s="35">
        <f t="shared" si="32"/>
        <v>2813.16660279268</v>
      </c>
    </row>
    <row r="85" spans="2:17">
      <c r="B85" s="34" t="s">
        <v>188</v>
      </c>
      <c r="C85" s="34" t="s">
        <v>189</v>
      </c>
      <c r="D85" s="35">
        <v>2420.5</v>
      </c>
      <c r="E85" s="36">
        <f t="shared" si="25"/>
        <v>0.000928831902665158</v>
      </c>
      <c r="F85" s="36">
        <f t="shared" si="33"/>
        <v>0.991325830536918</v>
      </c>
      <c r="G85" s="34" t="str">
        <f t="shared" si="26"/>
        <v>C</v>
      </c>
      <c r="H85" s="35">
        <f t="shared" si="27"/>
        <v>9.16856060606061</v>
      </c>
      <c r="I85" s="35">
        <f t="shared" si="28"/>
        <v>201.708333333333</v>
      </c>
      <c r="J85" s="35">
        <f>AVERAGEIF(tSaida[Produto],B85,tSaida[Saída / Demanda])</f>
        <v>105.239130434783</v>
      </c>
      <c r="K85" s="35" cm="1">
        <f t="array" ref="K85">_xlfn.STDEV.S(IF(tSaida[Produto]=Consolidação!B85,tSaida[Saída / Demanda]))</f>
        <v>126.983877785297</v>
      </c>
      <c r="L85" s="36">
        <f t="shared" si="29"/>
        <v>1.20662226360745</v>
      </c>
      <c r="M85" s="35">
        <f t="shared" si="34"/>
        <v>3</v>
      </c>
      <c r="N85" s="36">
        <f t="shared" si="24"/>
        <v>0.99</v>
      </c>
      <c r="O85" s="35">
        <f t="shared" si="30"/>
        <v>567.21871534258</v>
      </c>
      <c r="P85" s="35">
        <f t="shared" si="31"/>
        <v>882.936106646928</v>
      </c>
      <c r="Q85" s="35">
        <f t="shared" si="32"/>
        <v>2017.37353733209</v>
      </c>
    </row>
    <row r="86" spans="2:17">
      <c r="B86" s="34" t="s">
        <v>192</v>
      </c>
      <c r="C86" s="34" t="s">
        <v>193</v>
      </c>
      <c r="D86" s="35">
        <v>1971.2</v>
      </c>
      <c r="E86" s="36">
        <f t="shared" si="25"/>
        <v>0.000756419519328056</v>
      </c>
      <c r="F86" s="36">
        <f t="shared" si="33"/>
        <v>0.992082250056246</v>
      </c>
      <c r="G86" s="34" t="str">
        <f t="shared" si="26"/>
        <v>C</v>
      </c>
      <c r="H86" s="35">
        <f t="shared" si="27"/>
        <v>7.46666666666667</v>
      </c>
      <c r="I86" s="35">
        <f t="shared" si="28"/>
        <v>164.266666666667</v>
      </c>
      <c r="J86" s="35">
        <f>AVERAGEIF(tSaida[Produto],B86,tSaida[Saída / Demanda])</f>
        <v>328.533333333333</v>
      </c>
      <c r="K86" s="35" cm="1">
        <f t="array" ref="K86">_xlfn.STDEV.S(IF(tSaida[Produto]=Consolidação!B86,tSaida[Saída / Demanda]))</f>
        <v>361.11823363916</v>
      </c>
      <c r="L86" s="36">
        <f t="shared" si="29"/>
        <v>1.09918293518413</v>
      </c>
      <c r="M86" s="35">
        <f t="shared" ref="M86:M96" si="35">$M$3</f>
        <v>3</v>
      </c>
      <c r="N86" s="36">
        <f t="shared" si="24"/>
        <v>0.99</v>
      </c>
      <c r="O86" s="35">
        <f t="shared" si="30"/>
        <v>1643.58294428942</v>
      </c>
      <c r="P86" s="35">
        <f t="shared" si="31"/>
        <v>2629.18294428942</v>
      </c>
      <c r="Q86" s="35">
        <f t="shared" si="32"/>
        <v>5916.34883286827</v>
      </c>
    </row>
    <row r="87" spans="2:17">
      <c r="B87" s="34" t="s">
        <v>34</v>
      </c>
      <c r="C87" s="34" t="s">
        <v>35</v>
      </c>
      <c r="D87" s="35">
        <v>1891</v>
      </c>
      <c r="E87" s="36">
        <f t="shared" si="25"/>
        <v>0.000725643928089161</v>
      </c>
      <c r="F87" s="36">
        <f t="shared" si="33"/>
        <v>0.992807893984335</v>
      </c>
      <c r="G87" s="34" t="str">
        <f t="shared" si="26"/>
        <v>C</v>
      </c>
      <c r="H87" s="35">
        <f t="shared" si="27"/>
        <v>7.16287878787879</v>
      </c>
      <c r="I87" s="35">
        <f t="shared" si="28"/>
        <v>157.583333333333</v>
      </c>
      <c r="J87" s="35">
        <f>AVERAGEIF(tSaida[Produto],B87,tSaida[Saída / Demanda])</f>
        <v>11.3915662650602</v>
      </c>
      <c r="K87" s="35" cm="1">
        <f t="array" ref="K87">_xlfn.STDEV.S(IF(tSaida[Produto]=Consolidação!B87,tSaida[Saída / Demanda]))</f>
        <v>19.77594930377</v>
      </c>
      <c r="L87" s="36">
        <f t="shared" si="29"/>
        <v>1.73601670249911</v>
      </c>
      <c r="M87" s="35">
        <f t="shared" si="35"/>
        <v>3</v>
      </c>
      <c r="N87" s="36">
        <f t="shared" si="24"/>
        <v>0.99</v>
      </c>
      <c r="O87" s="35">
        <f t="shared" si="30"/>
        <v>83.975432231407</v>
      </c>
      <c r="P87" s="35">
        <f t="shared" si="31"/>
        <v>118.150131026588</v>
      </c>
      <c r="Q87" s="35">
        <f t="shared" si="32"/>
        <v>286.100995489402</v>
      </c>
    </row>
    <row r="88" spans="2:17">
      <c r="B88" s="34" t="s">
        <v>184</v>
      </c>
      <c r="C88" s="34" t="s">
        <v>185</v>
      </c>
      <c r="D88" s="35">
        <v>1777.5</v>
      </c>
      <c r="E88" s="36">
        <f t="shared" si="25"/>
        <v>0.000682089942981747</v>
      </c>
      <c r="F88" s="36">
        <f t="shared" si="33"/>
        <v>0.993489983927317</v>
      </c>
      <c r="G88" s="34" t="str">
        <f t="shared" si="26"/>
        <v>C</v>
      </c>
      <c r="H88" s="35">
        <f t="shared" si="27"/>
        <v>6.73295454545455</v>
      </c>
      <c r="I88" s="35">
        <f t="shared" si="28"/>
        <v>148.125</v>
      </c>
      <c r="J88" s="35">
        <f>AVERAGEIF(tSaida[Produto],B88,tSaida[Saída / Demanda])</f>
        <v>444.375</v>
      </c>
      <c r="K88" s="35" cm="1">
        <f t="array" ref="K88">_xlfn.STDEV.S(IF(tSaida[Produto]=Consolidação!B88,tSaida[Saída / Demanda]))</f>
        <v>287.265769802112</v>
      </c>
      <c r="L88" s="36">
        <f t="shared" si="29"/>
        <v>0.646448989709394</v>
      </c>
      <c r="M88" s="35">
        <f t="shared" si="35"/>
        <v>3</v>
      </c>
      <c r="N88" s="36">
        <f t="shared" si="24"/>
        <v>0.99</v>
      </c>
      <c r="O88" s="35">
        <f t="shared" si="30"/>
        <v>1551.92688945114</v>
      </c>
      <c r="P88" s="35">
        <f t="shared" si="31"/>
        <v>2885.05188945114</v>
      </c>
      <c r="Q88" s="35">
        <f t="shared" si="32"/>
        <v>5988.90566835341</v>
      </c>
    </row>
    <row r="89" spans="2:17">
      <c r="B89" s="34" t="s">
        <v>222</v>
      </c>
      <c r="C89" s="34" t="s">
        <v>223</v>
      </c>
      <c r="D89" s="35">
        <v>1523.05</v>
      </c>
      <c r="E89" s="36">
        <f t="shared" si="25"/>
        <v>0.000584448431875302</v>
      </c>
      <c r="F89" s="36">
        <f t="shared" si="33"/>
        <v>0.994074432359192</v>
      </c>
      <c r="G89" s="34" t="str">
        <f t="shared" si="26"/>
        <v>C</v>
      </c>
      <c r="H89" s="35">
        <f t="shared" si="27"/>
        <v>5.76912878787879</v>
      </c>
      <c r="I89" s="35">
        <f t="shared" si="28"/>
        <v>126.920833333333</v>
      </c>
      <c r="J89" s="35">
        <f>AVERAGEIF(tSaida[Produto],B89,tSaida[Saída / Demanda])</f>
        <v>304.61</v>
      </c>
      <c r="K89" s="35" cm="1">
        <f t="array" ref="K89">_xlfn.STDEV.S(IF(tSaida[Produto]=Consolidação!B89,tSaida[Saída / Demanda]))</f>
        <v>202.931421297935</v>
      </c>
      <c r="L89" s="36">
        <f t="shared" si="29"/>
        <v>0.666200785587916</v>
      </c>
      <c r="M89" s="35">
        <f t="shared" si="35"/>
        <v>3</v>
      </c>
      <c r="N89" s="36">
        <f t="shared" si="24"/>
        <v>0.99</v>
      </c>
      <c r="O89" s="35">
        <f t="shared" si="30"/>
        <v>1082.01622572415</v>
      </c>
      <c r="P89" s="35">
        <f t="shared" si="31"/>
        <v>1995.84622572415</v>
      </c>
      <c r="Q89" s="35">
        <f t="shared" si="32"/>
        <v>4159.87867717246</v>
      </c>
    </row>
    <row r="90" spans="2:17">
      <c r="B90" s="34" t="s">
        <v>190</v>
      </c>
      <c r="C90" s="34" t="s">
        <v>191</v>
      </c>
      <c r="D90" s="35">
        <v>1485</v>
      </c>
      <c r="E90" s="36">
        <f t="shared" si="25"/>
        <v>0.00056984729413665</v>
      </c>
      <c r="F90" s="36">
        <f t="shared" si="33"/>
        <v>0.994644279653329</v>
      </c>
      <c r="G90" s="34" t="str">
        <f t="shared" si="26"/>
        <v>C</v>
      </c>
      <c r="H90" s="35">
        <f t="shared" si="27"/>
        <v>5.625</v>
      </c>
      <c r="I90" s="35">
        <f t="shared" si="28"/>
        <v>123.75</v>
      </c>
      <c r="J90" s="35">
        <f>AVERAGEIF(tSaida[Produto],B90,tSaida[Saída / Demanda])</f>
        <v>212.142857142857</v>
      </c>
      <c r="K90" s="35" cm="1">
        <f t="array" ref="K90">_xlfn.STDEV.S(IF(tSaida[Produto]=Consolidação!B90,tSaida[Saída / Demanda]))</f>
        <v>208.808866806807</v>
      </c>
      <c r="L90" s="36">
        <f t="shared" si="29"/>
        <v>0.984284220638147</v>
      </c>
      <c r="M90" s="35">
        <f t="shared" si="35"/>
        <v>3</v>
      </c>
      <c r="N90" s="36">
        <f t="shared" si="24"/>
        <v>0.99</v>
      </c>
      <c r="O90" s="35">
        <f t="shared" si="30"/>
        <v>975.425264477821</v>
      </c>
      <c r="P90" s="35">
        <f t="shared" si="31"/>
        <v>1611.85383590639</v>
      </c>
      <c r="Q90" s="35">
        <f t="shared" si="32"/>
        <v>3562.70436486203</v>
      </c>
    </row>
    <row r="91" spans="2:17">
      <c r="B91" s="34" t="s">
        <v>106</v>
      </c>
      <c r="C91" s="34" t="s">
        <v>107</v>
      </c>
      <c r="D91" s="35">
        <v>1455.3</v>
      </c>
      <c r="E91" s="36">
        <f t="shared" si="25"/>
        <v>0.000558450348253917</v>
      </c>
      <c r="F91" s="36">
        <f t="shared" si="33"/>
        <v>0.995202730001583</v>
      </c>
      <c r="G91" s="34" t="str">
        <f t="shared" si="26"/>
        <v>C</v>
      </c>
      <c r="H91" s="35">
        <f t="shared" si="27"/>
        <v>5.5125</v>
      </c>
      <c r="I91" s="35">
        <f t="shared" si="28"/>
        <v>121.275</v>
      </c>
      <c r="J91" s="35">
        <f>AVERAGEIF(tSaida[Produto],B91,tSaida[Saída / Demanda])</f>
        <v>22.05</v>
      </c>
      <c r="K91" s="35" cm="1">
        <f t="array" ref="K91">_xlfn.STDEV.S(IF(tSaida[Produto]=Consolidação!B91,tSaida[Saída / Demanda]))</f>
        <v>49.348186000485</v>
      </c>
      <c r="L91" s="36">
        <f t="shared" si="29"/>
        <v>2.23801297054354</v>
      </c>
      <c r="M91" s="35">
        <f t="shared" si="35"/>
        <v>3</v>
      </c>
      <c r="N91" s="36">
        <f t="shared" si="24"/>
        <v>0.99</v>
      </c>
      <c r="O91" s="35">
        <f t="shared" si="30"/>
        <v>205.351206924623</v>
      </c>
      <c r="P91" s="35">
        <f t="shared" si="31"/>
        <v>271.501206924623</v>
      </c>
      <c r="Q91" s="35">
        <f t="shared" si="32"/>
        <v>682.203620773868</v>
      </c>
    </row>
    <row r="92" spans="2:17">
      <c r="B92" s="34" t="s">
        <v>230</v>
      </c>
      <c r="C92" s="34" t="s">
        <v>231</v>
      </c>
      <c r="D92" s="35">
        <v>1228.15</v>
      </c>
      <c r="E92" s="36">
        <f t="shared" si="25"/>
        <v>0.000471284817706348</v>
      </c>
      <c r="F92" s="36">
        <f t="shared" si="33"/>
        <v>0.995674014819289</v>
      </c>
      <c r="G92" s="34" t="str">
        <f t="shared" si="26"/>
        <v>C</v>
      </c>
      <c r="H92" s="35">
        <f t="shared" si="27"/>
        <v>4.65208333333333</v>
      </c>
      <c r="I92" s="35">
        <f t="shared" si="28"/>
        <v>102.345833333333</v>
      </c>
      <c r="J92" s="35">
        <f>AVERAGEIF(tSaida[Produto],B92,tSaida[Saída / Demanda])</f>
        <v>204.691666666667</v>
      </c>
      <c r="K92" s="35" cm="1">
        <f t="array" ref="K92">_xlfn.STDEV.S(IF(tSaida[Produto]=Consolidação!B92,tSaida[Saída / Demanda]))</f>
        <v>116.518725605229</v>
      </c>
      <c r="L92" s="36">
        <f t="shared" si="29"/>
        <v>0.569240201629585</v>
      </c>
      <c r="M92" s="35">
        <f t="shared" si="35"/>
        <v>3</v>
      </c>
      <c r="N92" s="36">
        <f t="shared" si="24"/>
        <v>0.99</v>
      </c>
      <c r="O92" s="35">
        <f t="shared" si="30"/>
        <v>668.712808269168</v>
      </c>
      <c r="P92" s="35">
        <f t="shared" si="31"/>
        <v>1282.78780826917</v>
      </c>
      <c r="Q92" s="35">
        <f t="shared" si="32"/>
        <v>2620.21342480751</v>
      </c>
    </row>
    <row r="93" spans="2:17">
      <c r="B93" s="34" t="s">
        <v>234</v>
      </c>
      <c r="C93" s="34" t="s">
        <v>235</v>
      </c>
      <c r="D93" s="35">
        <v>1215.4</v>
      </c>
      <c r="E93" s="36">
        <f t="shared" si="25"/>
        <v>0.000466392189423356</v>
      </c>
      <c r="F93" s="36">
        <f t="shared" si="33"/>
        <v>0.996140407008713</v>
      </c>
      <c r="G93" s="34" t="str">
        <f t="shared" si="26"/>
        <v>C</v>
      </c>
      <c r="H93" s="35">
        <f t="shared" si="27"/>
        <v>4.60378787878788</v>
      </c>
      <c r="I93" s="35">
        <f t="shared" si="28"/>
        <v>101.283333333333</v>
      </c>
      <c r="J93" s="35">
        <f>AVERAGEIF(tSaida[Produto],B93,tSaida[Saída / Demanda])</f>
        <v>607.7</v>
      </c>
      <c r="K93" s="35" cm="1">
        <f t="array" ref="K93">_xlfn.STDEV.S(IF(tSaida[Produto]=Consolidação!B93,tSaida[Saída / Demanda]))</f>
        <v>568.089588005272</v>
      </c>
      <c r="L93" s="36">
        <f t="shared" si="29"/>
        <v>0.934819134450012</v>
      </c>
      <c r="M93" s="35">
        <f t="shared" si="35"/>
        <v>3</v>
      </c>
      <c r="N93" s="36">
        <f t="shared" si="24"/>
        <v>0.99</v>
      </c>
      <c r="O93" s="35">
        <f t="shared" si="30"/>
        <v>2690.40560614238</v>
      </c>
      <c r="P93" s="35">
        <f t="shared" si="31"/>
        <v>4513.50560614238</v>
      </c>
      <c r="Q93" s="35">
        <f t="shared" si="32"/>
        <v>9894.31681842713</v>
      </c>
    </row>
    <row r="94" spans="2:17">
      <c r="B94" s="34" t="s">
        <v>36</v>
      </c>
      <c r="C94" s="34" t="s">
        <v>37</v>
      </c>
      <c r="D94" s="35">
        <v>1087</v>
      </c>
      <c r="E94" s="36">
        <f t="shared" si="25"/>
        <v>0.000417120544596995</v>
      </c>
      <c r="F94" s="36">
        <f t="shared" si="33"/>
        <v>0.99655752755331</v>
      </c>
      <c r="G94" s="34" t="str">
        <f t="shared" si="26"/>
        <v>C</v>
      </c>
      <c r="H94" s="35">
        <f t="shared" si="27"/>
        <v>4.11742424242424</v>
      </c>
      <c r="I94" s="35">
        <f t="shared" si="28"/>
        <v>90.5833333333333</v>
      </c>
      <c r="J94" s="35">
        <f>AVERAGEIF(tSaida[Produto],B94,tSaida[Saída / Demanda])</f>
        <v>8.23484848484848</v>
      </c>
      <c r="K94" s="35" cm="1">
        <f t="array" ref="K94">_xlfn.STDEV.S(IF(tSaida[Produto]=Consolidação!B94,tSaida[Saída / Demanda]))</f>
        <v>9.07042829432639</v>
      </c>
      <c r="L94" s="36">
        <f t="shared" si="29"/>
        <v>1.10146875331286</v>
      </c>
      <c r="M94" s="35">
        <f t="shared" si="35"/>
        <v>3</v>
      </c>
      <c r="N94" s="36">
        <f t="shared" si="24"/>
        <v>0.99</v>
      </c>
      <c r="O94" s="35">
        <f t="shared" si="30"/>
        <v>41.2643712936193</v>
      </c>
      <c r="P94" s="35">
        <f t="shared" si="31"/>
        <v>65.9689167481648</v>
      </c>
      <c r="Q94" s="35">
        <f t="shared" si="32"/>
        <v>148.497659335403</v>
      </c>
    </row>
    <row r="95" spans="2:17">
      <c r="B95" s="34" t="s">
        <v>142</v>
      </c>
      <c r="C95" s="34" t="s">
        <v>143</v>
      </c>
      <c r="D95" s="35">
        <v>850</v>
      </c>
      <c r="E95" s="36">
        <f t="shared" si="25"/>
        <v>0.000326175218866096</v>
      </c>
      <c r="F95" s="36">
        <f t="shared" si="33"/>
        <v>0.996883702772176</v>
      </c>
      <c r="G95" s="34" t="str">
        <f t="shared" si="26"/>
        <v>C</v>
      </c>
      <c r="H95" s="35">
        <f t="shared" si="27"/>
        <v>3.21969696969697</v>
      </c>
      <c r="I95" s="35">
        <f t="shared" si="28"/>
        <v>70.8333333333333</v>
      </c>
      <c r="J95" s="35">
        <f>AVERAGEIF(tSaida[Produto],B95,tSaida[Saída / Demanda])</f>
        <v>12.8787878787879</v>
      </c>
      <c r="K95" s="35" cm="1">
        <f t="array" ref="K95">_xlfn.STDEV.S(IF(tSaida[Produto]=Consolidação!B95,tSaida[Saída / Demanda]))</f>
        <v>14.1187438442281</v>
      </c>
      <c r="L95" s="36">
        <f t="shared" si="29"/>
        <v>1.09627893378712</v>
      </c>
      <c r="M95" s="35">
        <f t="shared" si="35"/>
        <v>3</v>
      </c>
      <c r="N95" s="36">
        <f t="shared" si="24"/>
        <v>0.99</v>
      </c>
      <c r="O95" s="35">
        <f t="shared" si="30"/>
        <v>64.2964828269689</v>
      </c>
      <c r="P95" s="35">
        <f t="shared" si="31"/>
        <v>102.932846463333</v>
      </c>
      <c r="Q95" s="35">
        <f t="shared" si="32"/>
        <v>231.52581211727</v>
      </c>
    </row>
    <row r="96" spans="2:17">
      <c r="B96" s="34" t="s">
        <v>204</v>
      </c>
      <c r="C96" s="34" t="s">
        <v>205</v>
      </c>
      <c r="D96" s="35">
        <v>823.75</v>
      </c>
      <c r="E96" s="36">
        <f t="shared" si="25"/>
        <v>0.000316102160636407</v>
      </c>
      <c r="F96" s="36">
        <f t="shared" si="33"/>
        <v>0.997199804932812</v>
      </c>
      <c r="G96" s="34" t="str">
        <f t="shared" si="26"/>
        <v>C</v>
      </c>
      <c r="H96" s="35">
        <f t="shared" si="27"/>
        <v>3.12026515151515</v>
      </c>
      <c r="I96" s="35">
        <f t="shared" si="28"/>
        <v>68.6458333333333</v>
      </c>
      <c r="J96" s="35">
        <f>AVERAGEIF(tSaida[Produto],B96,tSaida[Saída / Demanda])</f>
        <v>274.583333333333</v>
      </c>
      <c r="K96" s="35" cm="1">
        <f t="array" ref="K96">_xlfn.STDEV.S(IF(tSaida[Produto]=Consolidação!B96,tSaida[Saída / Demanda]))</f>
        <v>167.20577392343</v>
      </c>
      <c r="L96" s="36">
        <f t="shared" si="29"/>
        <v>0.6089436379609</v>
      </c>
      <c r="M96" s="35">
        <f t="shared" si="35"/>
        <v>3</v>
      </c>
      <c r="N96" s="36">
        <f t="shared" si="24"/>
        <v>0.99</v>
      </c>
      <c r="O96" s="35">
        <f t="shared" si="30"/>
        <v>928.41194678828</v>
      </c>
      <c r="P96" s="35">
        <f t="shared" si="31"/>
        <v>1752.16194678828</v>
      </c>
      <c r="Q96" s="35">
        <f t="shared" si="32"/>
        <v>3608.98584036484</v>
      </c>
    </row>
    <row r="97" spans="2:17">
      <c r="B97" t="s">
        <v>236</v>
      </c>
      <c r="C97" t="s">
        <v>237</v>
      </c>
      <c r="D97">
        <v>754.8</v>
      </c>
      <c r="E97" s="36">
        <f t="shared" ref="E97:E122" si="36">D97/$C$2</f>
        <v>0.000289643594353093</v>
      </c>
      <c r="F97" s="36">
        <f t="shared" ref="F97:F122" si="37">E97+F96</f>
        <v>0.997489448527165</v>
      </c>
      <c r="G97" s="34" t="str">
        <f t="shared" ref="G97:G122" si="38">IF(F97&lt;0.8,"A",IF(F97&gt;=0.95,"C","B"))</f>
        <v>C</v>
      </c>
      <c r="H97" s="35">
        <f t="shared" ref="H97:H122" si="39">D97/12/22</f>
        <v>2.85909090909091</v>
      </c>
      <c r="I97" s="35">
        <f t="shared" ref="I97:I122" si="40">H97*22</f>
        <v>62.9</v>
      </c>
      <c r="J97" s="35">
        <f>AVERAGEIF(tSaida[Produto],B97,tSaida[Saída / Demanda])</f>
        <v>754.8</v>
      </c>
      <c r="K97" s="35" t="e" cm="1">
        <f t="array" ref="K97">_xlfn.STDEV.S(IF(tSaida[Produto]=Consolidação!B97,tSaida[Saída / Demanda]))</f>
        <v>#DIV/0!</v>
      </c>
      <c r="L97" s="36" t="e">
        <f t="shared" ref="L97:L122" si="41">K97/J97</f>
        <v>#DIV/0!</v>
      </c>
      <c r="M97" s="35">
        <f t="shared" ref="M97:M106" si="42">$M$3</f>
        <v>3</v>
      </c>
      <c r="N97" s="36">
        <f t="shared" ref="N97:N106" si="43">$N$3</f>
        <v>0.99</v>
      </c>
      <c r="O97" s="35" t="e">
        <f t="shared" ref="O97:O122" si="44">NORMSINV(N97)*SQRT((K97^2)*M97+(J97^2)*(1^2))</f>
        <v>#DIV/0!</v>
      </c>
      <c r="P97" s="35" t="e">
        <f t="shared" ref="P97:P122" si="45">J97*M97+O97</f>
        <v>#DIV/0!</v>
      </c>
      <c r="Q97" s="35" t="str">
        <f t="shared" ref="Q97:Q122" si="46">IFERROR((J97+O97)*M97,"")</f>
        <v/>
      </c>
    </row>
    <row r="98" spans="2:17">
      <c r="B98" t="s">
        <v>30</v>
      </c>
      <c r="C98" t="s">
        <v>31</v>
      </c>
      <c r="D98">
        <v>742</v>
      </c>
      <c r="E98" s="36">
        <f t="shared" si="36"/>
        <v>0.000284731779292521</v>
      </c>
      <c r="F98" s="36">
        <f t="shared" si="37"/>
        <v>0.997774180306458</v>
      </c>
      <c r="G98" s="34" t="str">
        <f t="shared" si="38"/>
        <v>C</v>
      </c>
      <c r="H98" s="35">
        <f t="shared" si="39"/>
        <v>2.81060606060606</v>
      </c>
      <c r="I98" s="35">
        <f t="shared" si="40"/>
        <v>61.8333333333333</v>
      </c>
      <c r="J98" s="35">
        <f>AVERAGEIF(tSaida[Produto],B98,tSaida[Saída / Demanda])</f>
        <v>19.5263157894737</v>
      </c>
      <c r="K98" s="35" cm="1">
        <f t="array" ref="K98">_xlfn.STDEV.S(IF(tSaida[Produto]=Consolidação!B98,tSaida[Saída / Demanda]))</f>
        <v>23.8936119950051</v>
      </c>
      <c r="L98" s="36">
        <f t="shared" si="41"/>
        <v>1.22366206982506</v>
      </c>
      <c r="M98" s="35">
        <f t="shared" si="42"/>
        <v>3</v>
      </c>
      <c r="N98" s="36">
        <f t="shared" si="43"/>
        <v>0.99</v>
      </c>
      <c r="O98" s="35">
        <f t="shared" si="44"/>
        <v>106.454021638699</v>
      </c>
      <c r="P98" s="35">
        <f t="shared" si="45"/>
        <v>165.03296900712</v>
      </c>
      <c r="Q98" s="35">
        <f t="shared" si="46"/>
        <v>377.941012284519</v>
      </c>
    </row>
    <row r="99" spans="2:17">
      <c r="B99" t="s">
        <v>160</v>
      </c>
      <c r="C99" t="s">
        <v>161</v>
      </c>
      <c r="D99">
        <v>704</v>
      </c>
      <c r="E99" s="36">
        <f t="shared" si="36"/>
        <v>0.000270149828331449</v>
      </c>
      <c r="F99" s="36">
        <f t="shared" si="37"/>
        <v>0.998044330134789</v>
      </c>
      <c r="G99" s="34" t="str">
        <f t="shared" si="38"/>
        <v>C</v>
      </c>
      <c r="H99" s="35">
        <f t="shared" si="39"/>
        <v>2.66666666666667</v>
      </c>
      <c r="I99" s="35">
        <f t="shared" si="40"/>
        <v>58.6666666666667</v>
      </c>
      <c r="J99" s="35">
        <f>AVERAGEIF(tSaida[Produto],B99,tSaida[Saída / Demanda])</f>
        <v>6.51851851851852</v>
      </c>
      <c r="K99" s="35" cm="1">
        <f t="array" ref="K99">_xlfn.STDEV.S(IF(tSaida[Produto]=Consolidação!B99,tSaida[Saída / Demanda]))</f>
        <v>11.0567621982235</v>
      </c>
      <c r="L99" s="36">
        <f t="shared" si="41"/>
        <v>1.69620783722748</v>
      </c>
      <c r="M99" s="35">
        <f t="shared" si="42"/>
        <v>3</v>
      </c>
      <c r="N99" s="36">
        <f t="shared" si="43"/>
        <v>0.99</v>
      </c>
      <c r="O99" s="35">
        <f t="shared" si="44"/>
        <v>47.0616813949273</v>
      </c>
      <c r="P99" s="35">
        <f t="shared" si="45"/>
        <v>66.6172369504828</v>
      </c>
      <c r="Q99" s="35">
        <f t="shared" si="46"/>
        <v>160.740599740337</v>
      </c>
    </row>
    <row r="100" spans="2:17">
      <c r="B100" t="s">
        <v>238</v>
      </c>
      <c r="C100" t="s">
        <v>239</v>
      </c>
      <c r="D100">
        <v>630</v>
      </c>
      <c r="E100" s="36">
        <f t="shared" si="36"/>
        <v>0.000241753397512518</v>
      </c>
      <c r="F100" s="36">
        <f t="shared" si="37"/>
        <v>0.998286083532302</v>
      </c>
      <c r="G100" s="34" t="str">
        <f t="shared" si="38"/>
        <v>C</v>
      </c>
      <c r="H100" s="35">
        <f t="shared" si="39"/>
        <v>2.38636363636364</v>
      </c>
      <c r="I100" s="35">
        <f t="shared" si="40"/>
        <v>52.5</v>
      </c>
      <c r="J100" s="35">
        <f>AVERAGEIF(tSaida[Produto],B100,tSaida[Saída / Demanda])</f>
        <v>157.5</v>
      </c>
      <c r="K100" s="35" cm="1">
        <f t="array" ref="K100">_xlfn.STDEV.S(IF(tSaida[Produto]=Consolidação!B100,tSaida[Saída / Demanda]))</f>
        <v>90.5682063419609</v>
      </c>
      <c r="L100" s="36">
        <f t="shared" si="41"/>
        <v>0.575036230742609</v>
      </c>
      <c r="M100" s="35">
        <f t="shared" si="42"/>
        <v>3</v>
      </c>
      <c r="N100" s="36">
        <f t="shared" si="43"/>
        <v>0.99</v>
      </c>
      <c r="O100" s="35">
        <f t="shared" si="44"/>
        <v>517.130178978989</v>
      </c>
      <c r="P100" s="35">
        <f t="shared" si="45"/>
        <v>989.630178978989</v>
      </c>
      <c r="Q100" s="35">
        <f t="shared" si="46"/>
        <v>2023.89053693697</v>
      </c>
    </row>
    <row r="101" spans="2:17">
      <c r="B101" t="s">
        <v>88</v>
      </c>
      <c r="C101" t="s">
        <v>89</v>
      </c>
      <c r="D101">
        <v>522.6</v>
      </c>
      <c r="E101" s="36">
        <f t="shared" si="36"/>
        <v>0.000200540199269908</v>
      </c>
      <c r="F101" s="36">
        <f t="shared" si="37"/>
        <v>0.998486623731572</v>
      </c>
      <c r="G101" s="34" t="str">
        <f t="shared" si="38"/>
        <v>C</v>
      </c>
      <c r="H101" s="35">
        <f t="shared" si="39"/>
        <v>1.97954545454545</v>
      </c>
      <c r="I101" s="35">
        <f t="shared" si="40"/>
        <v>43.55</v>
      </c>
      <c r="J101" s="35">
        <f>AVERAGEIF(tSaida[Produto],B101,tSaida[Saída / Demanda])</f>
        <v>522.6</v>
      </c>
      <c r="K101" s="35" t="e" cm="1">
        <f t="array" ref="K101">_xlfn.STDEV.S(IF(tSaida[Produto]=Consolidação!B101,tSaida[Saída / Demanda]))</f>
        <v>#DIV/0!</v>
      </c>
      <c r="L101" s="36" t="e">
        <f t="shared" si="41"/>
        <v>#DIV/0!</v>
      </c>
      <c r="M101" s="35">
        <f t="shared" si="42"/>
        <v>3</v>
      </c>
      <c r="N101" s="36">
        <f t="shared" si="43"/>
        <v>0.99</v>
      </c>
      <c r="O101" s="35" t="e">
        <f t="shared" si="44"/>
        <v>#DIV/0!</v>
      </c>
      <c r="P101" s="35" t="e">
        <f t="shared" si="45"/>
        <v>#DIV/0!</v>
      </c>
      <c r="Q101" s="35" t="str">
        <f t="shared" si="46"/>
        <v/>
      </c>
    </row>
    <row r="102" spans="2:17">
      <c r="B102" t="s">
        <v>224</v>
      </c>
      <c r="C102" t="s">
        <v>225</v>
      </c>
      <c r="D102">
        <v>500</v>
      </c>
      <c r="E102" s="36">
        <f t="shared" si="36"/>
        <v>0.000191867775803586</v>
      </c>
      <c r="F102" s="36">
        <f t="shared" si="37"/>
        <v>0.998678491507375</v>
      </c>
      <c r="G102" s="34" t="str">
        <f t="shared" si="38"/>
        <v>C</v>
      </c>
      <c r="H102" s="35">
        <f t="shared" si="39"/>
        <v>1.89393939393939</v>
      </c>
      <c r="I102" s="35">
        <f t="shared" si="40"/>
        <v>41.6666666666667</v>
      </c>
      <c r="J102" s="35">
        <f>AVERAGEIF(tSaida[Produto],B102,tSaida[Saída / Demanda])</f>
        <v>15.625</v>
      </c>
      <c r="K102" s="35" cm="1">
        <f t="array" ref="K102">_xlfn.STDEV.S(IF(tSaida[Produto]=Consolidação!B102,tSaida[Saída / Demanda]))</f>
        <v>34.8931548883806</v>
      </c>
      <c r="L102" s="36">
        <f t="shared" si="41"/>
        <v>2.23316191285636</v>
      </c>
      <c r="M102" s="35">
        <f t="shared" si="42"/>
        <v>3</v>
      </c>
      <c r="N102" s="36">
        <f t="shared" si="43"/>
        <v>0.99</v>
      </c>
      <c r="O102" s="35">
        <f t="shared" si="44"/>
        <v>145.219597265578</v>
      </c>
      <c r="P102" s="35">
        <f t="shared" si="45"/>
        <v>192.094597265578</v>
      </c>
      <c r="Q102" s="35">
        <f t="shared" si="46"/>
        <v>482.533791796735</v>
      </c>
    </row>
    <row r="103" spans="2:17">
      <c r="B103" t="s">
        <v>112</v>
      </c>
      <c r="C103" t="s">
        <v>113</v>
      </c>
      <c r="D103">
        <v>450</v>
      </c>
      <c r="E103" s="36">
        <f t="shared" si="36"/>
        <v>0.000172680998223227</v>
      </c>
      <c r="F103" s="36">
        <f t="shared" si="37"/>
        <v>0.998851172505598</v>
      </c>
      <c r="G103" s="34" t="str">
        <f t="shared" si="38"/>
        <v>C</v>
      </c>
      <c r="H103" s="35">
        <f t="shared" si="39"/>
        <v>1.70454545454545</v>
      </c>
      <c r="I103" s="35">
        <f t="shared" si="40"/>
        <v>37.5</v>
      </c>
      <c r="J103" s="35">
        <f>AVERAGEIF(tSaida[Produto],B103,tSaida[Saída / Demanda])</f>
        <v>112.5</v>
      </c>
      <c r="K103" s="35" cm="1">
        <f t="array" ref="K103">_xlfn.STDEV.S(IF(tSaida[Produto]=Consolidação!B103,tSaida[Saída / Demanda]))</f>
        <v>96.0468635614927</v>
      </c>
      <c r="L103" s="36">
        <f t="shared" si="41"/>
        <v>0.85374989832438</v>
      </c>
      <c r="M103" s="35">
        <f t="shared" si="42"/>
        <v>3</v>
      </c>
      <c r="N103" s="36">
        <f t="shared" si="43"/>
        <v>0.99</v>
      </c>
      <c r="O103" s="35">
        <f t="shared" si="44"/>
        <v>467.192109599959</v>
      </c>
      <c r="P103" s="35">
        <f t="shared" si="45"/>
        <v>804.692109599959</v>
      </c>
      <c r="Q103" s="35">
        <f t="shared" si="46"/>
        <v>1739.07632879988</v>
      </c>
    </row>
    <row r="104" spans="2:17">
      <c r="B104" t="s">
        <v>136</v>
      </c>
      <c r="C104" t="s">
        <v>137</v>
      </c>
      <c r="D104">
        <v>379.6</v>
      </c>
      <c r="E104" s="36">
        <f t="shared" si="36"/>
        <v>0.000145666015390082</v>
      </c>
      <c r="F104" s="36">
        <f t="shared" si="37"/>
        <v>0.998996838520989</v>
      </c>
      <c r="G104" s="34" t="str">
        <f t="shared" si="38"/>
        <v>C</v>
      </c>
      <c r="H104" s="35">
        <f t="shared" si="39"/>
        <v>1.43787878787879</v>
      </c>
      <c r="I104" s="35">
        <f t="shared" si="40"/>
        <v>31.6333333333333</v>
      </c>
      <c r="J104" s="35">
        <f>AVERAGEIF(tSaida[Produto],B104,tSaida[Saída / Demanda])</f>
        <v>126.533333333333</v>
      </c>
      <c r="K104" s="35" cm="1">
        <f t="array" ref="K104">_xlfn.STDEV.S(IF(tSaida[Produto]=Consolidação!B104,tSaida[Saída / Demanda]))</f>
        <v>103.581143715125</v>
      </c>
      <c r="L104" s="36">
        <f t="shared" si="41"/>
        <v>0.818607563607414</v>
      </c>
      <c r="M104" s="35">
        <f t="shared" si="42"/>
        <v>3</v>
      </c>
      <c r="N104" s="36">
        <f t="shared" si="43"/>
        <v>0.99</v>
      </c>
      <c r="O104" s="35">
        <f t="shared" si="44"/>
        <v>510.726586284396</v>
      </c>
      <c r="P104" s="35">
        <f t="shared" si="45"/>
        <v>890.326586284396</v>
      </c>
      <c r="Q104" s="35">
        <f t="shared" si="46"/>
        <v>1911.77975885319</v>
      </c>
    </row>
    <row r="105" spans="2:17">
      <c r="B105" t="s">
        <v>196</v>
      </c>
      <c r="C105" t="s">
        <v>197</v>
      </c>
      <c r="D105">
        <v>359</v>
      </c>
      <c r="E105" s="36">
        <f t="shared" si="36"/>
        <v>0.000137761063026975</v>
      </c>
      <c r="F105" s="36">
        <f t="shared" si="37"/>
        <v>0.999134599584016</v>
      </c>
      <c r="G105" s="34" t="str">
        <f t="shared" si="38"/>
        <v>C</v>
      </c>
      <c r="H105" s="35">
        <f t="shared" si="39"/>
        <v>1.35984848484848</v>
      </c>
      <c r="I105" s="35">
        <f t="shared" si="40"/>
        <v>29.9166666666667</v>
      </c>
      <c r="J105" s="35">
        <f>AVERAGEIF(tSaida[Produto],B105,tSaida[Saída / Demanda])</f>
        <v>6.64814814814815</v>
      </c>
      <c r="K105" s="35" cm="1">
        <f t="array" ref="K105">_xlfn.STDEV.S(IF(tSaida[Produto]=Consolidação!B105,tSaida[Saída / Demanda]))</f>
        <v>8.38947545396805</v>
      </c>
      <c r="L105" s="36">
        <f t="shared" si="41"/>
        <v>1.2619266699562</v>
      </c>
      <c r="M105" s="35">
        <f t="shared" si="42"/>
        <v>3</v>
      </c>
      <c r="N105" s="36">
        <f t="shared" si="43"/>
        <v>0.99</v>
      </c>
      <c r="O105" s="35">
        <f t="shared" si="44"/>
        <v>37.1741196118183</v>
      </c>
      <c r="P105" s="35">
        <f t="shared" si="45"/>
        <v>57.1185640562627</v>
      </c>
      <c r="Q105" s="35">
        <f t="shared" si="46"/>
        <v>131.466803279899</v>
      </c>
    </row>
    <row r="106" spans="2:17">
      <c r="B106" t="s">
        <v>104</v>
      </c>
      <c r="C106" t="s">
        <v>105</v>
      </c>
      <c r="D106">
        <v>290</v>
      </c>
      <c r="E106" s="36">
        <f t="shared" si="36"/>
        <v>0.00011128330996608</v>
      </c>
      <c r="F106" s="36">
        <f t="shared" si="37"/>
        <v>0.999245882893982</v>
      </c>
      <c r="G106" s="34" t="str">
        <f t="shared" si="38"/>
        <v>C</v>
      </c>
      <c r="H106" s="35">
        <f t="shared" si="39"/>
        <v>1.09848484848485</v>
      </c>
      <c r="I106" s="35">
        <f t="shared" si="40"/>
        <v>24.1666666666667</v>
      </c>
      <c r="J106" s="35">
        <f>AVERAGEIF(tSaida[Produto],B106,tSaida[Saída / Demanda])</f>
        <v>15.2631578947368</v>
      </c>
      <c r="K106" s="35" cm="1">
        <f t="array" ref="K106">_xlfn.STDEV.S(IF(tSaida[Produto]=Consolidação!B106,tSaida[Saída / Demanda]))</f>
        <v>11.1596600170393</v>
      </c>
      <c r="L106" s="36">
        <f t="shared" si="41"/>
        <v>0.731150139047405</v>
      </c>
      <c r="M106" s="35">
        <f t="shared" si="42"/>
        <v>3</v>
      </c>
      <c r="N106" s="36">
        <f t="shared" si="43"/>
        <v>0.99</v>
      </c>
      <c r="O106" s="35">
        <f t="shared" si="44"/>
        <v>57.2951675983719</v>
      </c>
      <c r="P106" s="35">
        <f t="shared" si="45"/>
        <v>103.084641282582</v>
      </c>
      <c r="Q106" s="35">
        <f t="shared" si="46"/>
        <v>217.674976479326</v>
      </c>
    </row>
    <row r="107" spans="2:17">
      <c r="B107" t="s">
        <v>232</v>
      </c>
      <c r="C107" t="s">
        <v>233</v>
      </c>
      <c r="D107">
        <v>231</v>
      </c>
      <c r="E107" s="36">
        <f t="shared" si="36"/>
        <v>8.86429124212566e-5</v>
      </c>
      <c r="F107" s="36">
        <f t="shared" si="37"/>
        <v>0.999334525806403</v>
      </c>
      <c r="G107" s="34" t="str">
        <f t="shared" si="38"/>
        <v>C</v>
      </c>
      <c r="H107" s="35">
        <f t="shared" si="39"/>
        <v>0.875</v>
      </c>
      <c r="I107" s="35">
        <f t="shared" si="40"/>
        <v>19.25</v>
      </c>
      <c r="J107" s="35">
        <f>AVERAGEIF(tSaida[Produto],B107,tSaida[Saída / Demanda])</f>
        <v>9.24</v>
      </c>
      <c r="K107" s="35" cm="1">
        <f t="array" ref="K107">_xlfn.STDEV.S(IF(tSaida[Produto]=Consolidação!B107,tSaida[Saída / Demanda]))</f>
        <v>10.9250476734276</v>
      </c>
      <c r="L107" s="36">
        <f t="shared" si="41"/>
        <v>1.18236446682117</v>
      </c>
      <c r="M107" s="35">
        <f t="shared" ref="M107:M116" si="47">$M$3</f>
        <v>3</v>
      </c>
      <c r="N107" s="36">
        <f t="shared" ref="N107:N116" si="48">$N$3</f>
        <v>0.99</v>
      </c>
      <c r="O107" s="35">
        <f t="shared" si="44"/>
        <v>48.9886884587086</v>
      </c>
      <c r="P107" s="35">
        <f t="shared" si="45"/>
        <v>76.7086884587086</v>
      </c>
      <c r="Q107" s="35">
        <f t="shared" si="46"/>
        <v>174.686065376126</v>
      </c>
    </row>
    <row r="108" spans="2:17">
      <c r="B108" t="s">
        <v>98</v>
      </c>
      <c r="C108" t="s">
        <v>99</v>
      </c>
      <c r="D108">
        <v>221</v>
      </c>
      <c r="E108" s="36">
        <f t="shared" si="36"/>
        <v>8.48055569051849e-5</v>
      </c>
      <c r="F108" s="36">
        <f t="shared" si="37"/>
        <v>0.999419331363308</v>
      </c>
      <c r="G108" s="34" t="str">
        <f t="shared" si="38"/>
        <v>C</v>
      </c>
      <c r="H108" s="35">
        <f t="shared" si="39"/>
        <v>0.837121212121212</v>
      </c>
      <c r="I108" s="35">
        <f t="shared" si="40"/>
        <v>18.4166666666667</v>
      </c>
      <c r="J108" s="35">
        <f>AVERAGEIF(tSaida[Produto],B108,tSaida[Saída / Demanda])</f>
        <v>4.80434782608696</v>
      </c>
      <c r="K108" s="35" cm="1">
        <f t="array" ref="K108">_xlfn.STDEV.S(IF(tSaida[Produto]=Consolidação!B108,tSaida[Saída / Demanda]))</f>
        <v>4.17196764245144</v>
      </c>
      <c r="L108" s="36">
        <f t="shared" si="41"/>
        <v>0.868373355442381</v>
      </c>
      <c r="M108" s="35">
        <f t="shared" si="47"/>
        <v>3</v>
      </c>
      <c r="N108" s="36">
        <f t="shared" si="48"/>
        <v>0.99</v>
      </c>
      <c r="O108" s="35">
        <f t="shared" si="44"/>
        <v>20.1867085886287</v>
      </c>
      <c r="P108" s="35">
        <f t="shared" si="45"/>
        <v>34.5997520668895</v>
      </c>
      <c r="Q108" s="35">
        <f t="shared" si="46"/>
        <v>74.9731692441469</v>
      </c>
    </row>
    <row r="109" spans="2:17">
      <c r="B109" t="s">
        <v>226</v>
      </c>
      <c r="C109" t="s">
        <v>227</v>
      </c>
      <c r="D109">
        <v>218</v>
      </c>
      <c r="E109" s="36">
        <f t="shared" si="36"/>
        <v>8.36543502503634e-5</v>
      </c>
      <c r="F109" s="36">
        <f t="shared" si="37"/>
        <v>0.999502985713558</v>
      </c>
      <c r="G109" s="34" t="str">
        <f t="shared" si="38"/>
        <v>C</v>
      </c>
      <c r="H109" s="35">
        <f t="shared" si="39"/>
        <v>0.825757575757576</v>
      </c>
      <c r="I109" s="35">
        <f t="shared" si="40"/>
        <v>18.1666666666667</v>
      </c>
      <c r="J109" s="35">
        <f>AVERAGEIF(tSaida[Produto],B109,tSaida[Saída / Demanda])</f>
        <v>13.625</v>
      </c>
      <c r="K109" s="35" cm="1">
        <f t="array" ref="K109">_xlfn.STDEV.S(IF(tSaida[Produto]=Consolidação!B109,tSaida[Saída / Demanda]))</f>
        <v>14.5825237870541</v>
      </c>
      <c r="L109" s="36">
        <f t="shared" si="41"/>
        <v>1.07027697519663</v>
      </c>
      <c r="M109" s="35">
        <f t="shared" si="47"/>
        <v>3</v>
      </c>
      <c r="N109" s="36">
        <f t="shared" si="48"/>
        <v>0.99</v>
      </c>
      <c r="O109" s="35">
        <f t="shared" si="44"/>
        <v>66.7621563230702</v>
      </c>
      <c r="P109" s="35">
        <f t="shared" si="45"/>
        <v>107.63715632307</v>
      </c>
      <c r="Q109" s="35">
        <f t="shared" si="46"/>
        <v>241.161468969211</v>
      </c>
    </row>
    <row r="110" spans="2:17">
      <c r="B110" t="s">
        <v>120</v>
      </c>
      <c r="C110" t="s">
        <v>121</v>
      </c>
      <c r="D110">
        <v>197.6</v>
      </c>
      <c r="E110" s="36">
        <f t="shared" si="36"/>
        <v>7.58261449975771e-5</v>
      </c>
      <c r="F110" s="36">
        <f t="shared" si="37"/>
        <v>0.999578811858556</v>
      </c>
      <c r="G110" s="34" t="str">
        <f t="shared" si="38"/>
        <v>C</v>
      </c>
      <c r="H110" s="35">
        <f t="shared" si="39"/>
        <v>0.748484848484848</v>
      </c>
      <c r="I110" s="35">
        <f t="shared" si="40"/>
        <v>16.4666666666667</v>
      </c>
      <c r="J110" s="35">
        <f>AVERAGEIF(tSaida[Produto],B110,tSaida[Saída / Demanda])</f>
        <v>17.9636363636364</v>
      </c>
      <c r="K110" s="35" cm="1">
        <f t="array" ref="K110">_xlfn.STDEV.S(IF(tSaida[Produto]=Consolidação!B110,tSaida[Saída / Demanda]))</f>
        <v>20.4700401918156</v>
      </c>
      <c r="L110" s="36">
        <f t="shared" si="41"/>
        <v>1.13952652889662</v>
      </c>
      <c r="M110" s="35">
        <f t="shared" si="47"/>
        <v>3</v>
      </c>
      <c r="N110" s="36">
        <f t="shared" si="48"/>
        <v>0.99</v>
      </c>
      <c r="O110" s="35">
        <f t="shared" si="44"/>
        <v>92.4634718728428</v>
      </c>
      <c r="P110" s="35">
        <f t="shared" si="45"/>
        <v>146.354380963752</v>
      </c>
      <c r="Q110" s="35">
        <f t="shared" si="46"/>
        <v>331.281324709438</v>
      </c>
    </row>
    <row r="111" spans="2:17">
      <c r="B111" t="s">
        <v>86</v>
      </c>
      <c r="C111" t="s">
        <v>87</v>
      </c>
      <c r="D111">
        <v>191</v>
      </c>
      <c r="E111" s="36">
        <f t="shared" si="36"/>
        <v>7.32934903569697e-5</v>
      </c>
      <c r="F111" s="36">
        <f t="shared" si="37"/>
        <v>0.999652105348913</v>
      </c>
      <c r="G111" s="34" t="str">
        <f t="shared" si="38"/>
        <v>C</v>
      </c>
      <c r="H111" s="35">
        <f t="shared" si="39"/>
        <v>0.723484848484849</v>
      </c>
      <c r="I111" s="35">
        <f t="shared" si="40"/>
        <v>15.9166666666667</v>
      </c>
      <c r="J111" s="35">
        <f>AVERAGEIF(tSaida[Produto],B111,tSaida[Saída / Demanda])</f>
        <v>11.9375</v>
      </c>
      <c r="K111" s="35" cm="1">
        <f t="array" ref="K111">_xlfn.STDEV.S(IF(tSaida[Produto]=Consolidação!B111,tSaida[Saída / Demanda]))</f>
        <v>9.65034541696134</v>
      </c>
      <c r="L111" s="36">
        <f t="shared" si="41"/>
        <v>0.808405898803044</v>
      </c>
      <c r="M111" s="35">
        <f t="shared" si="47"/>
        <v>3</v>
      </c>
      <c r="N111" s="36">
        <f t="shared" si="48"/>
        <v>0.99</v>
      </c>
      <c r="O111" s="35">
        <f t="shared" si="44"/>
        <v>47.7831743607942</v>
      </c>
      <c r="P111" s="35">
        <f t="shared" si="45"/>
        <v>83.5956743607942</v>
      </c>
      <c r="Q111" s="35">
        <f t="shared" si="46"/>
        <v>179.162023082383</v>
      </c>
    </row>
    <row r="112" spans="2:17">
      <c r="B112" t="s">
        <v>70</v>
      </c>
      <c r="C112" t="s">
        <v>71</v>
      </c>
      <c r="D112">
        <v>156.6</v>
      </c>
      <c r="E112" s="36">
        <f t="shared" si="36"/>
        <v>6.0092987381683e-5</v>
      </c>
      <c r="F112" s="36">
        <f t="shared" si="37"/>
        <v>0.999712198336295</v>
      </c>
      <c r="G112" s="34" t="str">
        <f t="shared" si="38"/>
        <v>C</v>
      </c>
      <c r="H112" s="35">
        <f t="shared" si="39"/>
        <v>0.593181818181818</v>
      </c>
      <c r="I112" s="35">
        <f t="shared" si="40"/>
        <v>13.05</v>
      </c>
      <c r="J112" s="35">
        <f>AVERAGEIF(tSaida[Produto],B112,tSaida[Saída / Demanda])</f>
        <v>26.1</v>
      </c>
      <c r="K112" s="35" cm="1">
        <f t="array" ref="K112">_xlfn.STDEV.S(IF(tSaida[Produto]=Consolidação!B112,tSaida[Saída / Demanda]))</f>
        <v>25.8734613069067</v>
      </c>
      <c r="L112" s="36">
        <f t="shared" si="41"/>
        <v>0.991320356586465</v>
      </c>
      <c r="M112" s="35">
        <f t="shared" si="47"/>
        <v>3</v>
      </c>
      <c r="N112" s="36">
        <f t="shared" si="48"/>
        <v>0.99</v>
      </c>
      <c r="O112" s="35">
        <f t="shared" si="44"/>
        <v>120.645710601001</v>
      </c>
      <c r="P112" s="35">
        <f t="shared" si="45"/>
        <v>198.945710601001</v>
      </c>
      <c r="Q112" s="35">
        <f t="shared" si="46"/>
        <v>440.237131803002</v>
      </c>
    </row>
    <row r="113" spans="2:17">
      <c r="B113" t="s">
        <v>170</v>
      </c>
      <c r="C113" t="s">
        <v>171</v>
      </c>
      <c r="D113">
        <v>141</v>
      </c>
      <c r="E113" s="36">
        <f t="shared" si="36"/>
        <v>5.41067127766112e-5</v>
      </c>
      <c r="F113" s="36">
        <f t="shared" si="37"/>
        <v>0.999766305049071</v>
      </c>
      <c r="G113" s="34" t="str">
        <f t="shared" si="38"/>
        <v>C</v>
      </c>
      <c r="H113" s="35">
        <f t="shared" si="39"/>
        <v>0.534090909090909</v>
      </c>
      <c r="I113" s="35">
        <f t="shared" si="40"/>
        <v>11.75</v>
      </c>
      <c r="J113" s="35">
        <f>AVERAGEIF(tSaida[Produto],B113,tSaida[Saída / Demanda])</f>
        <v>3.20454545454545</v>
      </c>
      <c r="K113" s="35" cm="1">
        <f t="array" ref="K113">_xlfn.STDEV.S(IF(tSaida[Produto]=Consolidação!B113,tSaida[Saída / Demanda]))</f>
        <v>1.98341431544774</v>
      </c>
      <c r="L113" s="36">
        <f t="shared" si="41"/>
        <v>0.618937800565254</v>
      </c>
      <c r="M113" s="35">
        <f t="shared" si="47"/>
        <v>3</v>
      </c>
      <c r="N113" s="36">
        <f t="shared" si="48"/>
        <v>0.99</v>
      </c>
      <c r="O113" s="35">
        <f t="shared" si="44"/>
        <v>10.9291091767365</v>
      </c>
      <c r="P113" s="35">
        <f t="shared" si="45"/>
        <v>20.5427455403728</v>
      </c>
      <c r="Q113" s="35">
        <f t="shared" si="46"/>
        <v>42.4009638938458</v>
      </c>
    </row>
    <row r="114" spans="2:17">
      <c r="B114" t="s">
        <v>154</v>
      </c>
      <c r="C114" t="s">
        <v>155</v>
      </c>
      <c r="D114">
        <v>135</v>
      </c>
      <c r="E114" s="36">
        <f t="shared" si="36"/>
        <v>5.18042994669681e-5</v>
      </c>
      <c r="F114" s="36">
        <f t="shared" si="37"/>
        <v>0.999818109348538</v>
      </c>
      <c r="G114" s="34" t="str">
        <f t="shared" si="38"/>
        <v>C</v>
      </c>
      <c r="H114" s="35">
        <f t="shared" si="39"/>
        <v>0.511363636363636</v>
      </c>
      <c r="I114" s="35">
        <f t="shared" si="40"/>
        <v>11.25</v>
      </c>
      <c r="J114" s="35">
        <f>AVERAGEIF(tSaida[Produto],B114,tSaida[Saída / Demanda])</f>
        <v>12.2727272727273</v>
      </c>
      <c r="K114" s="35" cm="1">
        <f t="array" ref="K114">_xlfn.STDEV.S(IF(tSaida[Produto]=Consolidação!B114,tSaida[Saída / Demanda]))</f>
        <v>6.27839006578771</v>
      </c>
      <c r="L114" s="36">
        <f t="shared" si="41"/>
        <v>0.511572523878999</v>
      </c>
      <c r="M114" s="35">
        <f t="shared" si="47"/>
        <v>3</v>
      </c>
      <c r="N114" s="36">
        <f t="shared" si="48"/>
        <v>0.99</v>
      </c>
      <c r="O114" s="35">
        <f t="shared" si="44"/>
        <v>38.1460320435785</v>
      </c>
      <c r="P114" s="35">
        <f t="shared" si="45"/>
        <v>74.9642138617603</v>
      </c>
      <c r="Q114" s="35">
        <f t="shared" si="46"/>
        <v>151.256277948917</v>
      </c>
    </row>
    <row r="115" spans="2:17">
      <c r="B115" t="s">
        <v>102</v>
      </c>
      <c r="C115" t="s">
        <v>103</v>
      </c>
      <c r="D115">
        <v>118</v>
      </c>
      <c r="E115" s="36">
        <f t="shared" si="36"/>
        <v>4.52807950896462e-5</v>
      </c>
      <c r="F115" s="36">
        <f t="shared" si="37"/>
        <v>0.999863390143628</v>
      </c>
      <c r="G115" s="34" t="str">
        <f t="shared" si="38"/>
        <v>C</v>
      </c>
      <c r="H115" s="35">
        <f t="shared" si="39"/>
        <v>0.446969696969697</v>
      </c>
      <c r="I115" s="35">
        <f t="shared" si="40"/>
        <v>9.83333333333333</v>
      </c>
      <c r="J115" s="35">
        <f>AVERAGEIF(tSaida[Produto],B115,tSaida[Saída / Demanda])</f>
        <v>8.42857142857143</v>
      </c>
      <c r="K115" s="35" cm="1">
        <f t="array" ref="K115">_xlfn.STDEV.S(IF(tSaida[Produto]=Consolidação!B115,tSaida[Saída / Demanda]))</f>
        <v>6.46546191715625</v>
      </c>
      <c r="L115" s="36">
        <f t="shared" si="41"/>
        <v>0.767088702035488</v>
      </c>
      <c r="M115" s="35">
        <f t="shared" si="47"/>
        <v>3</v>
      </c>
      <c r="N115" s="36">
        <f t="shared" si="48"/>
        <v>0.99</v>
      </c>
      <c r="O115" s="35">
        <f t="shared" si="44"/>
        <v>32.6060215716322</v>
      </c>
      <c r="P115" s="35">
        <f t="shared" si="45"/>
        <v>57.8917358573465</v>
      </c>
      <c r="Q115" s="35">
        <f t="shared" si="46"/>
        <v>123.103779000611</v>
      </c>
    </row>
    <row r="116" spans="2:17">
      <c r="B116" t="s">
        <v>40</v>
      </c>
      <c r="C116" t="s">
        <v>41</v>
      </c>
      <c r="D116">
        <v>108</v>
      </c>
      <c r="E116" s="36">
        <f t="shared" si="36"/>
        <v>4.14434395735745e-5</v>
      </c>
      <c r="F116" s="36">
        <f t="shared" si="37"/>
        <v>0.999904833583201</v>
      </c>
      <c r="G116" s="34" t="str">
        <f t="shared" si="38"/>
        <v>C</v>
      </c>
      <c r="H116" s="35">
        <f t="shared" si="39"/>
        <v>0.409090909090909</v>
      </c>
      <c r="I116" s="35">
        <f t="shared" si="40"/>
        <v>9</v>
      </c>
      <c r="J116" s="35">
        <f>AVERAGEIF(tSaida[Produto],B116,tSaida[Saída / Demanda])</f>
        <v>7.2</v>
      </c>
      <c r="K116" s="35" cm="1">
        <f t="array" ref="K116">_xlfn.STDEV.S(IF(tSaida[Produto]=Consolidação!B116,tSaida[Saída / Demanda]))</f>
        <v>6.69968016294168</v>
      </c>
      <c r="L116" s="36">
        <f t="shared" si="41"/>
        <v>0.9305111337419</v>
      </c>
      <c r="M116" s="35">
        <f t="shared" si="47"/>
        <v>3</v>
      </c>
      <c r="N116" s="36">
        <f t="shared" si="48"/>
        <v>0.99</v>
      </c>
      <c r="O116" s="35">
        <f t="shared" si="44"/>
        <v>31.7695270477248</v>
      </c>
      <c r="P116" s="35">
        <f t="shared" si="45"/>
        <v>53.3695270477248</v>
      </c>
      <c r="Q116" s="35">
        <f t="shared" si="46"/>
        <v>116.908581143174</v>
      </c>
    </row>
    <row r="117" spans="2:17">
      <c r="B117" t="s">
        <v>100</v>
      </c>
      <c r="C117" t="s">
        <v>101</v>
      </c>
      <c r="D117">
        <v>98</v>
      </c>
      <c r="E117" s="36">
        <f t="shared" si="36"/>
        <v>3.76060840575028e-5</v>
      </c>
      <c r="F117" s="36">
        <f t="shared" si="37"/>
        <v>0.999942439667259</v>
      </c>
      <c r="G117" s="34" t="str">
        <f t="shared" si="38"/>
        <v>C</v>
      </c>
      <c r="H117" s="35">
        <f t="shared" si="39"/>
        <v>0.371212121212121</v>
      </c>
      <c r="I117" s="35">
        <f t="shared" si="40"/>
        <v>8.16666666666667</v>
      </c>
      <c r="J117" s="35">
        <f>AVERAGEIF(tSaida[Produto],B117,tSaida[Saída / Demanda])</f>
        <v>14</v>
      </c>
      <c r="K117" s="35" cm="1">
        <f t="array" ref="K117">_xlfn.STDEV.S(IF(tSaida[Produto]=Consolidação!B117,tSaida[Saída / Demanda]))</f>
        <v>7.07106781186548</v>
      </c>
      <c r="L117" s="36">
        <f t="shared" si="41"/>
        <v>0.505076272276105</v>
      </c>
      <c r="M117" s="35">
        <f t="shared" ref="M117:M122" si="49">$M$3</f>
        <v>3</v>
      </c>
      <c r="N117" s="36">
        <f t="shared" ref="N117:N122" si="50">$N$3</f>
        <v>0.99</v>
      </c>
      <c r="O117" s="35">
        <f t="shared" si="44"/>
        <v>43.2725718341862</v>
      </c>
      <c r="P117" s="35">
        <f t="shared" si="45"/>
        <v>85.2725718341862</v>
      </c>
      <c r="Q117" s="35">
        <f t="shared" si="46"/>
        <v>171.817715502558</v>
      </c>
    </row>
    <row r="118" spans="2:17">
      <c r="B118" t="s">
        <v>212</v>
      </c>
      <c r="C118" t="s">
        <v>213</v>
      </c>
      <c r="D118">
        <v>30</v>
      </c>
      <c r="E118" s="36">
        <f t="shared" si="36"/>
        <v>1.15120665482151e-5</v>
      </c>
      <c r="F118" s="36">
        <f t="shared" si="37"/>
        <v>0.999953951733807</v>
      </c>
      <c r="G118" s="34" t="str">
        <f t="shared" si="38"/>
        <v>C</v>
      </c>
      <c r="H118" s="35">
        <f t="shared" si="39"/>
        <v>0.113636363636364</v>
      </c>
      <c r="I118" s="35">
        <f t="shared" si="40"/>
        <v>2.5</v>
      </c>
      <c r="J118" s="35">
        <f>AVERAGEIF(tSaida[Produto],B118,tSaida[Saída / Demanda])</f>
        <v>30</v>
      </c>
      <c r="K118" s="35" t="e" cm="1">
        <f t="array" ref="K118">_xlfn.STDEV.S(IF(tSaida[Produto]=Consolidação!B118,tSaida[Saída / Demanda]))</f>
        <v>#DIV/0!</v>
      </c>
      <c r="L118" s="36" t="e">
        <f t="shared" si="41"/>
        <v>#DIV/0!</v>
      </c>
      <c r="M118" s="35">
        <f t="shared" si="49"/>
        <v>3</v>
      </c>
      <c r="N118" s="36">
        <f t="shared" si="50"/>
        <v>0.99</v>
      </c>
      <c r="O118" s="35" t="e">
        <f t="shared" si="44"/>
        <v>#DIV/0!</v>
      </c>
      <c r="P118" s="35" t="e">
        <f t="shared" si="45"/>
        <v>#DIV/0!</v>
      </c>
      <c r="Q118" s="35" t="str">
        <f t="shared" si="46"/>
        <v/>
      </c>
    </row>
    <row r="119" spans="2:17">
      <c r="B119" t="s">
        <v>214</v>
      </c>
      <c r="C119" t="s">
        <v>215</v>
      </c>
      <c r="D119">
        <v>30</v>
      </c>
      <c r="E119" s="36">
        <f t="shared" si="36"/>
        <v>1.15120665482151e-5</v>
      </c>
      <c r="F119" s="36">
        <f t="shared" si="37"/>
        <v>0.999965463800355</v>
      </c>
      <c r="G119" s="34" t="str">
        <f t="shared" si="38"/>
        <v>C</v>
      </c>
      <c r="H119" s="35">
        <f t="shared" si="39"/>
        <v>0.113636363636364</v>
      </c>
      <c r="I119" s="35">
        <f t="shared" si="40"/>
        <v>2.5</v>
      </c>
      <c r="J119" s="35">
        <f>AVERAGEIF(tSaida[Produto],B119,tSaida[Saída / Demanda])</f>
        <v>30</v>
      </c>
      <c r="K119" s="35" t="e" cm="1">
        <f t="array" ref="K119">_xlfn.STDEV.S(IF(tSaida[Produto]=Consolidação!B119,tSaida[Saída / Demanda]))</f>
        <v>#DIV/0!</v>
      </c>
      <c r="L119" s="36" t="e">
        <f t="shared" si="41"/>
        <v>#DIV/0!</v>
      </c>
      <c r="M119" s="35">
        <f t="shared" si="49"/>
        <v>3</v>
      </c>
      <c r="N119" s="36">
        <f t="shared" si="50"/>
        <v>0.99</v>
      </c>
      <c r="O119" s="35" t="e">
        <f t="shared" si="44"/>
        <v>#DIV/0!</v>
      </c>
      <c r="P119" s="35" t="e">
        <f t="shared" si="45"/>
        <v>#DIV/0!</v>
      </c>
      <c r="Q119" s="35" t="str">
        <f t="shared" si="46"/>
        <v/>
      </c>
    </row>
    <row r="120" spans="2:17">
      <c r="B120" t="s">
        <v>216</v>
      </c>
      <c r="C120" t="s">
        <v>217</v>
      </c>
      <c r="D120">
        <v>30</v>
      </c>
      <c r="E120" s="36">
        <f t="shared" si="36"/>
        <v>1.15120665482151e-5</v>
      </c>
      <c r="F120" s="36">
        <f t="shared" si="37"/>
        <v>0.999976975866904</v>
      </c>
      <c r="G120" s="34" t="str">
        <f t="shared" si="38"/>
        <v>C</v>
      </c>
      <c r="H120" s="35">
        <f t="shared" si="39"/>
        <v>0.113636363636364</v>
      </c>
      <c r="I120" s="35">
        <f t="shared" si="40"/>
        <v>2.5</v>
      </c>
      <c r="J120" s="35">
        <f>AVERAGEIF(tSaida[Produto],B120,tSaida[Saída / Demanda])</f>
        <v>30</v>
      </c>
      <c r="K120" s="35" t="e" cm="1">
        <f t="array" ref="K120">_xlfn.STDEV.S(IF(tSaida[Produto]=Consolidação!B120,tSaida[Saída / Demanda]))</f>
        <v>#DIV/0!</v>
      </c>
      <c r="L120" s="36" t="e">
        <f t="shared" si="41"/>
        <v>#DIV/0!</v>
      </c>
      <c r="M120" s="35">
        <f t="shared" si="49"/>
        <v>3</v>
      </c>
      <c r="N120" s="36">
        <f t="shared" si="50"/>
        <v>0.99</v>
      </c>
      <c r="O120" s="35" t="e">
        <f t="shared" si="44"/>
        <v>#DIV/0!</v>
      </c>
      <c r="P120" s="35" t="e">
        <f t="shared" si="45"/>
        <v>#DIV/0!</v>
      </c>
      <c r="Q120" s="35" t="str">
        <f t="shared" si="46"/>
        <v/>
      </c>
    </row>
    <row r="121" spans="2:17">
      <c r="B121" t="s">
        <v>218</v>
      </c>
      <c r="C121" t="s">
        <v>219</v>
      </c>
      <c r="D121">
        <v>30</v>
      </c>
      <c r="E121" s="36">
        <f t="shared" si="36"/>
        <v>1.15120665482151e-5</v>
      </c>
      <c r="F121" s="36">
        <f t="shared" si="37"/>
        <v>0.999988487933452</v>
      </c>
      <c r="G121" s="34" t="str">
        <f t="shared" si="38"/>
        <v>C</v>
      </c>
      <c r="H121" s="35">
        <f t="shared" si="39"/>
        <v>0.113636363636364</v>
      </c>
      <c r="I121" s="35">
        <f t="shared" si="40"/>
        <v>2.5</v>
      </c>
      <c r="J121" s="35">
        <f>AVERAGEIF(tSaida[Produto],B121,tSaida[Saída / Demanda])</f>
        <v>30</v>
      </c>
      <c r="K121" s="35" t="e" cm="1">
        <f t="array" ref="K121">_xlfn.STDEV.S(IF(tSaida[Produto]=Consolidação!B121,tSaida[Saída / Demanda]))</f>
        <v>#DIV/0!</v>
      </c>
      <c r="L121" s="36" t="e">
        <f t="shared" si="41"/>
        <v>#DIV/0!</v>
      </c>
      <c r="M121" s="35">
        <f t="shared" si="49"/>
        <v>3</v>
      </c>
      <c r="N121" s="36">
        <f t="shared" si="50"/>
        <v>0.99</v>
      </c>
      <c r="O121" s="35" t="e">
        <f t="shared" si="44"/>
        <v>#DIV/0!</v>
      </c>
      <c r="P121" s="35" t="e">
        <f t="shared" si="45"/>
        <v>#DIV/0!</v>
      </c>
      <c r="Q121" s="35" t="str">
        <f t="shared" si="46"/>
        <v/>
      </c>
    </row>
    <row r="122" spans="2:17">
      <c r="B122" t="s">
        <v>220</v>
      </c>
      <c r="C122" t="s">
        <v>221</v>
      </c>
      <c r="D122">
        <v>30</v>
      </c>
      <c r="E122" s="36">
        <f t="shared" si="36"/>
        <v>1.15120665482151e-5</v>
      </c>
      <c r="F122" s="36">
        <f t="shared" si="37"/>
        <v>1</v>
      </c>
      <c r="G122" s="34" t="str">
        <f t="shared" si="38"/>
        <v>C</v>
      </c>
      <c r="H122" s="35">
        <f t="shared" si="39"/>
        <v>0.113636363636364</v>
      </c>
      <c r="I122" s="35">
        <f t="shared" si="40"/>
        <v>2.5</v>
      </c>
      <c r="J122" s="35">
        <f>AVERAGEIF(tSaida[Produto],B122,tSaida[Saída / Demanda])</f>
        <v>30</v>
      </c>
      <c r="K122" s="35" t="e" cm="1">
        <f t="array" ref="K122">_xlfn.STDEV.S(IF(tSaida[Produto]=Consolidação!B122,tSaida[Saída / Demanda]))</f>
        <v>#DIV/0!</v>
      </c>
      <c r="L122" s="36" t="e">
        <f t="shared" si="41"/>
        <v>#DIV/0!</v>
      </c>
      <c r="M122" s="35">
        <f t="shared" si="49"/>
        <v>3</v>
      </c>
      <c r="N122" s="36">
        <f t="shared" si="50"/>
        <v>0.99</v>
      </c>
      <c r="O122" s="35" t="e">
        <f t="shared" si="44"/>
        <v>#DIV/0!</v>
      </c>
      <c r="P122" s="35" t="e">
        <f t="shared" si="45"/>
        <v>#DIV/0!</v>
      </c>
      <c r="Q122" s="35" t="str">
        <f t="shared" si="46"/>
        <v/>
      </c>
    </row>
  </sheetData>
  <autoFilter xmlns:etc="http://www.wps.cn/officeDocument/2017/etCustomData" ref="B4:Q122" etc:filterBottomFollowUsedRange="0">
    <extLst/>
  </autoFilter>
  <pageMargins left="0.511811024" right="0.511811024" top="0.787401575" bottom="0.787401575" header="0.31496062" footer="0.31496062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4"/>
  <dimension ref="A1:V253"/>
  <sheetViews>
    <sheetView showGridLines="0" zoomScale="130" zoomScaleNormal="130" workbookViewId="0">
      <selection activeCell="C13" sqref="C13"/>
    </sheetView>
  </sheetViews>
  <sheetFormatPr defaultColWidth="9" defaultRowHeight="15"/>
  <cols>
    <col min="1" max="1" width="6.28571428571429" customWidth="1"/>
    <col min="2" max="2" width="31.4285714285714" customWidth="1"/>
    <col min="3" max="3" width="13.1428571428571" style="9" customWidth="1"/>
    <col min="5" max="5" width="14" customWidth="1"/>
    <col min="6" max="6" width="11" style="10" customWidth="1"/>
    <col min="7" max="7" width="12.8571428571429" style="11" customWidth="1"/>
    <col min="8" max="8" width="12.8571428571429" customWidth="1"/>
    <col min="9" max="9" width="12.8571428571429" style="12" customWidth="1"/>
    <col min="10" max="10" width="12.8571428571429" style="11" customWidth="1"/>
  </cols>
  <sheetData>
    <row r="1" ht="31.5" spans="1:22">
      <c r="A1" s="1"/>
      <c r="B1" s="1"/>
      <c r="C1" s="1"/>
      <c r="D1" s="1"/>
      <c r="E1" s="1"/>
      <c r="F1" s="13"/>
      <c r="G1" s="14"/>
      <c r="H1" s="1"/>
      <c r="I1" s="25"/>
      <c r="J1" s="1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1.5" spans="1:22">
      <c r="A2" s="1"/>
      <c r="B2" s="1"/>
      <c r="C2" s="1"/>
      <c r="D2" s="1"/>
      <c r="E2" s="1"/>
      <c r="F2" s="13"/>
      <c r="G2" s="14"/>
      <c r="H2" s="1"/>
      <c r="I2" s="25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5" spans="5:7">
      <c r="E5" t="s">
        <v>0</v>
      </c>
      <c r="F5" t="s">
        <v>24</v>
      </c>
      <c r="G5" s="15" t="str">
        <f>INDEX(tSaida[Descrição],MATCH('Cálculo de Estoque'!F5,tSaida[Produto],0))</f>
        <v>PERFIL UE 75X40X15X2,00</v>
      </c>
    </row>
    <row r="6" spans="9:10">
      <c r="I6" s="26" t="s">
        <v>259</v>
      </c>
      <c r="J6" s="27"/>
    </row>
    <row r="7" spans="2:10">
      <c r="B7" s="16" t="s">
        <v>260</v>
      </c>
      <c r="C7" s="17">
        <f ca="1">AVERAGE(_Valores)</f>
        <v>2005.62243902439</v>
      </c>
      <c r="E7" s="18" t="s">
        <v>261</v>
      </c>
      <c r="F7" t="s">
        <v>262</v>
      </c>
      <c r="G7" s="19" t="s">
        <v>263</v>
      </c>
      <c r="H7" s="20" t="s">
        <v>264</v>
      </c>
      <c r="I7" s="28" t="s">
        <v>265</v>
      </c>
      <c r="J7" s="19" t="s">
        <v>266</v>
      </c>
    </row>
    <row r="8" spans="2:10">
      <c r="B8" s="16" t="s">
        <v>267</v>
      </c>
      <c r="C8" s="17">
        <f ca="1">_xlfn.STDEV.S(_Valores)</f>
        <v>1279.12724327357</v>
      </c>
      <c r="E8" s="21">
        <v>45659</v>
      </c>
      <c r="F8" s="10">
        <v>1749</v>
      </c>
      <c r="G8" s="22">
        <f>IFERROR(VLOOKUP(E8,$I$1:J7,2,0),0)</f>
        <v>0</v>
      </c>
      <c r="H8" s="23">
        <f>C14</f>
        <v>0</v>
      </c>
      <c r="I8" s="29">
        <f ca="1" t="shared" ref="I8:I13" si="0">IF(H8&lt;=$C$12,IF(COUNT(OFFSET(I7,,,-4))&gt;0,"",E8+$C$9),"")</f>
        <v>45662</v>
      </c>
      <c r="J8" s="22">
        <f ca="1" t="shared" ref="J8:J13" si="1">IF(ISNUMBER(I8),$C$13-(H8-SUM(F8:F12)),"")</f>
        <v>32963.3091418105</v>
      </c>
    </row>
    <row r="9" spans="2:10">
      <c r="B9" s="16" t="s">
        <v>268</v>
      </c>
      <c r="C9" s="17">
        <v>3</v>
      </c>
      <c r="E9" s="21">
        <v>45660</v>
      </c>
      <c r="F9" s="10">
        <v>1574.1</v>
      </c>
      <c r="G9" s="22">
        <f ca="1">IFERROR(VLOOKUP(E9,$I$1:J8,2,0),0)</f>
        <v>0</v>
      </c>
      <c r="H9" s="23">
        <f ca="1">H8+G9-F9</f>
        <v>-1574.1</v>
      </c>
      <c r="I9" s="29" t="str">
        <f ca="1" t="shared" si="0"/>
        <v/>
      </c>
      <c r="J9" s="22" t="str">
        <f ca="1" t="shared" si="1"/>
        <v/>
      </c>
    </row>
    <row r="10" spans="2:10">
      <c r="B10" s="16" t="s">
        <v>269</v>
      </c>
      <c r="C10" s="24">
        <v>0.99</v>
      </c>
      <c r="E10" s="21">
        <v>45663</v>
      </c>
      <c r="F10" s="10">
        <v>969.9</v>
      </c>
      <c r="G10" s="22">
        <f ca="1">IFERROR(VLOOKUP(E10,$I$1:J9,2,0),0)</f>
        <v>0</v>
      </c>
      <c r="H10" s="23">
        <f ca="1" t="shared" ref="H10:H73" si="2">H9+G10-F10</f>
        <v>-2544</v>
      </c>
      <c r="I10" s="29" t="str">
        <f ca="1" t="shared" si="0"/>
        <v/>
      </c>
      <c r="J10" s="22" t="str">
        <f ca="1" t="shared" si="1"/>
        <v/>
      </c>
    </row>
    <row r="11" spans="2:10">
      <c r="B11" s="16" t="s">
        <v>270</v>
      </c>
      <c r="C11" s="17">
        <f ca="1">NORMSINV(C10)*SQRT((C8^2)*C9+(C7^2)*(1^2))</f>
        <v>6952.24727491244</v>
      </c>
      <c r="E11" s="21">
        <v>45664</v>
      </c>
      <c r="F11" s="10">
        <v>1113</v>
      </c>
      <c r="G11" s="22">
        <f ca="1">IFERROR(VLOOKUP(E11,$I$1:J10,2,0),0)</f>
        <v>0</v>
      </c>
      <c r="H11" s="23">
        <f ca="1" t="shared" si="2"/>
        <v>-3657</v>
      </c>
      <c r="I11" s="29" t="str">
        <f ca="1" t="shared" si="0"/>
        <v/>
      </c>
      <c r="J11" s="22" t="str">
        <f ca="1" t="shared" si="1"/>
        <v/>
      </c>
    </row>
    <row r="12" spans="2:10">
      <c r="B12" s="16" t="s">
        <v>271</v>
      </c>
      <c r="C12" s="17">
        <f ca="1">C7*C9+C11</f>
        <v>12969.1145919856</v>
      </c>
      <c r="E12" s="21">
        <v>45665</v>
      </c>
      <c r="F12" s="10">
        <v>683.7</v>
      </c>
      <c r="G12" s="22">
        <f ca="1">IFERROR(VLOOKUP(E12,$I$1:J11,2,0),0)</f>
        <v>0</v>
      </c>
      <c r="H12" s="23">
        <f ca="1" t="shared" si="2"/>
        <v>-4340.7</v>
      </c>
      <c r="I12" s="29" t="str">
        <f ca="1" t="shared" si="0"/>
        <v/>
      </c>
      <c r="J12" s="22" t="str">
        <f ca="1" t="shared" si="1"/>
        <v/>
      </c>
    </row>
    <row r="13" spans="2:10">
      <c r="B13" s="16" t="s">
        <v>272</v>
      </c>
      <c r="C13" s="17">
        <f ca="1">(C7+C11)*C9</f>
        <v>26873.6091418105</v>
      </c>
      <c r="E13" s="21">
        <v>45666</v>
      </c>
      <c r="F13" s="10">
        <v>2273.7</v>
      </c>
      <c r="G13" s="22">
        <f ca="1">IFERROR(VLOOKUP(E13,$I$1:J12,2,0),0)</f>
        <v>0</v>
      </c>
      <c r="H13" s="23">
        <f ca="1" t="shared" si="2"/>
        <v>-6614.4</v>
      </c>
      <c r="I13" s="29">
        <f ca="1" t="shared" si="0"/>
        <v>45669</v>
      </c>
      <c r="J13" s="22">
        <f ca="1" t="shared" si="1"/>
        <v>43091.5591418105</v>
      </c>
    </row>
    <row r="14" spans="2:10">
      <c r="B14" s="16" t="s">
        <v>273</v>
      </c>
      <c r="C14" s="17">
        <v>0</v>
      </c>
      <c r="E14" s="21">
        <v>45667</v>
      </c>
      <c r="F14" s="10">
        <v>1574.1</v>
      </c>
      <c r="G14" s="22">
        <f ca="1">IFERROR(VLOOKUP(E14,$I$1:J13,2,0),0)</f>
        <v>0</v>
      </c>
      <c r="H14" s="23">
        <f ca="1" t="shared" si="2"/>
        <v>-8188.5</v>
      </c>
      <c r="I14" s="29" t="str">
        <f ca="1" t="shared" ref="I14" si="3">IF(H14&lt;=$C$12,IF(COUNT(OFFSET(I13,,,-4))&gt;0,"",E14+$C$9),"")</f>
        <v/>
      </c>
      <c r="J14" s="22" t="str">
        <f ca="1" t="shared" ref="J14" si="4">IF(ISNUMBER(I14),$C$13-(H14-SUM(F14:F18)),"")</f>
        <v/>
      </c>
    </row>
    <row r="15" spans="5:10">
      <c r="E15" s="21">
        <v>45670</v>
      </c>
      <c r="F15" s="10">
        <v>1717.2</v>
      </c>
      <c r="G15" s="22">
        <f ca="1">IFERROR(VLOOKUP(E15,$I$1:J14,2,0),0)</f>
        <v>0</v>
      </c>
      <c r="H15" s="23">
        <f ca="1" t="shared" si="2"/>
        <v>-9905.7</v>
      </c>
      <c r="I15" s="29" t="str">
        <f ca="1" t="shared" ref="I15:I22" si="5">IF(H15&lt;=$C$12,IF(COUNT(OFFSET(I14,,,-4))&gt;0,"",E15+$C$9),"")</f>
        <v/>
      </c>
      <c r="J15" s="22" t="str">
        <f ca="1" t="shared" ref="J15:J22" si="6">IF(ISNUMBER(I15),$C$13-(H15-SUM(F15:F19)),"")</f>
        <v/>
      </c>
    </row>
    <row r="16" spans="5:10">
      <c r="E16" s="21">
        <v>45671</v>
      </c>
      <c r="F16" s="10">
        <v>2273.65</v>
      </c>
      <c r="G16" s="22">
        <f ca="1">IFERROR(VLOOKUP(E16,$I$1:J15,2,0),0)</f>
        <v>0</v>
      </c>
      <c r="H16" s="23">
        <f ca="1" t="shared" si="2"/>
        <v>-12179.35</v>
      </c>
      <c r="I16" s="29" t="str">
        <f ca="1" t="shared" si="5"/>
        <v/>
      </c>
      <c r="J16" s="22" t="str">
        <f ca="1" t="shared" si="6"/>
        <v/>
      </c>
    </row>
    <row r="17" spans="5:10">
      <c r="E17" s="21">
        <v>45672</v>
      </c>
      <c r="F17" s="10">
        <v>1764.9</v>
      </c>
      <c r="G17" s="22">
        <f ca="1">IFERROR(VLOOKUP(E17,$I$1:J16,2,0),0)</f>
        <v>0</v>
      </c>
      <c r="H17" s="23">
        <f ca="1" t="shared" si="2"/>
        <v>-13944.25</v>
      </c>
      <c r="I17" s="29" t="str">
        <f ca="1" t="shared" si="5"/>
        <v/>
      </c>
      <c r="J17" s="22" t="str">
        <f ca="1" t="shared" si="6"/>
        <v/>
      </c>
    </row>
    <row r="18" spans="5:10">
      <c r="E18" s="21">
        <v>45673</v>
      </c>
      <c r="F18" s="10">
        <v>4118.1</v>
      </c>
      <c r="G18" s="22">
        <f ca="1">IFERROR(VLOOKUP(E18,$I$1:J17,2,0),0)</f>
        <v>0</v>
      </c>
      <c r="H18" s="23">
        <f ca="1" t="shared" si="2"/>
        <v>-18062.35</v>
      </c>
      <c r="I18" s="29">
        <f ca="1" t="shared" si="5"/>
        <v>45676</v>
      </c>
      <c r="J18" s="22">
        <f ca="1" t="shared" si="6"/>
        <v>55429.9591418105</v>
      </c>
    </row>
    <row r="19" spans="5:10">
      <c r="E19" s="21">
        <v>45674</v>
      </c>
      <c r="F19" s="10">
        <v>508.8</v>
      </c>
      <c r="G19" s="22">
        <f ca="1">IFERROR(VLOOKUP(E19,$I$1:J18,2,0),0)</f>
        <v>0</v>
      </c>
      <c r="H19" s="23">
        <f ca="1" t="shared" si="2"/>
        <v>-18571.15</v>
      </c>
      <c r="I19" s="29" t="str">
        <f ca="1" t="shared" si="5"/>
        <v/>
      </c>
      <c r="J19" s="22" t="str">
        <f ca="1" t="shared" si="6"/>
        <v/>
      </c>
    </row>
    <row r="20" spans="5:10">
      <c r="E20" s="21">
        <v>45677</v>
      </c>
      <c r="F20" s="10">
        <v>1128.9</v>
      </c>
      <c r="G20" s="22">
        <f ca="1">IFERROR(VLOOKUP(E20,$I$1:J19,2,0),0)</f>
        <v>0</v>
      </c>
      <c r="H20" s="23">
        <f ca="1" t="shared" si="2"/>
        <v>-19700.05</v>
      </c>
      <c r="I20" s="29" t="str">
        <f ca="1" t="shared" si="5"/>
        <v/>
      </c>
      <c r="J20" s="22" t="str">
        <f ca="1" t="shared" si="6"/>
        <v/>
      </c>
    </row>
    <row r="21" spans="5:10">
      <c r="E21" s="21">
        <v>45678</v>
      </c>
      <c r="F21" s="10">
        <v>2003.4</v>
      </c>
      <c r="G21" s="22">
        <f ca="1">IFERROR(VLOOKUP(E21,$I$1:J20,2,0),0)</f>
        <v>0</v>
      </c>
      <c r="H21" s="23">
        <f ca="1" t="shared" si="2"/>
        <v>-21703.45</v>
      </c>
      <c r="I21" s="29" t="str">
        <f ca="1" t="shared" si="5"/>
        <v/>
      </c>
      <c r="J21" s="22" t="str">
        <f ca="1" t="shared" si="6"/>
        <v/>
      </c>
    </row>
    <row r="22" spans="5:10">
      <c r="E22" s="21">
        <v>45679</v>
      </c>
      <c r="F22" s="10">
        <v>2734.8</v>
      </c>
      <c r="G22" s="22">
        <f ca="1">IFERROR(VLOOKUP(E22,$I$1:J21,2,0),0)</f>
        <v>0</v>
      </c>
      <c r="H22" s="23">
        <f ca="1" t="shared" si="2"/>
        <v>-24438.25</v>
      </c>
      <c r="I22" s="29" t="str">
        <f ca="1" t="shared" si="5"/>
        <v/>
      </c>
      <c r="J22" s="22" t="str">
        <f ca="1" t="shared" si="6"/>
        <v/>
      </c>
    </row>
    <row r="23" spans="5:10">
      <c r="E23" s="21">
        <v>45680</v>
      </c>
      <c r="F23" s="10">
        <v>1558.2</v>
      </c>
      <c r="G23" s="22">
        <f ca="1">IFERROR(VLOOKUP(E23,$I$1:J22,2,0),0)</f>
        <v>0</v>
      </c>
      <c r="H23" s="23">
        <f ca="1" t="shared" si="2"/>
        <v>-25996.45</v>
      </c>
      <c r="I23" s="29">
        <f ca="1" t="shared" ref="I23:I86" si="7">IF(H23&lt;=$C$12,IF(COUNT(OFFSET(I22,,,-4))&gt;0,"",E23+$C$9),"")</f>
        <v>45683</v>
      </c>
      <c r="J23" s="22">
        <f ca="1" t="shared" ref="J23:J86" si="8">IF(ISNUMBER(I23),$C$13-(H23-SUM(F23:F27)),"")</f>
        <v>71838.7591418105</v>
      </c>
    </row>
    <row r="24" spans="5:10">
      <c r="E24" s="21">
        <v>45681</v>
      </c>
      <c r="F24" s="10">
        <v>3545.7</v>
      </c>
      <c r="G24" s="22">
        <f ca="1">IFERROR(VLOOKUP(E24,$I$1:J23,2,0),0)</f>
        <v>0</v>
      </c>
      <c r="H24" s="23">
        <f ca="1" t="shared" si="2"/>
        <v>-29542.15</v>
      </c>
      <c r="I24" s="29" t="str">
        <f ca="1" t="shared" si="7"/>
        <v/>
      </c>
      <c r="J24" s="22" t="str">
        <f ca="1" t="shared" si="8"/>
        <v/>
      </c>
    </row>
    <row r="25" spans="5:10">
      <c r="E25" s="21">
        <v>45684</v>
      </c>
      <c r="F25" s="10">
        <v>7282.2</v>
      </c>
      <c r="G25" s="22">
        <f ca="1">IFERROR(VLOOKUP(E25,$I$1:J24,2,0),0)</f>
        <v>0</v>
      </c>
      <c r="H25" s="23">
        <f ca="1" t="shared" si="2"/>
        <v>-36824.35</v>
      </c>
      <c r="I25" s="29" t="str">
        <f ca="1" t="shared" si="7"/>
        <v/>
      </c>
      <c r="J25" s="22" t="str">
        <f ca="1" t="shared" si="8"/>
        <v/>
      </c>
    </row>
    <row r="26" spans="5:10">
      <c r="E26" s="21">
        <v>45685</v>
      </c>
      <c r="F26" s="10">
        <v>3100.5</v>
      </c>
      <c r="G26" s="22">
        <f ca="1">IFERROR(VLOOKUP(E26,$I$1:J25,2,0),0)</f>
        <v>0</v>
      </c>
      <c r="H26" s="23">
        <f ca="1" t="shared" si="2"/>
        <v>-39924.85</v>
      </c>
      <c r="I26" s="29" t="str">
        <f ca="1" t="shared" si="7"/>
        <v/>
      </c>
      <c r="J26" s="22" t="str">
        <f ca="1" t="shared" si="8"/>
        <v/>
      </c>
    </row>
    <row r="27" spans="5:10">
      <c r="E27" s="21">
        <v>45686</v>
      </c>
      <c r="F27" s="10">
        <v>3482.1</v>
      </c>
      <c r="G27" s="22">
        <f ca="1">IFERROR(VLOOKUP(E27,$I$1:J26,2,0),0)</f>
        <v>0</v>
      </c>
      <c r="H27" s="23">
        <f ca="1" t="shared" si="2"/>
        <v>-43406.95</v>
      </c>
      <c r="I27" s="29" t="str">
        <f ca="1" t="shared" si="7"/>
        <v/>
      </c>
      <c r="J27" s="22" t="str">
        <f ca="1" t="shared" si="8"/>
        <v/>
      </c>
    </row>
    <row r="28" spans="5:10">
      <c r="E28" s="21">
        <v>45687</v>
      </c>
      <c r="F28" s="10">
        <v>938.1</v>
      </c>
      <c r="G28" s="22">
        <f ca="1">IFERROR(VLOOKUP(E28,$I$1:J27,2,0),0)</f>
        <v>0</v>
      </c>
      <c r="H28" s="23">
        <f ca="1" t="shared" si="2"/>
        <v>-44345.05</v>
      </c>
      <c r="I28" s="29">
        <f ca="1" t="shared" si="7"/>
        <v>45690</v>
      </c>
      <c r="J28" s="22">
        <f ca="1" t="shared" si="8"/>
        <v>78580.2991418105</v>
      </c>
    </row>
    <row r="29" spans="5:10">
      <c r="E29" s="21">
        <v>45688</v>
      </c>
      <c r="F29" s="10">
        <v>3402.6</v>
      </c>
      <c r="G29" s="22">
        <f ca="1">IFERROR(VLOOKUP(E29,$I$1:J28,2,0),0)</f>
        <v>0</v>
      </c>
      <c r="H29" s="23">
        <f ca="1" t="shared" si="2"/>
        <v>-47747.65</v>
      </c>
      <c r="I29" s="29" t="str">
        <f ca="1" t="shared" si="7"/>
        <v/>
      </c>
      <c r="J29" s="22" t="str">
        <f ca="1" t="shared" si="8"/>
        <v/>
      </c>
    </row>
    <row r="30" spans="5:10">
      <c r="E30" s="21">
        <v>45691</v>
      </c>
      <c r="F30" s="10">
        <v>826.8</v>
      </c>
      <c r="G30" s="22">
        <f ca="1">IFERROR(VLOOKUP(E30,$I$1:J29,2,0),0)</f>
        <v>0</v>
      </c>
      <c r="H30" s="23">
        <f ca="1" t="shared" si="2"/>
        <v>-48574.45</v>
      </c>
      <c r="I30" s="29" t="str">
        <f ca="1" t="shared" si="7"/>
        <v/>
      </c>
      <c r="J30" s="22" t="str">
        <f ca="1" t="shared" si="8"/>
        <v/>
      </c>
    </row>
    <row r="31" spans="5:10">
      <c r="E31" s="21">
        <v>45692</v>
      </c>
      <c r="F31" s="10">
        <v>1717.14</v>
      </c>
      <c r="G31" s="22">
        <f ca="1">IFERROR(VLOOKUP(E31,$I$1:J30,2,0),0)</f>
        <v>0</v>
      </c>
      <c r="H31" s="23">
        <f ca="1" t="shared" si="2"/>
        <v>-50291.59</v>
      </c>
      <c r="I31" s="29" t="str">
        <f ca="1" t="shared" si="7"/>
        <v/>
      </c>
      <c r="J31" s="22" t="str">
        <f ca="1" t="shared" si="8"/>
        <v/>
      </c>
    </row>
    <row r="32" spans="5:10">
      <c r="E32" s="21">
        <v>45693</v>
      </c>
      <c r="F32" s="10">
        <v>477</v>
      </c>
      <c r="G32" s="22">
        <f ca="1">IFERROR(VLOOKUP(E32,$I$1:J31,2,0),0)</f>
        <v>0</v>
      </c>
      <c r="H32" s="23">
        <f ca="1" t="shared" si="2"/>
        <v>-50768.59</v>
      </c>
      <c r="I32" s="29" t="str">
        <f ca="1" t="shared" si="7"/>
        <v/>
      </c>
      <c r="J32" s="22" t="str">
        <f ca="1" t="shared" si="8"/>
        <v/>
      </c>
    </row>
    <row r="33" spans="5:10">
      <c r="E33" s="21">
        <v>45694</v>
      </c>
      <c r="F33" s="10">
        <v>1892.1</v>
      </c>
      <c r="G33" s="22">
        <f ca="1">IFERROR(VLOOKUP(E33,$I$1:J32,2,0),0)</f>
        <v>0</v>
      </c>
      <c r="H33" s="23">
        <f ca="1" t="shared" si="2"/>
        <v>-52660.69</v>
      </c>
      <c r="I33" s="29">
        <f ca="1" t="shared" si="7"/>
        <v>45697</v>
      </c>
      <c r="J33" s="22">
        <f ca="1" t="shared" si="8"/>
        <v>91888.5991418105</v>
      </c>
    </row>
    <row r="34" spans="5:10">
      <c r="E34" s="21">
        <v>45695</v>
      </c>
      <c r="F34" s="10">
        <v>1351.5</v>
      </c>
      <c r="G34" s="22">
        <f ca="1">IFERROR(VLOOKUP(E34,$I$1:J33,2,0),0)</f>
        <v>0</v>
      </c>
      <c r="H34" s="23">
        <f ca="1" t="shared" si="2"/>
        <v>-54012.19</v>
      </c>
      <c r="I34" s="29" t="str">
        <f ca="1" t="shared" si="7"/>
        <v/>
      </c>
      <c r="J34" s="22" t="str">
        <f ca="1" t="shared" si="8"/>
        <v/>
      </c>
    </row>
    <row r="35" spans="5:10">
      <c r="E35" s="21">
        <v>45698</v>
      </c>
      <c r="F35" s="10">
        <v>1971.6</v>
      </c>
      <c r="G35" s="22">
        <f ca="1">IFERROR(VLOOKUP(E35,$I$1:J34,2,0),0)</f>
        <v>0</v>
      </c>
      <c r="H35" s="23">
        <f ca="1" t="shared" si="2"/>
        <v>-55983.79</v>
      </c>
      <c r="I35" s="29" t="str">
        <f ca="1" t="shared" si="7"/>
        <v/>
      </c>
      <c r="J35" s="22" t="str">
        <f ca="1" t="shared" si="8"/>
        <v/>
      </c>
    </row>
    <row r="36" spans="5:10">
      <c r="E36" s="21">
        <v>45699</v>
      </c>
      <c r="F36" s="10">
        <v>3450.3</v>
      </c>
      <c r="G36" s="22">
        <f ca="1">IFERROR(VLOOKUP(E36,$I$1:J35,2,0),0)</f>
        <v>0</v>
      </c>
      <c r="H36" s="23">
        <f ca="1" t="shared" si="2"/>
        <v>-59434.09</v>
      </c>
      <c r="I36" s="29" t="str">
        <f ca="1" t="shared" si="7"/>
        <v/>
      </c>
      <c r="J36" s="22" t="str">
        <f ca="1" t="shared" si="8"/>
        <v/>
      </c>
    </row>
    <row r="37" spans="5:10">
      <c r="E37" s="21">
        <v>45700</v>
      </c>
      <c r="F37" s="10">
        <v>3688.8</v>
      </c>
      <c r="G37" s="22">
        <f ca="1">IFERROR(VLOOKUP(E37,$I$1:J36,2,0),0)</f>
        <v>0</v>
      </c>
      <c r="H37" s="23">
        <f ca="1" t="shared" si="2"/>
        <v>-63122.89</v>
      </c>
      <c r="I37" s="29" t="str">
        <f ca="1" t="shared" si="7"/>
        <v/>
      </c>
      <c r="J37" s="22" t="str">
        <f ca="1" t="shared" si="8"/>
        <v/>
      </c>
    </row>
    <row r="38" spans="5:10">
      <c r="E38" s="21">
        <v>45701</v>
      </c>
      <c r="F38" s="10">
        <v>1272</v>
      </c>
      <c r="G38" s="22">
        <f ca="1">IFERROR(VLOOKUP(E38,$I$1:J37,2,0),0)</f>
        <v>0</v>
      </c>
      <c r="H38" s="23">
        <f ca="1" t="shared" si="2"/>
        <v>-64394.89</v>
      </c>
      <c r="I38" s="29">
        <f ca="1" t="shared" si="7"/>
        <v>45704</v>
      </c>
      <c r="J38" s="22">
        <f ca="1" t="shared" si="8"/>
        <v>100283.799141811</v>
      </c>
    </row>
    <row r="39" spans="5:10">
      <c r="E39" s="21">
        <v>45702</v>
      </c>
      <c r="F39" s="10">
        <v>858.6</v>
      </c>
      <c r="G39" s="22">
        <f ca="1">IFERROR(VLOOKUP(E39,$I$1:J38,2,0),0)</f>
        <v>0</v>
      </c>
      <c r="H39" s="23">
        <f ca="1" t="shared" si="2"/>
        <v>-65253.49</v>
      </c>
      <c r="I39" s="29" t="str">
        <f ca="1" t="shared" si="7"/>
        <v/>
      </c>
      <c r="J39" s="22" t="str">
        <f ca="1" t="shared" si="8"/>
        <v/>
      </c>
    </row>
    <row r="40" spans="5:10">
      <c r="E40" s="21">
        <v>45703</v>
      </c>
      <c r="F40" s="10">
        <v>779.1</v>
      </c>
      <c r="G40" s="22">
        <f ca="1">IFERROR(VLOOKUP(E40,$I$1:J39,2,0),0)</f>
        <v>0</v>
      </c>
      <c r="H40" s="23">
        <f ca="1" t="shared" si="2"/>
        <v>-66032.59</v>
      </c>
      <c r="I40" s="29" t="str">
        <f ca="1" t="shared" si="7"/>
        <v/>
      </c>
      <c r="J40" s="22" t="str">
        <f ca="1" t="shared" si="8"/>
        <v/>
      </c>
    </row>
    <row r="41" spans="5:10">
      <c r="E41" s="21">
        <v>45705</v>
      </c>
      <c r="F41" s="10">
        <v>1128.9</v>
      </c>
      <c r="G41" s="22">
        <f ca="1">IFERROR(VLOOKUP(E41,$I$1:J40,2,0),0)</f>
        <v>0</v>
      </c>
      <c r="H41" s="23">
        <f ca="1" t="shared" si="2"/>
        <v>-67161.49</v>
      </c>
      <c r="I41" s="29" t="str">
        <f ca="1" t="shared" si="7"/>
        <v/>
      </c>
      <c r="J41" s="22" t="str">
        <f ca="1" t="shared" si="8"/>
        <v/>
      </c>
    </row>
    <row r="42" spans="5:10">
      <c r="E42" s="21">
        <v>45706</v>
      </c>
      <c r="F42" s="10">
        <v>4976.7</v>
      </c>
      <c r="G42" s="22">
        <f ca="1">IFERROR(VLOOKUP(E42,$I$1:J41,2,0),0)</f>
        <v>0</v>
      </c>
      <c r="H42" s="23">
        <f ca="1" t="shared" si="2"/>
        <v>-72138.19</v>
      </c>
      <c r="I42" s="29" t="str">
        <f ca="1" t="shared" si="7"/>
        <v/>
      </c>
      <c r="J42" s="22" t="str">
        <f ca="1" t="shared" si="8"/>
        <v/>
      </c>
    </row>
    <row r="43" spans="5:10">
      <c r="E43" s="21">
        <v>45707</v>
      </c>
      <c r="F43" s="10">
        <v>1256.1</v>
      </c>
      <c r="G43" s="22">
        <f ca="1">IFERROR(VLOOKUP(E43,$I$1:J42,2,0),0)</f>
        <v>0</v>
      </c>
      <c r="H43" s="23">
        <f ca="1" t="shared" si="2"/>
        <v>-73394.29</v>
      </c>
      <c r="I43" s="29">
        <f ca="1" t="shared" si="7"/>
        <v>45710</v>
      </c>
      <c r="J43" s="22">
        <f ca="1" t="shared" si="8"/>
        <v>111063.99914181</v>
      </c>
    </row>
    <row r="44" spans="5:10">
      <c r="E44" s="21">
        <v>45708</v>
      </c>
      <c r="F44" s="10">
        <v>2766.6</v>
      </c>
      <c r="G44" s="22">
        <f ca="1">IFERROR(VLOOKUP(E44,$I$1:J43,2,0),0)</f>
        <v>0</v>
      </c>
      <c r="H44" s="23">
        <f ca="1" t="shared" si="2"/>
        <v>-76160.89</v>
      </c>
      <c r="I44" s="29" t="str">
        <f ca="1" t="shared" si="7"/>
        <v/>
      </c>
      <c r="J44" s="22" t="str">
        <f ca="1" t="shared" si="8"/>
        <v/>
      </c>
    </row>
    <row r="45" spans="5:10">
      <c r="E45" s="21">
        <v>45709</v>
      </c>
      <c r="F45" s="10">
        <v>2591.7</v>
      </c>
      <c r="G45" s="22">
        <f ca="1">IFERROR(VLOOKUP(E45,$I$1:J44,2,0),0)</f>
        <v>0</v>
      </c>
      <c r="H45" s="23">
        <f ca="1" t="shared" si="2"/>
        <v>-78752.59</v>
      </c>
      <c r="I45" s="29" t="str">
        <f ca="1" t="shared" si="7"/>
        <v/>
      </c>
      <c r="J45" s="22" t="str">
        <f ca="1" t="shared" si="8"/>
        <v/>
      </c>
    </row>
    <row r="46" spans="5:10">
      <c r="E46" s="21">
        <v>45712</v>
      </c>
      <c r="F46" s="10">
        <v>1717.2</v>
      </c>
      <c r="G46" s="22">
        <f ca="1">IFERROR(VLOOKUP(E46,$I$1:J45,2,0),0)</f>
        <v>0</v>
      </c>
      <c r="H46" s="23">
        <f ca="1" t="shared" si="2"/>
        <v>-80469.79</v>
      </c>
      <c r="I46" s="29" t="str">
        <f ca="1" t="shared" si="7"/>
        <v/>
      </c>
      <c r="J46" s="22" t="str">
        <f ca="1" t="shared" si="8"/>
        <v/>
      </c>
    </row>
    <row r="47" spans="5:10">
      <c r="E47" s="21">
        <v>45713</v>
      </c>
      <c r="F47" s="10">
        <v>2464.5</v>
      </c>
      <c r="G47" s="22">
        <f ca="1">IFERROR(VLOOKUP(E47,$I$1:J46,2,0),0)</f>
        <v>0</v>
      </c>
      <c r="H47" s="23">
        <f ca="1" t="shared" si="2"/>
        <v>-82934.29</v>
      </c>
      <c r="I47" s="29" t="str">
        <f ca="1" t="shared" si="7"/>
        <v/>
      </c>
      <c r="J47" s="22" t="str">
        <f ca="1" t="shared" si="8"/>
        <v/>
      </c>
    </row>
    <row r="48" spans="5:10">
      <c r="E48" s="21">
        <v>45714</v>
      </c>
      <c r="F48" s="10">
        <v>2385</v>
      </c>
      <c r="G48" s="22">
        <f ca="1">IFERROR(VLOOKUP(E48,$I$1:J47,2,0),0)</f>
        <v>0</v>
      </c>
      <c r="H48" s="23">
        <f ca="1" t="shared" si="2"/>
        <v>-85319.29</v>
      </c>
      <c r="I48" s="29">
        <f ca="1" t="shared" si="7"/>
        <v>45717</v>
      </c>
      <c r="J48" s="22">
        <f ca="1" t="shared" si="8"/>
        <v>119920.29914181</v>
      </c>
    </row>
    <row r="49" spans="5:10">
      <c r="E49" s="21">
        <v>45715</v>
      </c>
      <c r="F49" s="10">
        <v>1717.2</v>
      </c>
      <c r="G49" s="22">
        <f ca="1">IFERROR(VLOOKUP(E49,$I$1:J48,2,0),0)</f>
        <v>0</v>
      </c>
      <c r="H49" s="23">
        <f ca="1" t="shared" si="2"/>
        <v>-87036.49</v>
      </c>
      <c r="I49" s="29" t="str">
        <f ca="1" t="shared" si="7"/>
        <v/>
      </c>
      <c r="J49" s="22" t="str">
        <f ca="1" t="shared" si="8"/>
        <v/>
      </c>
    </row>
    <row r="50" spans="5:10">
      <c r="E50" s="21">
        <v>45716</v>
      </c>
      <c r="F50" s="10">
        <v>2703</v>
      </c>
      <c r="G50" s="22">
        <f ca="1">IFERROR(VLOOKUP(E50,$I$1:J49,2,0),0)</f>
        <v>0</v>
      </c>
      <c r="H50" s="23">
        <f ca="1" t="shared" si="2"/>
        <v>-89739.49</v>
      </c>
      <c r="I50" s="29" t="str">
        <f ca="1" t="shared" si="7"/>
        <v/>
      </c>
      <c r="J50" s="22" t="str">
        <f ca="1" t="shared" si="8"/>
        <v/>
      </c>
    </row>
    <row r="51" spans="5:10">
      <c r="E51" s="21">
        <v>45721</v>
      </c>
      <c r="F51" s="10">
        <v>238.5</v>
      </c>
      <c r="G51" s="22">
        <f ca="1">IFERROR(VLOOKUP(E51,$I$1:J50,2,0),0)</f>
        <v>0</v>
      </c>
      <c r="H51" s="23">
        <f ca="1" t="shared" si="2"/>
        <v>-89977.99</v>
      </c>
      <c r="I51" s="29" t="str">
        <f ca="1" t="shared" si="7"/>
        <v/>
      </c>
      <c r="J51" s="22" t="str">
        <f ca="1" t="shared" si="8"/>
        <v/>
      </c>
    </row>
    <row r="52" spans="5:10">
      <c r="E52" s="21">
        <v>45722</v>
      </c>
      <c r="F52" s="10">
        <v>683.7</v>
      </c>
      <c r="G52" s="22">
        <f ca="1">IFERROR(VLOOKUP(E52,$I$1:J51,2,0),0)</f>
        <v>0</v>
      </c>
      <c r="H52" s="23">
        <f ca="1" t="shared" si="2"/>
        <v>-90661.69</v>
      </c>
      <c r="I52" s="29" t="str">
        <f ca="1" t="shared" si="7"/>
        <v/>
      </c>
      <c r="J52" s="22" t="str">
        <f ca="1" t="shared" si="8"/>
        <v/>
      </c>
    </row>
    <row r="53" spans="5:10">
      <c r="E53" s="21">
        <v>45723</v>
      </c>
      <c r="F53" s="10">
        <v>3657</v>
      </c>
      <c r="G53" s="22">
        <f ca="1">IFERROR(VLOOKUP(E53,$I$1:J52,2,0),0)</f>
        <v>0</v>
      </c>
      <c r="H53" s="23">
        <f ca="1" t="shared" si="2"/>
        <v>-94318.69</v>
      </c>
      <c r="I53" s="29">
        <f ca="1" t="shared" si="7"/>
        <v>45726</v>
      </c>
      <c r="J53" s="22">
        <f ca="1" t="shared" si="8"/>
        <v>128887.89914181</v>
      </c>
    </row>
    <row r="54" spans="5:10">
      <c r="E54" s="21">
        <v>45726</v>
      </c>
      <c r="F54" s="10">
        <v>413.4</v>
      </c>
      <c r="G54" s="22">
        <f ca="1">IFERROR(VLOOKUP(E54,$I$1:J53,2,0),0)</f>
        <v>128887.89914181</v>
      </c>
      <c r="H54" s="23">
        <f ca="1" t="shared" si="2"/>
        <v>34155.8091418105</v>
      </c>
      <c r="I54" s="29" t="str">
        <f ca="1" t="shared" si="7"/>
        <v/>
      </c>
      <c r="J54" s="22" t="str">
        <f ca="1" t="shared" si="8"/>
        <v/>
      </c>
    </row>
    <row r="55" spans="5:10">
      <c r="E55" s="21">
        <v>45727</v>
      </c>
      <c r="F55" s="10">
        <v>1955.7</v>
      </c>
      <c r="G55" s="22">
        <f ca="1">IFERROR(VLOOKUP(E55,$I$1:J54,2,0),0)</f>
        <v>0</v>
      </c>
      <c r="H55" s="23">
        <f ca="1" t="shared" si="2"/>
        <v>32200.1091418105</v>
      </c>
      <c r="I55" s="29" t="str">
        <f ca="1" t="shared" si="7"/>
        <v/>
      </c>
      <c r="J55" s="22" t="str">
        <f ca="1" t="shared" si="8"/>
        <v/>
      </c>
    </row>
    <row r="56" spans="5:10">
      <c r="E56" s="21">
        <v>45728</v>
      </c>
      <c r="F56" s="10">
        <v>985.8</v>
      </c>
      <c r="G56" s="22">
        <f ca="1">IFERROR(VLOOKUP(E56,$I$1:J55,2,0),0)</f>
        <v>0</v>
      </c>
      <c r="H56" s="23">
        <f ca="1" t="shared" si="2"/>
        <v>31214.3091418105</v>
      </c>
      <c r="I56" s="29" t="str">
        <f ca="1" t="shared" si="7"/>
        <v/>
      </c>
      <c r="J56" s="22" t="str">
        <f ca="1" t="shared" si="8"/>
        <v/>
      </c>
    </row>
    <row r="57" spans="5:10">
      <c r="E57" s="21">
        <v>45729</v>
      </c>
      <c r="F57" s="10">
        <v>683.7</v>
      </c>
      <c r="G57" s="22">
        <f ca="1">IFERROR(VLOOKUP(E57,$I$1:J56,2,0),0)</f>
        <v>0</v>
      </c>
      <c r="H57" s="23">
        <f ca="1" t="shared" si="2"/>
        <v>30530.6091418105</v>
      </c>
      <c r="I57" s="29" t="str">
        <f ca="1" t="shared" si="7"/>
        <v/>
      </c>
      <c r="J57" s="22" t="str">
        <f ca="1" t="shared" si="8"/>
        <v/>
      </c>
    </row>
    <row r="58" spans="5:10">
      <c r="E58" s="21">
        <v>45730</v>
      </c>
      <c r="F58" s="10">
        <v>15.9</v>
      </c>
      <c r="G58" s="22">
        <f ca="1">IFERROR(VLOOKUP(E58,$I$1:J57,2,0),0)</f>
        <v>0</v>
      </c>
      <c r="H58" s="23">
        <f ca="1" t="shared" si="2"/>
        <v>30514.7091418105</v>
      </c>
      <c r="I58" s="29" t="str">
        <f ca="1" t="shared" si="7"/>
        <v/>
      </c>
      <c r="J58" s="22" t="str">
        <f ca="1" t="shared" si="8"/>
        <v/>
      </c>
    </row>
    <row r="59" spans="5:10">
      <c r="E59" s="21">
        <v>45731</v>
      </c>
      <c r="F59" s="10">
        <v>747.3</v>
      </c>
      <c r="G59" s="22">
        <f ca="1">IFERROR(VLOOKUP(E59,$I$1:J58,2,0),0)</f>
        <v>0</v>
      </c>
      <c r="H59" s="23">
        <f ca="1" t="shared" si="2"/>
        <v>29767.4091418105</v>
      </c>
      <c r="I59" s="29" t="str">
        <f ca="1" t="shared" si="7"/>
        <v/>
      </c>
      <c r="J59" s="22" t="str">
        <f ca="1" t="shared" si="8"/>
        <v/>
      </c>
    </row>
    <row r="60" spans="5:10">
      <c r="E60" s="21">
        <v>45734</v>
      </c>
      <c r="F60" s="10">
        <v>79.5</v>
      </c>
      <c r="G60" s="22">
        <f ca="1">IFERROR(VLOOKUP(E60,$I$1:J59,2,0),0)</f>
        <v>0</v>
      </c>
      <c r="H60" s="23">
        <f ca="1" t="shared" si="2"/>
        <v>29687.9091418105</v>
      </c>
      <c r="I60" s="29" t="str">
        <f ca="1" t="shared" si="7"/>
        <v/>
      </c>
      <c r="J60" s="22" t="str">
        <f ca="1" t="shared" si="8"/>
        <v/>
      </c>
    </row>
    <row r="61" spans="5:10">
      <c r="E61" s="21">
        <v>45735</v>
      </c>
      <c r="F61" s="10">
        <v>892</v>
      </c>
      <c r="G61" s="22">
        <f ca="1">IFERROR(VLOOKUP(E61,$I$1:J60,2,0),0)</f>
        <v>0</v>
      </c>
      <c r="H61" s="23">
        <f ca="1" t="shared" si="2"/>
        <v>28795.9091418105</v>
      </c>
      <c r="I61" s="29" t="str">
        <f ca="1" t="shared" si="7"/>
        <v/>
      </c>
      <c r="J61" s="22" t="str">
        <f ca="1" t="shared" si="8"/>
        <v/>
      </c>
    </row>
    <row r="62" spans="5:10">
      <c r="E62" s="21">
        <v>45736</v>
      </c>
      <c r="F62" s="10">
        <v>1780.8</v>
      </c>
      <c r="G62" s="22">
        <f ca="1">IFERROR(VLOOKUP(E62,$I$1:J61,2,0),0)</f>
        <v>0</v>
      </c>
      <c r="H62" s="23">
        <f ca="1" t="shared" si="2"/>
        <v>27015.1091418105</v>
      </c>
      <c r="I62" s="29" t="str">
        <f ca="1" t="shared" si="7"/>
        <v/>
      </c>
      <c r="J62" s="22" t="str">
        <f ca="1" t="shared" si="8"/>
        <v/>
      </c>
    </row>
    <row r="63" spans="5:10">
      <c r="E63" s="21">
        <v>45737</v>
      </c>
      <c r="F63" s="10">
        <v>1256.1</v>
      </c>
      <c r="G63" s="22">
        <f ca="1">IFERROR(VLOOKUP(E63,$I$1:J62,2,0),0)</f>
        <v>0</v>
      </c>
      <c r="H63" s="23">
        <f ca="1" t="shared" si="2"/>
        <v>25759.0091418105</v>
      </c>
      <c r="I63" s="29" t="str">
        <f ca="1" t="shared" si="7"/>
        <v/>
      </c>
      <c r="J63" s="22" t="str">
        <f ca="1" t="shared" si="8"/>
        <v/>
      </c>
    </row>
    <row r="64" spans="5:10">
      <c r="E64" s="21">
        <v>45740</v>
      </c>
      <c r="F64" s="10">
        <v>222.6</v>
      </c>
      <c r="G64" s="22">
        <f ca="1">IFERROR(VLOOKUP(E64,$I$1:J63,2,0),0)</f>
        <v>0</v>
      </c>
      <c r="H64" s="23">
        <f ca="1" t="shared" si="2"/>
        <v>25536.4091418105</v>
      </c>
      <c r="I64" s="29" t="str">
        <f ca="1" t="shared" si="7"/>
        <v/>
      </c>
      <c r="J64" s="22" t="str">
        <f ca="1" t="shared" si="8"/>
        <v/>
      </c>
    </row>
    <row r="65" spans="5:10">
      <c r="E65" s="21">
        <v>45741</v>
      </c>
      <c r="F65" s="10">
        <v>1065.3</v>
      </c>
      <c r="G65" s="22">
        <f ca="1">IFERROR(VLOOKUP(E65,$I$1:J64,2,0),0)</f>
        <v>0</v>
      </c>
      <c r="H65" s="23">
        <f ca="1" t="shared" si="2"/>
        <v>24471.1091418105</v>
      </c>
      <c r="I65" s="29" t="str">
        <f ca="1" t="shared" si="7"/>
        <v/>
      </c>
      <c r="J65" s="22" t="str">
        <f ca="1" t="shared" si="8"/>
        <v/>
      </c>
    </row>
    <row r="66" spans="5:10">
      <c r="E66" s="21">
        <v>45742</v>
      </c>
      <c r="F66" s="10">
        <v>1637.7</v>
      </c>
      <c r="G66" s="22">
        <f ca="1">IFERROR(VLOOKUP(E66,$I$1:J65,2,0),0)</f>
        <v>0</v>
      </c>
      <c r="H66" s="23">
        <f ca="1" t="shared" si="2"/>
        <v>22833.4091418105</v>
      </c>
      <c r="I66" s="29" t="str">
        <f ca="1" t="shared" si="7"/>
        <v/>
      </c>
      <c r="J66" s="22" t="str">
        <f ca="1" t="shared" si="8"/>
        <v/>
      </c>
    </row>
    <row r="67" spans="5:10">
      <c r="E67" s="21">
        <v>45743</v>
      </c>
      <c r="F67" s="10">
        <v>79.5</v>
      </c>
      <c r="G67" s="22">
        <f ca="1">IFERROR(VLOOKUP(E67,$I$1:J66,2,0),0)</f>
        <v>0</v>
      </c>
      <c r="H67" s="23">
        <f ca="1" t="shared" si="2"/>
        <v>22753.9091418105</v>
      </c>
      <c r="I67" s="29" t="str">
        <f ca="1" t="shared" si="7"/>
        <v/>
      </c>
      <c r="J67" s="22" t="str">
        <f ca="1" t="shared" si="8"/>
        <v/>
      </c>
    </row>
    <row r="68" spans="5:10">
      <c r="E68" s="21">
        <v>45744</v>
      </c>
      <c r="F68" s="10">
        <v>1764.9</v>
      </c>
      <c r="G68" s="22">
        <f ca="1">IFERROR(VLOOKUP(E68,$I$1:J67,2,0),0)</f>
        <v>0</v>
      </c>
      <c r="H68" s="23">
        <f ca="1" t="shared" si="2"/>
        <v>20989.0091418105</v>
      </c>
      <c r="I68" s="29" t="str">
        <f ca="1" t="shared" si="7"/>
        <v/>
      </c>
      <c r="J68" s="22" t="str">
        <f ca="1" t="shared" si="8"/>
        <v/>
      </c>
    </row>
    <row r="69" spans="5:10">
      <c r="E69" s="21">
        <v>45747</v>
      </c>
      <c r="F69" s="10">
        <v>874.5</v>
      </c>
      <c r="G69" s="22">
        <f ca="1">IFERROR(VLOOKUP(E69,$I$1:J68,2,0),0)</f>
        <v>0</v>
      </c>
      <c r="H69" s="23">
        <f ca="1" t="shared" si="2"/>
        <v>20114.5091418105</v>
      </c>
      <c r="I69" s="29" t="str">
        <f ca="1" t="shared" si="7"/>
        <v/>
      </c>
      <c r="J69" s="22" t="str">
        <f ca="1" t="shared" si="8"/>
        <v/>
      </c>
    </row>
    <row r="70" spans="5:10">
      <c r="E70" s="21">
        <v>45748</v>
      </c>
      <c r="F70" s="10">
        <v>238.5</v>
      </c>
      <c r="G70" s="22">
        <f ca="1">IFERROR(VLOOKUP(E70,$I$1:J69,2,0),0)</f>
        <v>0</v>
      </c>
      <c r="H70" s="23">
        <f ca="1" t="shared" si="2"/>
        <v>19876.0091418105</v>
      </c>
      <c r="I70" s="29" t="str">
        <f ca="1" t="shared" si="7"/>
        <v/>
      </c>
      <c r="J70" s="22" t="str">
        <f ca="1" t="shared" si="8"/>
        <v/>
      </c>
    </row>
    <row r="71" spans="5:10">
      <c r="E71" s="21">
        <v>45749</v>
      </c>
      <c r="F71" s="10">
        <v>810.9</v>
      </c>
      <c r="G71" s="22">
        <f ca="1">IFERROR(VLOOKUP(E71,$I$1:J70,2,0),0)</f>
        <v>0</v>
      </c>
      <c r="H71" s="23">
        <f ca="1" t="shared" si="2"/>
        <v>19065.1091418105</v>
      </c>
      <c r="I71" s="29" t="str">
        <f ca="1" t="shared" si="7"/>
        <v/>
      </c>
      <c r="J71" s="22" t="str">
        <f ca="1" t="shared" si="8"/>
        <v/>
      </c>
    </row>
    <row r="72" spans="5:10">
      <c r="E72" s="21">
        <v>45750</v>
      </c>
      <c r="F72" s="10">
        <v>3275.4</v>
      </c>
      <c r="G72" s="22">
        <f ca="1">IFERROR(VLOOKUP(E72,$I$1:J71,2,0),0)</f>
        <v>0</v>
      </c>
      <c r="H72" s="23">
        <f ca="1" t="shared" si="2"/>
        <v>15789.7091418105</v>
      </c>
      <c r="I72" s="29" t="str">
        <f ca="1" t="shared" si="7"/>
        <v/>
      </c>
      <c r="J72" s="22" t="str">
        <f ca="1" t="shared" si="8"/>
        <v/>
      </c>
    </row>
    <row r="73" spans="5:10">
      <c r="E73" s="21">
        <v>45751</v>
      </c>
      <c r="F73" s="10">
        <v>1542.3</v>
      </c>
      <c r="G73" s="22">
        <f ca="1">IFERROR(VLOOKUP(E73,$I$1:J72,2,0),0)</f>
        <v>0</v>
      </c>
      <c r="H73" s="23">
        <f ca="1" t="shared" si="2"/>
        <v>14247.4091418105</v>
      </c>
      <c r="I73" s="29" t="str">
        <f ca="1" t="shared" si="7"/>
        <v/>
      </c>
      <c r="J73" s="22" t="str">
        <f ca="1" t="shared" si="8"/>
        <v/>
      </c>
    </row>
    <row r="74" spans="5:10">
      <c r="E74" s="21">
        <v>45754</v>
      </c>
      <c r="F74" s="10">
        <v>667.8</v>
      </c>
      <c r="G74" s="22">
        <f ca="1">IFERROR(VLOOKUP(E74,$I$1:J73,2,0),0)</f>
        <v>0</v>
      </c>
      <c r="H74" s="23">
        <f ca="1" t="shared" ref="H74:H119" si="9">H73+G74-F74</f>
        <v>13579.6091418105</v>
      </c>
      <c r="I74" s="29" t="str">
        <f ca="1" t="shared" si="7"/>
        <v/>
      </c>
      <c r="J74" s="22" t="str">
        <f ca="1" t="shared" si="8"/>
        <v/>
      </c>
    </row>
    <row r="75" spans="5:10">
      <c r="E75" s="21">
        <v>45755</v>
      </c>
      <c r="F75" s="10">
        <v>1001.7</v>
      </c>
      <c r="G75" s="22">
        <f ca="1">IFERROR(VLOOKUP(E75,$I$1:J74,2,0),0)</f>
        <v>0</v>
      </c>
      <c r="H75" s="23">
        <f ca="1" t="shared" si="9"/>
        <v>12577.9091418105</v>
      </c>
      <c r="I75" s="29">
        <f ca="1" t="shared" si="7"/>
        <v>45758</v>
      </c>
      <c r="J75" s="22">
        <f ca="1" t="shared" si="8"/>
        <v>21514.3</v>
      </c>
    </row>
    <row r="76" spans="5:10">
      <c r="E76" s="21">
        <v>45756</v>
      </c>
      <c r="F76" s="10">
        <v>1860.3</v>
      </c>
      <c r="G76" s="22">
        <f ca="1">IFERROR(VLOOKUP(E76,$I$1:J75,2,0),0)</f>
        <v>0</v>
      </c>
      <c r="H76" s="23">
        <f ca="1" t="shared" si="9"/>
        <v>10717.6091418105</v>
      </c>
      <c r="I76" s="29" t="str">
        <f ca="1" t="shared" si="7"/>
        <v/>
      </c>
      <c r="J76" s="22" t="str">
        <f ca="1" t="shared" si="8"/>
        <v/>
      </c>
    </row>
    <row r="77" spans="5:10">
      <c r="E77" s="21">
        <v>45757</v>
      </c>
      <c r="F77" s="10">
        <v>2194.2</v>
      </c>
      <c r="G77" s="22">
        <f ca="1">IFERROR(VLOOKUP(E77,$I$1:J76,2,0),0)</f>
        <v>0</v>
      </c>
      <c r="H77" s="23">
        <f ca="1" t="shared" si="9"/>
        <v>8523.4091418105</v>
      </c>
      <c r="I77" s="29" t="str">
        <f ca="1" t="shared" si="7"/>
        <v/>
      </c>
      <c r="J77" s="22" t="str">
        <f ca="1" t="shared" si="8"/>
        <v/>
      </c>
    </row>
    <row r="78" spans="5:10">
      <c r="E78" s="21">
        <v>45758</v>
      </c>
      <c r="F78" s="10">
        <v>1605.9</v>
      </c>
      <c r="G78" s="22">
        <f ca="1">IFERROR(VLOOKUP(E78,$I$1:J77,2,0),0)</f>
        <v>21514.3</v>
      </c>
      <c r="H78" s="23">
        <f ca="1" t="shared" si="9"/>
        <v>28431.8091418105</v>
      </c>
      <c r="I78" s="29" t="str">
        <f ca="1" t="shared" si="7"/>
        <v/>
      </c>
      <c r="J78" s="22" t="str">
        <f ca="1" t="shared" si="8"/>
        <v/>
      </c>
    </row>
    <row r="79" spans="5:10">
      <c r="E79" s="21">
        <v>45761</v>
      </c>
      <c r="F79" s="10">
        <v>556.5</v>
      </c>
      <c r="G79" s="22">
        <f ca="1">IFERROR(VLOOKUP(E79,$I$1:J78,2,0),0)</f>
        <v>0</v>
      </c>
      <c r="H79" s="23">
        <f ca="1" t="shared" si="9"/>
        <v>27875.3091418105</v>
      </c>
      <c r="I79" s="29" t="str">
        <f ca="1" t="shared" si="7"/>
        <v/>
      </c>
      <c r="J79" s="22" t="str">
        <f ca="1" t="shared" si="8"/>
        <v/>
      </c>
    </row>
    <row r="80" spans="5:10">
      <c r="E80" s="21">
        <v>45762</v>
      </c>
      <c r="F80" s="10">
        <v>636</v>
      </c>
      <c r="G80" s="22">
        <f ca="1">IFERROR(VLOOKUP(E80,$I$1:J79,2,0),0)</f>
        <v>0</v>
      </c>
      <c r="H80" s="23">
        <f ca="1" t="shared" si="9"/>
        <v>27239.3091418105</v>
      </c>
      <c r="I80" s="29" t="str">
        <f ca="1" t="shared" si="7"/>
        <v/>
      </c>
      <c r="J80" s="22" t="str">
        <f ca="1" t="shared" si="8"/>
        <v/>
      </c>
    </row>
    <row r="81" spans="5:10">
      <c r="E81" s="21">
        <v>45763</v>
      </c>
      <c r="F81" s="10">
        <v>2162.4</v>
      </c>
      <c r="G81" s="22">
        <f ca="1">IFERROR(VLOOKUP(E81,$I$1:J80,2,0),0)</f>
        <v>0</v>
      </c>
      <c r="H81" s="23">
        <f ca="1" t="shared" si="9"/>
        <v>25076.9091418105</v>
      </c>
      <c r="I81" s="29" t="str">
        <f ca="1" t="shared" si="7"/>
        <v/>
      </c>
      <c r="J81" s="22" t="str">
        <f ca="1" t="shared" si="8"/>
        <v/>
      </c>
    </row>
    <row r="82" spans="5:10">
      <c r="E82" s="21">
        <v>45764</v>
      </c>
      <c r="F82" s="10">
        <v>2750.7</v>
      </c>
      <c r="G82" s="22">
        <f ca="1">IFERROR(VLOOKUP(E82,$I$1:J81,2,0),0)</f>
        <v>0</v>
      </c>
      <c r="H82" s="23">
        <f ca="1" t="shared" si="9"/>
        <v>22326.2091418105</v>
      </c>
      <c r="I82" s="29" t="str">
        <f ca="1" t="shared" si="7"/>
        <v/>
      </c>
      <c r="J82" s="22" t="str">
        <f ca="1" t="shared" si="8"/>
        <v/>
      </c>
    </row>
    <row r="83" spans="5:10">
      <c r="E83" s="21">
        <v>45769</v>
      </c>
      <c r="F83" s="10">
        <v>1287.9</v>
      </c>
      <c r="G83" s="22">
        <f ca="1">IFERROR(VLOOKUP(E83,$I$1:J82,2,0),0)</f>
        <v>0</v>
      </c>
      <c r="H83" s="23">
        <f ca="1" t="shared" si="9"/>
        <v>21038.3091418105</v>
      </c>
      <c r="I83" s="29" t="str">
        <f ca="1" t="shared" si="7"/>
        <v/>
      </c>
      <c r="J83" s="22" t="str">
        <f ca="1" t="shared" si="8"/>
        <v/>
      </c>
    </row>
    <row r="84" spans="5:10">
      <c r="E84" s="21">
        <v>45770</v>
      </c>
      <c r="F84" s="10">
        <v>1558.2</v>
      </c>
      <c r="G84" s="22">
        <f ca="1">IFERROR(VLOOKUP(E84,$I$1:J83,2,0),0)</f>
        <v>0</v>
      </c>
      <c r="H84" s="23">
        <f ca="1" t="shared" si="9"/>
        <v>19480.1091418105</v>
      </c>
      <c r="I84" s="29" t="str">
        <f ca="1" t="shared" si="7"/>
        <v/>
      </c>
      <c r="J84" s="22" t="str">
        <f ca="1" t="shared" si="8"/>
        <v/>
      </c>
    </row>
    <row r="85" spans="5:10">
      <c r="E85" s="21">
        <v>45771</v>
      </c>
      <c r="F85" s="10">
        <v>1367.4</v>
      </c>
      <c r="G85" s="22">
        <f ca="1">IFERROR(VLOOKUP(E85,$I$1:J84,2,0),0)</f>
        <v>0</v>
      </c>
      <c r="H85" s="23">
        <f ca="1" t="shared" si="9"/>
        <v>18112.7091418105</v>
      </c>
      <c r="I85" s="29" t="str">
        <f ca="1" t="shared" si="7"/>
        <v/>
      </c>
      <c r="J85" s="22" t="str">
        <f ca="1" t="shared" si="8"/>
        <v/>
      </c>
    </row>
    <row r="86" spans="5:10">
      <c r="E86" s="21">
        <v>45772</v>
      </c>
      <c r="F86" s="10">
        <v>508.8</v>
      </c>
      <c r="G86" s="22">
        <f ca="1">IFERROR(VLOOKUP(E86,$I$1:J85,2,0),0)</f>
        <v>0</v>
      </c>
      <c r="H86" s="23">
        <f ca="1" t="shared" si="9"/>
        <v>17603.9091418105</v>
      </c>
      <c r="I86" s="29" t="str">
        <f ca="1" t="shared" si="7"/>
        <v/>
      </c>
      <c r="J86" s="22" t="str">
        <f ca="1" t="shared" si="8"/>
        <v/>
      </c>
    </row>
    <row r="87" spans="5:10">
      <c r="E87" s="21">
        <v>45776</v>
      </c>
      <c r="F87" s="10">
        <v>2098.8</v>
      </c>
      <c r="G87" s="22">
        <f ca="1">IFERROR(VLOOKUP(E87,$I$1:J86,2,0),0)</f>
        <v>0</v>
      </c>
      <c r="H87" s="23">
        <f ca="1" t="shared" si="9"/>
        <v>15505.1091418105</v>
      </c>
      <c r="I87" s="29" t="str">
        <f ca="1" t="shared" ref="I87:I119" si="10">IF(H87&lt;=$C$12,IF(COUNT(OFFSET(I86,,,-4))&gt;0,"",E87+$C$9),"")</f>
        <v/>
      </c>
      <c r="J87" s="22" t="str">
        <f ca="1" t="shared" ref="J87:J119" si="11">IF(ISNUMBER(I87),$C$13-(H87-SUM(F87:F91)),"")</f>
        <v/>
      </c>
    </row>
    <row r="88" spans="5:10">
      <c r="E88" s="21">
        <v>45777</v>
      </c>
      <c r="F88" s="10">
        <v>4054.5</v>
      </c>
      <c r="G88" s="22">
        <f ca="1">IFERROR(VLOOKUP(E88,$I$1:J87,2,0),0)</f>
        <v>0</v>
      </c>
      <c r="H88" s="23">
        <f ca="1" t="shared" si="9"/>
        <v>11450.6091418105</v>
      </c>
      <c r="I88" s="29">
        <f ca="1" t="shared" si="10"/>
        <v>45780</v>
      </c>
      <c r="J88" s="22">
        <f ca="1" t="shared" si="11"/>
        <v>26902.8</v>
      </c>
    </row>
    <row r="89" spans="5:10">
      <c r="E89" s="21">
        <v>45779</v>
      </c>
      <c r="F89" s="10">
        <v>3370.8</v>
      </c>
      <c r="G89" s="22">
        <f ca="1">IFERROR(VLOOKUP(E89,$I$1:J88,2,0),0)</f>
        <v>0</v>
      </c>
      <c r="H89" s="23">
        <f ca="1" t="shared" si="9"/>
        <v>8079.8091418105</v>
      </c>
      <c r="I89" s="29" t="str">
        <f ca="1" t="shared" si="10"/>
        <v/>
      </c>
      <c r="J89" s="22" t="str">
        <f ca="1" t="shared" si="11"/>
        <v/>
      </c>
    </row>
    <row r="90" spans="5:10">
      <c r="E90" s="21">
        <v>45782</v>
      </c>
      <c r="F90" s="10">
        <v>333.9</v>
      </c>
      <c r="G90" s="22">
        <f ca="1">IFERROR(VLOOKUP(E90,$I$1:J89,2,0),0)</f>
        <v>0</v>
      </c>
      <c r="H90" s="23">
        <f ca="1" t="shared" si="9"/>
        <v>7745.9091418105</v>
      </c>
      <c r="I90" s="29" t="str">
        <f ca="1" t="shared" si="10"/>
        <v/>
      </c>
      <c r="J90" s="22" t="str">
        <f ca="1" t="shared" si="11"/>
        <v/>
      </c>
    </row>
    <row r="91" spans="5:10">
      <c r="E91" s="21">
        <v>45783</v>
      </c>
      <c r="F91" s="10">
        <v>492.9</v>
      </c>
      <c r="G91" s="22">
        <f ca="1">IFERROR(VLOOKUP(E91,$I$1:J90,2,0),0)</f>
        <v>0</v>
      </c>
      <c r="H91" s="23">
        <f ca="1" t="shared" si="9"/>
        <v>7253.0091418105</v>
      </c>
      <c r="I91" s="29" t="str">
        <f ca="1" t="shared" si="10"/>
        <v/>
      </c>
      <c r="J91" s="22" t="str">
        <f ca="1" t="shared" si="11"/>
        <v/>
      </c>
    </row>
    <row r="92" spans="5:10">
      <c r="E92" s="21">
        <v>45784</v>
      </c>
      <c r="F92" s="10">
        <v>3227.7</v>
      </c>
      <c r="G92" s="22">
        <f ca="1">IFERROR(VLOOKUP(E92,$I$1:J91,2,0),0)</f>
        <v>0</v>
      </c>
      <c r="H92" s="23">
        <f ca="1" t="shared" si="9"/>
        <v>4025.3091418105</v>
      </c>
      <c r="I92" s="29" t="str">
        <f ca="1" t="shared" si="10"/>
        <v/>
      </c>
      <c r="J92" s="22" t="str">
        <f ca="1" t="shared" si="11"/>
        <v/>
      </c>
    </row>
    <row r="93" spans="5:10">
      <c r="E93" s="21">
        <v>45785</v>
      </c>
      <c r="F93" s="10">
        <v>715.5</v>
      </c>
      <c r="G93" s="22">
        <f ca="1">IFERROR(VLOOKUP(E93,$I$1:J92,2,0),0)</f>
        <v>0</v>
      </c>
      <c r="H93" s="23">
        <f ca="1" t="shared" si="9"/>
        <v>3309.8091418105</v>
      </c>
      <c r="I93" s="29">
        <f ca="1" t="shared" si="10"/>
        <v>45788</v>
      </c>
      <c r="J93" s="22">
        <f ca="1" t="shared" si="11"/>
        <v>29605.8</v>
      </c>
    </row>
    <row r="94" spans="5:10">
      <c r="E94" s="21">
        <v>45786</v>
      </c>
      <c r="F94" s="10">
        <v>1049.4</v>
      </c>
      <c r="G94" s="22">
        <f ca="1">IFERROR(VLOOKUP(E94,$I$1:J93,2,0),0)</f>
        <v>0</v>
      </c>
      <c r="H94" s="23">
        <f ca="1" t="shared" si="9"/>
        <v>2260.4091418105</v>
      </c>
      <c r="I94" s="29" t="str">
        <f ca="1" t="shared" si="10"/>
        <v/>
      </c>
      <c r="J94" s="22" t="str">
        <f ca="1" t="shared" si="11"/>
        <v/>
      </c>
    </row>
    <row r="95" spans="5:10">
      <c r="E95" s="21">
        <v>45789</v>
      </c>
      <c r="F95" s="10">
        <v>2655.3</v>
      </c>
      <c r="G95" s="22">
        <f ca="1">IFERROR(VLOOKUP(E95,$I$1:J94,2,0),0)</f>
        <v>0</v>
      </c>
      <c r="H95" s="23">
        <f ca="1" t="shared" si="9"/>
        <v>-394.890858189504</v>
      </c>
      <c r="I95" s="29" t="str">
        <f ca="1" t="shared" si="10"/>
        <v/>
      </c>
      <c r="J95" s="22" t="str">
        <f ca="1" t="shared" si="11"/>
        <v/>
      </c>
    </row>
    <row r="96" spans="5:10">
      <c r="E96" s="21">
        <v>45790</v>
      </c>
      <c r="F96" s="10">
        <v>779.1</v>
      </c>
      <c r="G96" s="22">
        <f ca="1">IFERROR(VLOOKUP(E96,$I$1:J95,2,0),0)</f>
        <v>0</v>
      </c>
      <c r="H96" s="23">
        <f ca="1" t="shared" si="9"/>
        <v>-1173.9908581895</v>
      </c>
      <c r="I96" s="29" t="str">
        <f ca="1" t="shared" si="10"/>
        <v/>
      </c>
      <c r="J96" s="22" t="str">
        <f ca="1" t="shared" si="11"/>
        <v/>
      </c>
    </row>
    <row r="97" spans="5:10">
      <c r="E97" s="21">
        <v>45791</v>
      </c>
      <c r="F97" s="10">
        <v>842.7</v>
      </c>
      <c r="G97" s="22">
        <f ca="1">IFERROR(VLOOKUP(E97,$I$1:J96,2,0),0)</f>
        <v>0</v>
      </c>
      <c r="H97" s="23">
        <f ca="1" t="shared" si="9"/>
        <v>-2016.6908581895</v>
      </c>
      <c r="I97" s="29" t="str">
        <f ca="1" t="shared" si="10"/>
        <v/>
      </c>
      <c r="J97" s="22" t="str">
        <f ca="1" t="shared" si="11"/>
        <v/>
      </c>
    </row>
    <row r="98" spans="5:10">
      <c r="E98" s="21">
        <v>45792</v>
      </c>
      <c r="F98" s="10">
        <v>1590</v>
      </c>
      <c r="G98" s="22">
        <f ca="1">IFERROR(VLOOKUP(E98,$I$1:J97,2,0),0)</f>
        <v>0</v>
      </c>
      <c r="H98" s="23">
        <f ca="1" t="shared" si="9"/>
        <v>-3606.6908581895</v>
      </c>
      <c r="I98" s="29">
        <f ca="1" t="shared" si="10"/>
        <v>45795</v>
      </c>
      <c r="J98" s="22">
        <f ca="1" t="shared" si="11"/>
        <v>36363.3</v>
      </c>
    </row>
    <row r="99" spans="5:10">
      <c r="E99" s="21">
        <v>45793</v>
      </c>
      <c r="F99" s="10">
        <v>572.4</v>
      </c>
      <c r="G99" s="22">
        <f ca="1">IFERROR(VLOOKUP(E99,$I$1:J98,2,0),0)</f>
        <v>0</v>
      </c>
      <c r="H99" s="23">
        <f ca="1" t="shared" si="9"/>
        <v>-4179.0908581895</v>
      </c>
      <c r="I99" s="29" t="str">
        <f ca="1" t="shared" si="10"/>
        <v/>
      </c>
      <c r="J99" s="22" t="str">
        <f ca="1" t="shared" si="11"/>
        <v/>
      </c>
    </row>
    <row r="100" spans="5:10">
      <c r="E100" s="21">
        <v>45796</v>
      </c>
      <c r="F100" s="10">
        <v>1510.5</v>
      </c>
      <c r="G100" s="22">
        <f ca="1">IFERROR(VLOOKUP(E100,$I$1:J99,2,0),0)</f>
        <v>0</v>
      </c>
      <c r="H100" s="23">
        <f ca="1" t="shared" si="9"/>
        <v>-5689.5908581895</v>
      </c>
      <c r="I100" s="29" t="str">
        <f ca="1" t="shared" si="10"/>
        <v/>
      </c>
      <c r="J100" s="22" t="str">
        <f ca="1" t="shared" si="11"/>
        <v/>
      </c>
    </row>
    <row r="101" spans="5:10">
      <c r="E101" s="21">
        <v>45797</v>
      </c>
      <c r="F101" s="10">
        <v>922.2</v>
      </c>
      <c r="G101" s="22">
        <f ca="1">IFERROR(VLOOKUP(E101,$I$1:J100,2,0),0)</f>
        <v>0</v>
      </c>
      <c r="H101" s="23">
        <f ca="1" t="shared" si="9"/>
        <v>-6611.7908581895</v>
      </c>
      <c r="I101" s="29" t="str">
        <f ca="1" t="shared" si="10"/>
        <v/>
      </c>
      <c r="J101" s="22" t="str">
        <f ca="1" t="shared" si="11"/>
        <v/>
      </c>
    </row>
    <row r="102" spans="5:10">
      <c r="E102" s="21">
        <v>45798</v>
      </c>
      <c r="F102" s="10">
        <v>1287.9</v>
      </c>
      <c r="G102" s="22">
        <f ca="1">IFERROR(VLOOKUP(E102,$I$1:J101,2,0),0)</f>
        <v>0</v>
      </c>
      <c r="H102" s="23">
        <f ca="1" t="shared" si="9"/>
        <v>-7899.6908581895</v>
      </c>
      <c r="I102" s="29" t="str">
        <f ca="1" t="shared" si="10"/>
        <v/>
      </c>
      <c r="J102" s="22" t="str">
        <f ca="1" t="shared" si="11"/>
        <v/>
      </c>
    </row>
    <row r="103" spans="5:10">
      <c r="E103" s="21">
        <v>45799</v>
      </c>
      <c r="F103" s="10">
        <v>477</v>
      </c>
      <c r="G103" s="22">
        <f ca="1">IFERROR(VLOOKUP(E103,$I$1:J102,2,0),0)</f>
        <v>0</v>
      </c>
      <c r="H103" s="23">
        <f ca="1" t="shared" si="9"/>
        <v>-8376.6908581895</v>
      </c>
      <c r="I103" s="29">
        <f ca="1" t="shared" si="10"/>
        <v>45802</v>
      </c>
      <c r="J103" s="22">
        <f ca="1" t="shared" si="11"/>
        <v>43089</v>
      </c>
    </row>
    <row r="104" spans="5:10">
      <c r="E104" s="21">
        <v>45800</v>
      </c>
      <c r="F104" s="10">
        <v>508.8</v>
      </c>
      <c r="G104" s="22">
        <f ca="1">IFERROR(VLOOKUP(E104,$I$1:J103,2,0),0)</f>
        <v>0</v>
      </c>
      <c r="H104" s="23">
        <f ca="1" t="shared" si="9"/>
        <v>-8885.4908581895</v>
      </c>
      <c r="I104" s="29" t="str">
        <f ca="1" t="shared" si="10"/>
        <v/>
      </c>
      <c r="J104" s="22" t="str">
        <f ca="1" t="shared" si="11"/>
        <v/>
      </c>
    </row>
    <row r="105" spans="5:10">
      <c r="E105" s="21">
        <v>45803</v>
      </c>
      <c r="F105" s="10">
        <v>1415.1</v>
      </c>
      <c r="G105" s="22">
        <f ca="1">IFERROR(VLOOKUP(E105,$I$1:J104,2,0),0)</f>
        <v>0</v>
      </c>
      <c r="H105" s="23">
        <f ca="1" t="shared" si="9"/>
        <v>-10300.5908581895</v>
      </c>
      <c r="I105" s="29" t="str">
        <f ca="1" t="shared" si="10"/>
        <v/>
      </c>
      <c r="J105" s="22" t="str">
        <f ca="1" t="shared" si="11"/>
        <v/>
      </c>
    </row>
    <row r="106" spans="5:10">
      <c r="E106" s="21">
        <v>45804</v>
      </c>
      <c r="F106" s="10">
        <v>1923.9</v>
      </c>
      <c r="G106" s="22">
        <f ca="1">IFERROR(VLOOKUP(E106,$I$1:J105,2,0),0)</f>
        <v>0</v>
      </c>
      <c r="H106" s="23">
        <f ca="1" t="shared" si="9"/>
        <v>-12224.4908581895</v>
      </c>
      <c r="I106" s="29" t="str">
        <f ca="1" t="shared" si="10"/>
        <v/>
      </c>
      <c r="J106" s="22" t="str">
        <f ca="1" t="shared" si="11"/>
        <v/>
      </c>
    </row>
    <row r="107" spans="5:10">
      <c r="E107" s="21">
        <v>45805</v>
      </c>
      <c r="F107" s="10">
        <v>3513.9</v>
      </c>
      <c r="G107" s="22">
        <f ca="1">IFERROR(VLOOKUP(E107,$I$1:J106,2,0),0)</f>
        <v>0</v>
      </c>
      <c r="H107" s="23">
        <f ca="1" t="shared" si="9"/>
        <v>-15738.3908581895</v>
      </c>
      <c r="I107" s="29" t="str">
        <f ca="1" t="shared" si="10"/>
        <v/>
      </c>
      <c r="J107" s="22" t="str">
        <f ca="1" t="shared" si="11"/>
        <v/>
      </c>
    </row>
    <row r="108" spans="5:10">
      <c r="E108" s="21">
        <v>45806</v>
      </c>
      <c r="F108" s="10">
        <v>2241.9</v>
      </c>
      <c r="G108" s="22">
        <f ca="1">IFERROR(VLOOKUP(E108,$I$1:J107,2,0),0)</f>
        <v>0</v>
      </c>
      <c r="H108" s="23">
        <f ca="1" t="shared" si="9"/>
        <v>-17980.2908581895</v>
      </c>
      <c r="I108" s="29">
        <f ca="1" t="shared" si="10"/>
        <v>45809</v>
      </c>
      <c r="J108" s="22">
        <f ca="1" t="shared" si="11"/>
        <v>53503.5</v>
      </c>
    </row>
    <row r="109" spans="5:10">
      <c r="E109" s="21">
        <v>45807</v>
      </c>
      <c r="F109" s="10">
        <v>1780.8</v>
      </c>
      <c r="G109" s="22">
        <f ca="1">IFERROR(VLOOKUP(E109,$I$1:J108,2,0),0)</f>
        <v>0</v>
      </c>
      <c r="H109" s="23">
        <f ca="1" t="shared" si="9"/>
        <v>-19761.0908581895</v>
      </c>
      <c r="I109" s="29" t="str">
        <f ca="1" t="shared" si="10"/>
        <v/>
      </c>
      <c r="J109" s="22" t="str">
        <f ca="1" t="shared" si="11"/>
        <v/>
      </c>
    </row>
    <row r="110" spans="5:10">
      <c r="E110" s="21">
        <v>45810</v>
      </c>
      <c r="F110" s="10">
        <v>349.8</v>
      </c>
      <c r="G110" s="22">
        <f ca="1">IFERROR(VLOOKUP(E110,$I$1:J109,2,0),0)</f>
        <v>0</v>
      </c>
      <c r="H110" s="23">
        <f ca="1" t="shared" si="9"/>
        <v>-20110.8908581895</v>
      </c>
      <c r="I110" s="29" t="str">
        <f ca="1" t="shared" si="10"/>
        <v/>
      </c>
      <c r="J110" s="22" t="str">
        <f ca="1" t="shared" si="11"/>
        <v/>
      </c>
    </row>
    <row r="111" spans="5:10">
      <c r="E111" s="21">
        <v>45811</v>
      </c>
      <c r="F111" s="10">
        <v>2305.5</v>
      </c>
      <c r="G111" s="22">
        <f ca="1">IFERROR(VLOOKUP(E111,$I$1:J110,2,0),0)</f>
        <v>0</v>
      </c>
      <c r="H111" s="23">
        <f ca="1" t="shared" si="9"/>
        <v>-22416.3908581895</v>
      </c>
      <c r="I111" s="29" t="str">
        <f ca="1" t="shared" si="10"/>
        <v/>
      </c>
      <c r="J111" s="22" t="str">
        <f ca="1" t="shared" si="11"/>
        <v/>
      </c>
    </row>
    <row r="112" spans="5:10">
      <c r="E112" s="21">
        <v>45812</v>
      </c>
      <c r="F112" s="10">
        <v>1971.6</v>
      </c>
      <c r="G112" s="22">
        <f ca="1">IFERROR(VLOOKUP(E112,$I$1:J111,2,0),0)</f>
        <v>0</v>
      </c>
      <c r="H112" s="23">
        <f ca="1" t="shared" si="9"/>
        <v>-24387.9908581895</v>
      </c>
      <c r="I112" s="29" t="str">
        <f ca="1" t="shared" si="10"/>
        <v/>
      </c>
      <c r="J112" s="22" t="str">
        <f ca="1" t="shared" si="11"/>
        <v/>
      </c>
    </row>
    <row r="113" spans="5:10">
      <c r="E113" s="21">
        <v>45813</v>
      </c>
      <c r="F113" s="10">
        <v>1892.1</v>
      </c>
      <c r="G113" s="22">
        <f ca="1">IFERROR(VLOOKUP(E113,$I$1:J112,2,0),0)</f>
        <v>0</v>
      </c>
      <c r="H113" s="23">
        <f ca="1" t="shared" si="9"/>
        <v>-26280.0908581895</v>
      </c>
      <c r="I113" s="29">
        <f ca="1" t="shared" si="10"/>
        <v>45816</v>
      </c>
      <c r="J113" s="22">
        <f ca="1" t="shared" si="11"/>
        <v>58639.2</v>
      </c>
    </row>
    <row r="114" spans="5:10">
      <c r="E114" s="21">
        <v>45814</v>
      </c>
      <c r="F114" s="10">
        <v>1892.1</v>
      </c>
      <c r="G114" s="22">
        <f ca="1">IFERROR(VLOOKUP(E114,$I$1:J113,2,0),0)</f>
        <v>0</v>
      </c>
      <c r="H114" s="23">
        <f ca="1" t="shared" si="9"/>
        <v>-28172.1908581895</v>
      </c>
      <c r="I114" s="29" t="str">
        <f ca="1" t="shared" si="10"/>
        <v/>
      </c>
      <c r="J114" s="22" t="str">
        <f ca="1" t="shared" si="11"/>
        <v/>
      </c>
    </row>
    <row r="115" spans="5:10">
      <c r="E115" s="21">
        <v>45817</v>
      </c>
      <c r="F115" s="10">
        <v>174.9</v>
      </c>
      <c r="G115" s="22">
        <f ca="1">IFERROR(VLOOKUP(E115,$I$1:J114,2,0),0)</f>
        <v>0</v>
      </c>
      <c r="H115" s="23">
        <f ca="1" t="shared" si="9"/>
        <v>-28347.0908581895</v>
      </c>
      <c r="I115" s="29" t="str">
        <f ca="1" t="shared" si="10"/>
        <v/>
      </c>
      <c r="J115" s="22" t="str">
        <f ca="1" t="shared" si="11"/>
        <v/>
      </c>
    </row>
    <row r="116" spans="5:10">
      <c r="E116" s="21">
        <v>45818</v>
      </c>
      <c r="F116" s="10">
        <v>731.4</v>
      </c>
      <c r="G116" s="22">
        <f ca="1">IFERROR(VLOOKUP(E116,$I$1:J115,2,0),0)</f>
        <v>0</v>
      </c>
      <c r="H116" s="23">
        <f ca="1" t="shared" si="9"/>
        <v>-29078.4908581895</v>
      </c>
      <c r="I116" s="29" t="str">
        <f ca="1" t="shared" si="10"/>
        <v/>
      </c>
      <c r="J116" s="22" t="str">
        <f ca="1" t="shared" si="11"/>
        <v/>
      </c>
    </row>
    <row r="117" spans="5:10">
      <c r="E117" s="21">
        <v>45819</v>
      </c>
      <c r="F117" s="10">
        <v>795</v>
      </c>
      <c r="G117" s="22">
        <f ca="1">IFERROR(VLOOKUP(E117,$I$1:J116,2,0),0)</f>
        <v>0</v>
      </c>
      <c r="H117" s="23">
        <f ca="1" t="shared" si="9"/>
        <v>-29873.4908581895</v>
      </c>
      <c r="I117" s="29" t="str">
        <f ca="1" t="shared" si="10"/>
        <v/>
      </c>
      <c r="J117" s="22" t="str">
        <f ca="1" t="shared" si="11"/>
        <v/>
      </c>
    </row>
    <row r="118" spans="5:10">
      <c r="E118" s="21">
        <v>45820</v>
      </c>
      <c r="F118" s="10">
        <v>1653.6</v>
      </c>
      <c r="G118" s="22">
        <f ca="1">IFERROR(VLOOKUP(E118,$I$1:J117,2,0),0)</f>
        <v>0</v>
      </c>
      <c r="H118" s="23">
        <f ca="1" t="shared" si="9"/>
        <v>-31527.0908581895</v>
      </c>
      <c r="I118" s="29">
        <f ca="1" t="shared" si="10"/>
        <v>45823</v>
      </c>
      <c r="J118" s="22">
        <f ca="1" t="shared" si="11"/>
        <v>70882.2</v>
      </c>
    </row>
    <row r="119" spans="5:10">
      <c r="E119" s="21">
        <v>45821</v>
      </c>
      <c r="F119" s="10">
        <v>1955.7</v>
      </c>
      <c r="G119" s="22">
        <f ca="1">IFERROR(VLOOKUP(E119,$I$1:J118,2,0),0)</f>
        <v>0</v>
      </c>
      <c r="H119" s="23">
        <f ca="1" t="shared" si="9"/>
        <v>-33482.7908581895</v>
      </c>
      <c r="I119" s="29" t="str">
        <f ca="1" t="shared" si="10"/>
        <v/>
      </c>
      <c r="J119" s="22" t="str">
        <f ca="1" t="shared" si="11"/>
        <v/>
      </c>
    </row>
    <row r="120" spans="5:6">
      <c r="E120" s="21">
        <v>45824</v>
      </c>
      <c r="F120" s="10">
        <v>1319.7</v>
      </c>
    </row>
    <row r="121" spans="5:6">
      <c r="E121" s="21">
        <v>45825</v>
      </c>
      <c r="F121" s="10">
        <v>1908</v>
      </c>
    </row>
    <row r="122" spans="5:6">
      <c r="E122" s="21">
        <v>45826</v>
      </c>
      <c r="F122" s="10">
        <v>5644.5</v>
      </c>
    </row>
    <row r="123" spans="5:6">
      <c r="E123" s="21">
        <v>45828</v>
      </c>
      <c r="F123" s="10">
        <v>1335.6</v>
      </c>
    </row>
    <row r="124" spans="5:6">
      <c r="E124" s="21">
        <v>45831</v>
      </c>
      <c r="F124" s="10">
        <v>906.3</v>
      </c>
    </row>
    <row r="125" spans="5:6">
      <c r="E125" s="21">
        <v>45832</v>
      </c>
      <c r="F125" s="10">
        <v>1431</v>
      </c>
    </row>
    <row r="126" spans="5:6">
      <c r="E126" s="21">
        <v>45833</v>
      </c>
      <c r="F126" s="10">
        <v>1605.9</v>
      </c>
    </row>
    <row r="127" spans="5:6">
      <c r="E127" s="21">
        <v>45834</v>
      </c>
      <c r="F127" s="10">
        <v>1462.8</v>
      </c>
    </row>
    <row r="128" spans="5:6">
      <c r="E128" s="21">
        <v>45838</v>
      </c>
      <c r="F128" s="10">
        <v>874.5</v>
      </c>
    </row>
    <row r="129" spans="5:6">
      <c r="E129" s="21">
        <v>45839</v>
      </c>
      <c r="F129" s="10">
        <v>3736.5</v>
      </c>
    </row>
    <row r="130" spans="5:6">
      <c r="E130" s="21">
        <v>45840</v>
      </c>
      <c r="F130" s="10">
        <v>1065.3</v>
      </c>
    </row>
    <row r="131" spans="5:6">
      <c r="E131" s="21">
        <v>45841</v>
      </c>
      <c r="F131" s="10">
        <v>1828.5</v>
      </c>
    </row>
    <row r="132" spans="5:6">
      <c r="E132" s="21">
        <v>45842</v>
      </c>
      <c r="F132" s="10">
        <v>2703</v>
      </c>
    </row>
    <row r="133" spans="5:6">
      <c r="E133" s="21">
        <v>45845</v>
      </c>
      <c r="F133" s="10">
        <v>2067</v>
      </c>
    </row>
    <row r="134" spans="5:6">
      <c r="E134" s="21">
        <v>45846</v>
      </c>
      <c r="F134" s="10">
        <v>2703</v>
      </c>
    </row>
    <row r="135" spans="5:6">
      <c r="E135" s="21">
        <v>45847</v>
      </c>
      <c r="F135" s="10">
        <v>524.7</v>
      </c>
    </row>
    <row r="136" spans="5:6">
      <c r="E136" s="21">
        <v>45848</v>
      </c>
      <c r="F136" s="10">
        <v>1049.4</v>
      </c>
    </row>
    <row r="137" spans="5:6">
      <c r="E137" s="21">
        <v>45849</v>
      </c>
      <c r="F137" s="10">
        <v>1828.5</v>
      </c>
    </row>
    <row r="138" spans="5:6">
      <c r="E138" s="21">
        <v>45852</v>
      </c>
      <c r="F138" s="10">
        <v>302.1</v>
      </c>
    </row>
    <row r="139" spans="5:6">
      <c r="E139" s="21">
        <v>45853</v>
      </c>
      <c r="F139" s="10">
        <v>3466.2</v>
      </c>
    </row>
    <row r="140" spans="5:6">
      <c r="E140" s="21">
        <v>45854</v>
      </c>
      <c r="F140" s="10">
        <v>2655.3</v>
      </c>
    </row>
    <row r="141" spans="5:6">
      <c r="E141" s="21">
        <v>45855</v>
      </c>
      <c r="F141" s="10">
        <v>2973.3</v>
      </c>
    </row>
    <row r="142" spans="5:6">
      <c r="E142" s="21">
        <v>45856</v>
      </c>
      <c r="F142" s="10">
        <v>747.3</v>
      </c>
    </row>
    <row r="143" spans="5:6">
      <c r="E143" s="21">
        <v>45859</v>
      </c>
      <c r="F143" s="10">
        <v>842.7</v>
      </c>
    </row>
    <row r="144" spans="5:6">
      <c r="E144" s="21">
        <v>45860</v>
      </c>
      <c r="F144" s="10">
        <v>1780.8</v>
      </c>
    </row>
    <row r="145" spans="5:6">
      <c r="E145" s="21">
        <v>45861</v>
      </c>
      <c r="F145" s="10">
        <v>2210.1</v>
      </c>
    </row>
    <row r="146" spans="5:6">
      <c r="E146" s="21">
        <v>45862</v>
      </c>
      <c r="F146" s="10">
        <v>2289.6</v>
      </c>
    </row>
    <row r="147" spans="5:6">
      <c r="E147" s="21">
        <v>45863</v>
      </c>
      <c r="F147" s="10">
        <v>1399.2</v>
      </c>
    </row>
    <row r="148" spans="5:6">
      <c r="E148" s="21">
        <v>45866</v>
      </c>
      <c r="F148" s="10">
        <v>1908</v>
      </c>
    </row>
    <row r="149" spans="5:6">
      <c r="E149" s="21">
        <v>45867</v>
      </c>
      <c r="F149" s="10">
        <v>1510.5</v>
      </c>
    </row>
    <row r="150" spans="5:6">
      <c r="E150" s="21">
        <v>45868</v>
      </c>
      <c r="F150" s="10">
        <v>1494.6</v>
      </c>
    </row>
    <row r="151" spans="5:6">
      <c r="E151" s="21">
        <v>45869</v>
      </c>
      <c r="F151" s="10">
        <v>1590</v>
      </c>
    </row>
    <row r="152" spans="5:6">
      <c r="E152" s="21">
        <v>45870</v>
      </c>
      <c r="F152" s="10">
        <v>3036.9</v>
      </c>
    </row>
    <row r="153" spans="5:6">
      <c r="E153" s="21">
        <v>45873</v>
      </c>
      <c r="F153" s="10">
        <v>1272</v>
      </c>
    </row>
    <row r="154" spans="5:6">
      <c r="E154" s="21">
        <v>45874</v>
      </c>
      <c r="F154" s="10">
        <v>2750.7</v>
      </c>
    </row>
    <row r="155" spans="5:6">
      <c r="E155" s="21">
        <v>45875</v>
      </c>
      <c r="F155" s="10">
        <v>2067</v>
      </c>
    </row>
    <row r="156" spans="5:6">
      <c r="E156" s="21">
        <v>45876</v>
      </c>
      <c r="F156" s="10">
        <v>715.5</v>
      </c>
    </row>
    <row r="157" spans="5:6">
      <c r="E157" s="21">
        <v>45877</v>
      </c>
      <c r="F157" s="10">
        <v>985.8</v>
      </c>
    </row>
    <row r="158" spans="5:6">
      <c r="E158" s="21">
        <v>45880</v>
      </c>
      <c r="F158" s="10">
        <v>1876.2</v>
      </c>
    </row>
    <row r="159" spans="5:6">
      <c r="E159" s="21">
        <v>45881</v>
      </c>
      <c r="F159" s="10">
        <v>1128.9</v>
      </c>
    </row>
    <row r="160" spans="5:6">
      <c r="E160" s="21">
        <v>45882</v>
      </c>
      <c r="F160" s="10">
        <v>2124.7</v>
      </c>
    </row>
    <row r="161" spans="5:6">
      <c r="E161" s="21">
        <v>45883</v>
      </c>
      <c r="F161" s="10">
        <v>3529.8</v>
      </c>
    </row>
    <row r="162" spans="5:6">
      <c r="E162" s="21">
        <v>45884</v>
      </c>
      <c r="F162" s="10">
        <v>1526.4</v>
      </c>
    </row>
    <row r="163" spans="5:6">
      <c r="E163" s="21">
        <v>45887</v>
      </c>
      <c r="F163" s="10">
        <v>1621.8</v>
      </c>
    </row>
    <row r="164" spans="5:6">
      <c r="E164" s="21">
        <v>45888</v>
      </c>
      <c r="F164" s="10">
        <v>1224.3</v>
      </c>
    </row>
    <row r="165" spans="5:6">
      <c r="E165" s="21">
        <v>45889</v>
      </c>
      <c r="F165" s="10">
        <v>3879.6</v>
      </c>
    </row>
    <row r="166" spans="5:6">
      <c r="E166" s="21">
        <v>45890</v>
      </c>
      <c r="F166" s="10">
        <v>1749</v>
      </c>
    </row>
    <row r="167" spans="5:6">
      <c r="E167" s="21">
        <v>45894</v>
      </c>
      <c r="F167" s="10">
        <v>2766.6</v>
      </c>
    </row>
    <row r="168" spans="5:6">
      <c r="E168" s="21">
        <v>45895</v>
      </c>
      <c r="F168" s="10">
        <v>3116.4</v>
      </c>
    </row>
    <row r="169" spans="5:6">
      <c r="E169" s="21">
        <v>45896</v>
      </c>
      <c r="F169" s="10">
        <v>1256.1</v>
      </c>
    </row>
    <row r="170" spans="5:6">
      <c r="E170" s="21">
        <v>45897</v>
      </c>
      <c r="F170" s="10">
        <v>1446.9</v>
      </c>
    </row>
    <row r="171" spans="5:6">
      <c r="E171" s="21">
        <v>45898</v>
      </c>
      <c r="F171" s="10">
        <v>2082.9</v>
      </c>
    </row>
    <row r="172" spans="5:6">
      <c r="E172" s="21">
        <v>45901</v>
      </c>
      <c r="F172" s="10">
        <v>1685.4</v>
      </c>
    </row>
    <row r="173" spans="5:6">
      <c r="E173" s="21">
        <v>45902</v>
      </c>
      <c r="F173" s="10">
        <v>492.9</v>
      </c>
    </row>
    <row r="174" spans="5:6">
      <c r="E174" s="21">
        <v>45903</v>
      </c>
      <c r="F174" s="10">
        <v>1446.9</v>
      </c>
    </row>
    <row r="175" spans="5:6">
      <c r="E175" s="21">
        <v>45904</v>
      </c>
      <c r="F175" s="10">
        <v>604.2</v>
      </c>
    </row>
    <row r="176" spans="5:6">
      <c r="E176" s="21">
        <v>45905</v>
      </c>
      <c r="F176" s="10">
        <v>3959.1</v>
      </c>
    </row>
    <row r="177" spans="5:6">
      <c r="E177" s="21">
        <v>45908</v>
      </c>
      <c r="F177" s="10">
        <v>2051.1</v>
      </c>
    </row>
    <row r="178" spans="5:6">
      <c r="E178" s="21">
        <v>45909</v>
      </c>
      <c r="F178" s="10">
        <v>2305.5</v>
      </c>
    </row>
    <row r="179" spans="5:6">
      <c r="E179" s="21">
        <v>45910</v>
      </c>
      <c r="F179" s="10">
        <v>2877.9</v>
      </c>
    </row>
    <row r="180" spans="5:6">
      <c r="E180" s="21">
        <v>45911</v>
      </c>
      <c r="F180" s="10">
        <v>3418.5</v>
      </c>
    </row>
    <row r="181" spans="5:6">
      <c r="E181" s="21">
        <v>45912</v>
      </c>
      <c r="F181" s="10">
        <v>1717.2</v>
      </c>
    </row>
    <row r="182" spans="5:6">
      <c r="E182" s="21">
        <v>45915</v>
      </c>
      <c r="F182" s="10">
        <v>985.8</v>
      </c>
    </row>
    <row r="183" spans="5:6">
      <c r="E183" s="21">
        <v>45916</v>
      </c>
      <c r="F183" s="10">
        <v>1415.1</v>
      </c>
    </row>
    <row r="184" spans="5:6">
      <c r="E184" s="21">
        <v>45917</v>
      </c>
      <c r="F184" s="10">
        <v>1733.1</v>
      </c>
    </row>
    <row r="185" spans="5:6">
      <c r="E185" s="21">
        <v>45918</v>
      </c>
      <c r="F185" s="10">
        <v>1446.9</v>
      </c>
    </row>
    <row r="186" spans="5:6">
      <c r="E186" s="21">
        <v>45919</v>
      </c>
      <c r="F186" s="10">
        <v>1415.1</v>
      </c>
    </row>
    <row r="187" spans="5:6">
      <c r="E187" s="21">
        <v>45922</v>
      </c>
      <c r="F187" s="10">
        <v>731.4</v>
      </c>
    </row>
    <row r="188" spans="5:6">
      <c r="E188" s="21">
        <v>45923</v>
      </c>
      <c r="F188" s="10">
        <v>2496.3</v>
      </c>
    </row>
    <row r="189" spans="5:6">
      <c r="E189" s="21">
        <v>45924</v>
      </c>
      <c r="F189" s="10">
        <v>1510.5</v>
      </c>
    </row>
    <row r="190" spans="5:6">
      <c r="E190" s="21">
        <v>45925</v>
      </c>
      <c r="F190" s="10">
        <v>2480.4</v>
      </c>
    </row>
    <row r="191" spans="5:6">
      <c r="E191" s="21">
        <v>45926</v>
      </c>
      <c r="F191" s="10">
        <v>1669.5</v>
      </c>
    </row>
    <row r="192" spans="5:6">
      <c r="E192" s="21">
        <v>45929</v>
      </c>
      <c r="F192" s="10">
        <v>1097.1</v>
      </c>
    </row>
    <row r="193" spans="5:6">
      <c r="E193" s="21">
        <v>45930</v>
      </c>
      <c r="F193" s="10">
        <v>5453.7</v>
      </c>
    </row>
    <row r="194" spans="5:6">
      <c r="E194" s="21">
        <v>45931</v>
      </c>
      <c r="F194" s="10">
        <v>1446.9</v>
      </c>
    </row>
    <row r="195" spans="5:6">
      <c r="E195" s="21">
        <v>45932</v>
      </c>
      <c r="F195" s="10">
        <v>2575.8</v>
      </c>
    </row>
    <row r="196" spans="5:6">
      <c r="E196" s="21">
        <v>45933</v>
      </c>
      <c r="F196" s="10">
        <v>2623.5</v>
      </c>
    </row>
    <row r="197" spans="5:6">
      <c r="E197" s="21">
        <v>45936</v>
      </c>
      <c r="F197" s="10">
        <v>1780.8</v>
      </c>
    </row>
    <row r="198" spans="5:6">
      <c r="E198" s="21">
        <v>45937</v>
      </c>
      <c r="F198" s="10">
        <v>3402.6</v>
      </c>
    </row>
    <row r="199" spans="5:6">
      <c r="E199" s="21">
        <v>45938</v>
      </c>
      <c r="F199" s="10">
        <v>4658.7</v>
      </c>
    </row>
    <row r="200" spans="5:6">
      <c r="E200" s="21">
        <v>45939</v>
      </c>
      <c r="F200" s="10">
        <v>4149.9</v>
      </c>
    </row>
    <row r="201" spans="5:6">
      <c r="E201" s="21">
        <v>45940</v>
      </c>
      <c r="F201" s="10">
        <v>4483.8</v>
      </c>
    </row>
    <row r="202" spans="5:6">
      <c r="E202" s="21">
        <v>45943</v>
      </c>
      <c r="F202" s="10">
        <v>3577.5</v>
      </c>
    </row>
    <row r="203" spans="5:6">
      <c r="E203" s="21">
        <v>45944</v>
      </c>
      <c r="F203" s="10">
        <v>3784.2</v>
      </c>
    </row>
    <row r="204" spans="5:6">
      <c r="E204" s="21">
        <v>45945</v>
      </c>
      <c r="F204" s="10">
        <v>5247</v>
      </c>
    </row>
    <row r="205" spans="5:6">
      <c r="E205" s="21">
        <v>45946</v>
      </c>
      <c r="F205" s="10">
        <v>3959.1</v>
      </c>
    </row>
    <row r="206" spans="5:6">
      <c r="E206" s="21">
        <v>45947</v>
      </c>
      <c r="F206" s="10">
        <v>1939.8</v>
      </c>
    </row>
    <row r="207" spans="5:6">
      <c r="E207" s="21">
        <v>45950</v>
      </c>
      <c r="F207" s="10">
        <v>2957.4</v>
      </c>
    </row>
    <row r="208" spans="5:6">
      <c r="E208" s="21">
        <v>45951</v>
      </c>
      <c r="F208" s="10">
        <v>3466.2</v>
      </c>
    </row>
    <row r="209" spans="5:6">
      <c r="E209" s="21">
        <v>45952</v>
      </c>
      <c r="F209" s="10">
        <v>1526.4</v>
      </c>
    </row>
    <row r="210" spans="5:6">
      <c r="E210" s="21">
        <v>45953</v>
      </c>
      <c r="F210" s="10">
        <v>3402.6</v>
      </c>
    </row>
    <row r="211" spans="5:6">
      <c r="E211" s="21">
        <v>45954</v>
      </c>
      <c r="F211" s="10">
        <v>5898.9</v>
      </c>
    </row>
    <row r="212" spans="5:6">
      <c r="E212" s="21">
        <v>45957</v>
      </c>
      <c r="F212" s="10">
        <v>3513.9</v>
      </c>
    </row>
    <row r="213" spans="5:6">
      <c r="E213" s="21">
        <v>45958</v>
      </c>
      <c r="F213" s="10">
        <v>1091.7</v>
      </c>
    </row>
    <row r="214" spans="5:6">
      <c r="E214" s="21">
        <v>45959</v>
      </c>
      <c r="F214" s="10">
        <v>779.1</v>
      </c>
    </row>
    <row r="215" spans="5:6">
      <c r="E215" s="21">
        <v>45960</v>
      </c>
      <c r="F215" s="10">
        <v>2814.3</v>
      </c>
    </row>
    <row r="216" spans="5:6">
      <c r="E216" s="21">
        <v>45961</v>
      </c>
      <c r="F216" s="10">
        <v>1192.5</v>
      </c>
    </row>
    <row r="217" spans="5:6">
      <c r="E217" s="21">
        <v>45962</v>
      </c>
      <c r="F217" s="10">
        <v>333.87</v>
      </c>
    </row>
    <row r="218" spans="5:6">
      <c r="E218" s="21">
        <v>45964</v>
      </c>
      <c r="F218" s="10">
        <v>4754.1</v>
      </c>
    </row>
    <row r="219" spans="5:6">
      <c r="E219" s="21">
        <v>45965</v>
      </c>
      <c r="F219" s="10">
        <v>922.2</v>
      </c>
    </row>
    <row r="220" spans="5:6">
      <c r="E220" s="21">
        <v>45966</v>
      </c>
      <c r="F220" s="10">
        <v>6042</v>
      </c>
    </row>
    <row r="221" spans="5:6">
      <c r="E221" s="21">
        <v>45967</v>
      </c>
      <c r="F221" s="10">
        <v>4817.7</v>
      </c>
    </row>
    <row r="222" spans="5:6">
      <c r="E222" s="21">
        <v>45968</v>
      </c>
      <c r="F222" s="10">
        <v>2146.5</v>
      </c>
    </row>
    <row r="223" spans="5:6">
      <c r="E223" s="21">
        <v>45971</v>
      </c>
      <c r="F223" s="10">
        <v>1987.5</v>
      </c>
    </row>
    <row r="224" spans="5:6">
      <c r="E224" s="21">
        <v>45972</v>
      </c>
      <c r="F224" s="10">
        <v>2210.1</v>
      </c>
    </row>
    <row r="225" spans="5:6">
      <c r="E225" s="21">
        <v>45973</v>
      </c>
      <c r="F225" s="10">
        <v>2607.6</v>
      </c>
    </row>
    <row r="226" spans="5:6">
      <c r="E226" s="21">
        <v>45974</v>
      </c>
      <c r="F226" s="10">
        <v>969.9</v>
      </c>
    </row>
    <row r="227" spans="5:6">
      <c r="E227" s="21">
        <v>45975</v>
      </c>
      <c r="F227" s="10">
        <v>2178.3</v>
      </c>
    </row>
    <row r="228" spans="5:6">
      <c r="E228" s="21">
        <v>45978</v>
      </c>
      <c r="F228" s="10">
        <v>4404.3</v>
      </c>
    </row>
    <row r="229" spans="5:6">
      <c r="E229" s="21">
        <v>45979</v>
      </c>
      <c r="F229" s="10">
        <v>3927.3</v>
      </c>
    </row>
    <row r="230" spans="5:6">
      <c r="E230" s="21">
        <v>45980</v>
      </c>
      <c r="F230" s="10">
        <v>4102.2</v>
      </c>
    </row>
    <row r="231" spans="5:6">
      <c r="E231" s="21">
        <v>45982</v>
      </c>
      <c r="F231" s="10">
        <v>2798.4</v>
      </c>
    </row>
    <row r="232" spans="5:6">
      <c r="E232" s="21">
        <v>45985</v>
      </c>
      <c r="F232" s="10">
        <v>1844.4</v>
      </c>
    </row>
    <row r="233" spans="5:6">
      <c r="E233" s="21">
        <v>45986</v>
      </c>
      <c r="F233" s="10">
        <v>4579.26</v>
      </c>
    </row>
    <row r="234" spans="5:6">
      <c r="E234" s="21">
        <v>45987</v>
      </c>
      <c r="F234" s="10">
        <v>2432.7</v>
      </c>
    </row>
    <row r="235" spans="5:6">
      <c r="E235" s="21">
        <v>45988</v>
      </c>
      <c r="F235" s="10">
        <v>2385</v>
      </c>
    </row>
    <row r="236" spans="5:6">
      <c r="E236" s="21">
        <v>45989</v>
      </c>
      <c r="F236" s="10">
        <v>810.9</v>
      </c>
    </row>
    <row r="237" spans="5:6">
      <c r="E237" s="21">
        <v>45992</v>
      </c>
      <c r="F237" s="10">
        <v>1669.5</v>
      </c>
    </row>
    <row r="238" spans="5:6">
      <c r="E238" s="21">
        <v>45993</v>
      </c>
      <c r="F238" s="10">
        <v>985.8</v>
      </c>
    </row>
    <row r="239" spans="5:6">
      <c r="E239" s="21">
        <v>45994</v>
      </c>
      <c r="F239" s="10">
        <v>1637.7</v>
      </c>
    </row>
    <row r="240" spans="5:6">
      <c r="E240" s="21">
        <v>45995</v>
      </c>
      <c r="F240" s="10">
        <v>4038.6</v>
      </c>
    </row>
    <row r="241" spans="5:6">
      <c r="E241" s="21">
        <v>45996</v>
      </c>
      <c r="F241" s="10">
        <v>1001.7</v>
      </c>
    </row>
    <row r="242" spans="5:6">
      <c r="E242" s="21">
        <v>45999</v>
      </c>
      <c r="F242" s="10">
        <v>2750.7</v>
      </c>
    </row>
    <row r="243" spans="5:6">
      <c r="E243" s="21">
        <v>46000</v>
      </c>
      <c r="F243" s="10">
        <v>2623.5</v>
      </c>
    </row>
    <row r="244" spans="5:6">
      <c r="E244" s="21">
        <v>46001</v>
      </c>
      <c r="F244" s="10">
        <v>3450.3</v>
      </c>
    </row>
    <row r="245" spans="5:6">
      <c r="E245" s="21">
        <v>46002</v>
      </c>
      <c r="F245" s="10">
        <v>1224.3</v>
      </c>
    </row>
    <row r="246" spans="5:6">
      <c r="E246" s="21">
        <v>46003</v>
      </c>
      <c r="F246" s="10">
        <v>2019.3</v>
      </c>
    </row>
    <row r="247" spans="5:6">
      <c r="E247" s="21">
        <v>46006</v>
      </c>
      <c r="F247" s="10">
        <v>1749</v>
      </c>
    </row>
    <row r="248" spans="5:6">
      <c r="E248" s="21">
        <v>46007</v>
      </c>
      <c r="F248" s="10">
        <v>1383.3</v>
      </c>
    </row>
    <row r="249" spans="5:6">
      <c r="E249" s="21">
        <v>46008</v>
      </c>
      <c r="F249" s="10">
        <v>2448.6</v>
      </c>
    </row>
    <row r="250" spans="5:6">
      <c r="E250" s="21">
        <v>46009</v>
      </c>
      <c r="F250" s="10">
        <v>6232.8</v>
      </c>
    </row>
    <row r="251" spans="5:6">
      <c r="E251" s="21">
        <v>46010</v>
      </c>
      <c r="F251" s="10">
        <v>1335.6</v>
      </c>
    </row>
    <row r="252" spans="5:6">
      <c r="E252" s="21">
        <v>46013</v>
      </c>
      <c r="F252" s="10">
        <v>2798.4</v>
      </c>
    </row>
    <row r="253" spans="5:6">
      <c r="E253" s="21">
        <v>46014</v>
      </c>
      <c r="F253" s="10">
        <v>1558.2</v>
      </c>
    </row>
  </sheetData>
  <dataValidations count="1">
    <dataValidation type="list" allowBlank="1" showInputMessage="1" showErrorMessage="1" sqref="C10">
      <formula1>Configurações!$B$6:$B$18</formula1>
    </dataValidation>
  </dataValidations>
  <pageMargins left="0.511811024" right="0.511811024" top="0.787401575" bottom="0.787401575" header="0.31496062" footer="0.31496062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3"/>
  <dimension ref="A1:AF18"/>
  <sheetViews>
    <sheetView showGridLines="0" zoomScale="175" zoomScaleNormal="175" topLeftCell="A7" workbookViewId="0">
      <selection activeCell="B12" sqref="B12"/>
    </sheetView>
  </sheetViews>
  <sheetFormatPr defaultColWidth="9" defaultRowHeight="15"/>
  <cols>
    <col min="2" max="2" width="17.7142857142857" customWidth="1"/>
    <col min="3" max="3" width="17.5714285714286" customWidth="1"/>
    <col min="7" max="7" width="17.4285714285714" customWidth="1"/>
    <col min="8" max="8" width="18.7142857142857" customWidth="1"/>
  </cols>
  <sheetData>
    <row r="1" ht="31.5" spans="1:32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31.5" spans="1:32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5" spans="2:3">
      <c r="B5" s="3" t="s">
        <v>274</v>
      </c>
      <c r="C5" s="3" t="s">
        <v>275</v>
      </c>
    </row>
    <row r="6" spans="2:3">
      <c r="B6" s="4">
        <v>0.5</v>
      </c>
      <c r="C6" s="5">
        <v>0</v>
      </c>
    </row>
    <row r="7" spans="2:3">
      <c r="B7" s="4">
        <v>0.6</v>
      </c>
      <c r="C7" s="5">
        <v>0.254</v>
      </c>
    </row>
    <row r="8" spans="2:3">
      <c r="B8" s="4">
        <v>0.7</v>
      </c>
      <c r="C8" s="5">
        <v>0.525</v>
      </c>
    </row>
    <row r="9" spans="2:3">
      <c r="B9" s="4">
        <v>0.8</v>
      </c>
      <c r="C9" s="5">
        <v>0.842</v>
      </c>
    </row>
    <row r="10" spans="2:3">
      <c r="B10" s="4">
        <v>0.85</v>
      </c>
      <c r="C10" s="5">
        <v>1.037</v>
      </c>
    </row>
    <row r="11" spans="2:3">
      <c r="B11" s="4">
        <v>0.9</v>
      </c>
      <c r="C11" s="5">
        <v>1.282</v>
      </c>
    </row>
    <row r="12" spans="2:3">
      <c r="B12" s="6">
        <v>0.95</v>
      </c>
      <c r="C12" s="7">
        <v>1.645</v>
      </c>
    </row>
    <row r="13" spans="2:3">
      <c r="B13" s="4">
        <v>0.96</v>
      </c>
      <c r="C13" s="5">
        <v>1.751</v>
      </c>
    </row>
    <row r="14" spans="2:3">
      <c r="B14" s="4">
        <v>0.97</v>
      </c>
      <c r="C14" s="5">
        <v>1.88</v>
      </c>
    </row>
    <row r="15" spans="2:3">
      <c r="B15" s="4">
        <v>0.98</v>
      </c>
      <c r="C15" s="5">
        <v>2.055</v>
      </c>
    </row>
    <row r="16" spans="2:3">
      <c r="B16" s="4">
        <v>0.99</v>
      </c>
      <c r="C16" s="5">
        <v>2.325</v>
      </c>
    </row>
    <row r="17" spans="2:3">
      <c r="B17" s="8">
        <v>0.999</v>
      </c>
      <c r="C17" s="5">
        <v>3.1</v>
      </c>
    </row>
    <row r="18" spans="2:3">
      <c r="B18" s="8">
        <v>0.9999</v>
      </c>
      <c r="C18" s="5">
        <v>3.62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Dados</vt:lpstr>
      <vt:lpstr>Consolidação</vt:lpstr>
      <vt:lpstr>Cálculo de Estoque</vt:lpstr>
      <vt:lpstr>Configurações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Betini</dc:creator>
  <cp:keywords>Guia do Excel</cp:keywords>
  <cp:lastModifiedBy>coordpcp</cp:lastModifiedBy>
  <dcterms:created xsi:type="dcterms:W3CDTF">2018-09-02T11:35:00Z</dcterms:created>
  <dcterms:modified xsi:type="dcterms:W3CDTF">2025-12-29T18:54:49Z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724C4C8239C5400BA8AF6C1E02716E90_12</vt:lpwstr>
  </property>
  <property fmtid="{D5CDD505-2E9C-101B-9397-08002B2CF9AE}" pid="3" name="KSOProductBuildVer">
    <vt:lpwstr>1046-12.2.0.23155</vt:lpwstr>
  </property>
</Properties>
</file>